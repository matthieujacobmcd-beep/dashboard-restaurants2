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ieujacob/Desktop/"/>
    </mc:Choice>
  </mc:AlternateContent>
  <xr:revisionPtr revIDLastSave="0" documentId="13_ncr:1_{31D1677F-C6BD-4C4F-8876-A016CA0F5F98}" xr6:coauthVersionLast="47" xr6:coauthVersionMax="47" xr10:uidLastSave="{00000000-0000-0000-0000-000000000000}"/>
  <bookViews>
    <workbookView xWindow="0" yWindow="660" windowWidth="30240" windowHeight="17700" activeTab="1" xr2:uid="{57F798BC-F4F0-F045-9E91-B0CB13ABAD2E}"/>
  </bookViews>
  <sheets>
    <sheet name="CHAMNORD" sheetId="1" r:id="rId1"/>
    <sheet name="AIX LES BAINS" sheetId="2" r:id="rId2"/>
    <sheet name="BELLEY" sheetId="3" r:id="rId3"/>
    <sheet name="ST ALBAN" sheetId="4" r:id="rId4"/>
    <sheet name="LES ABRETS" sheetId="5" r:id="rId5"/>
    <sheet name="PONT DE BEAUVOISIN" sheetId="6" r:id="rId6"/>
    <sheet name="FRANCIN" sheetId="7" r:id="rId7"/>
    <sheet name="VIVIERS DU LAC" sheetId="8" r:id="rId8"/>
  </sheets>
  <externalReferences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B5" i="2" l="1"/>
  <c r="CB6" i="2"/>
  <c r="CB7" i="2"/>
  <c r="CB8" i="2"/>
  <c r="CB9" i="2"/>
  <c r="CB10" i="2"/>
  <c r="CB11" i="2"/>
  <c r="CB12" i="2"/>
  <c r="CB13" i="2"/>
  <c r="CB14" i="2"/>
  <c r="CB15" i="2"/>
  <c r="CB4" i="2"/>
  <c r="CA5" i="2"/>
  <c r="CA6" i="2"/>
  <c r="CA7" i="2"/>
  <c r="CA8" i="2"/>
  <c r="CA9" i="2"/>
  <c r="CA10" i="2"/>
  <c r="CA11" i="2"/>
  <c r="CA12" i="2"/>
  <c r="CA13" i="2"/>
  <c r="CA14" i="2"/>
  <c r="CA15" i="2"/>
  <c r="CA4" i="2"/>
  <c r="AO368" i="2"/>
  <c r="W368" i="2"/>
  <c r="E368" i="2"/>
  <c r="AO368" i="1"/>
  <c r="W368" i="1"/>
  <c r="E368" i="1"/>
  <c r="CL56" i="2"/>
  <c r="BY56" i="2"/>
  <c r="CL55" i="2"/>
  <c r="BY55" i="2"/>
  <c r="CL54" i="2"/>
  <c r="BY54" i="2"/>
  <c r="CL53" i="2"/>
  <c r="BY53" i="2"/>
  <c r="CL52" i="2"/>
  <c r="BY52" i="2"/>
  <c r="CL51" i="2"/>
  <c r="BY51" i="2"/>
  <c r="CL50" i="2"/>
  <c r="BY50" i="2"/>
  <c r="CL49" i="2"/>
  <c r="BY49" i="2"/>
  <c r="CL48" i="2"/>
  <c r="BY48" i="2"/>
  <c r="CL47" i="2"/>
  <c r="BY47" i="2"/>
  <c r="CL46" i="2"/>
  <c r="BY46" i="2"/>
  <c r="CY45" i="2"/>
  <c r="CL45" i="2"/>
  <c r="BY45" i="2"/>
  <c r="CY44" i="2"/>
  <c r="CL44" i="2"/>
  <c r="BY44" i="2"/>
  <c r="CY43" i="2"/>
  <c r="CL43" i="2"/>
  <c r="BY43" i="2"/>
  <c r="CY42" i="2"/>
  <c r="CL42" i="2"/>
  <c r="BY42" i="2"/>
  <c r="CY41" i="2"/>
  <c r="CL41" i="2"/>
  <c r="BY41" i="2"/>
  <c r="CY40" i="2"/>
  <c r="CL40" i="2"/>
  <c r="BY40" i="2"/>
  <c r="CY39" i="2"/>
  <c r="CL39" i="2"/>
  <c r="BY39" i="2"/>
  <c r="CY38" i="2"/>
  <c r="CL38" i="2"/>
  <c r="BY38" i="2"/>
  <c r="CY37" i="2"/>
  <c r="CL37" i="2"/>
  <c r="BY37" i="2"/>
  <c r="CY36" i="2"/>
  <c r="CL36" i="2"/>
  <c r="BY36" i="2"/>
  <c r="CY35" i="2"/>
  <c r="CL35" i="2"/>
  <c r="BY35" i="2"/>
  <c r="DB34" i="2"/>
  <c r="DA34" i="2"/>
  <c r="CY34" i="2"/>
  <c r="CL34" i="2"/>
  <c r="BY34" i="2"/>
  <c r="CL33" i="2"/>
  <c r="BY33" i="2"/>
  <c r="CL32" i="2"/>
  <c r="BY32" i="2"/>
  <c r="CL31" i="2"/>
  <c r="BY31" i="2"/>
  <c r="CY30" i="2"/>
  <c r="CL30" i="2"/>
  <c r="BY30" i="2"/>
  <c r="CY29" i="2"/>
  <c r="CL29" i="2"/>
  <c r="BY29" i="2"/>
  <c r="CY28" i="2"/>
  <c r="CL28" i="2"/>
  <c r="BY28" i="2"/>
  <c r="CY27" i="2"/>
  <c r="CL27" i="2"/>
  <c r="BY27" i="2"/>
  <c r="CY26" i="2"/>
  <c r="CL26" i="2"/>
  <c r="BY26" i="2"/>
  <c r="CY25" i="2"/>
  <c r="CL25" i="2"/>
  <c r="BY25" i="2"/>
  <c r="CY24" i="2"/>
  <c r="CL24" i="2"/>
  <c r="BY24" i="2"/>
  <c r="CY23" i="2"/>
  <c r="CL23" i="2"/>
  <c r="BY23" i="2"/>
  <c r="CY22" i="2"/>
  <c r="CL22" i="2"/>
  <c r="BY22" i="2"/>
  <c r="CY21" i="2"/>
  <c r="CL21" i="2"/>
  <c r="BY21" i="2"/>
  <c r="CY20" i="2"/>
  <c r="CL20" i="2"/>
  <c r="BY20" i="2"/>
  <c r="DB19" i="2"/>
  <c r="DA19" i="2"/>
  <c r="CY19" i="2"/>
  <c r="CL19" i="2"/>
  <c r="BY19" i="2"/>
  <c r="CL18" i="2"/>
  <c r="BY18" i="2"/>
  <c r="CL17" i="2"/>
  <c r="BY17" i="2"/>
  <c r="CL16" i="2"/>
  <c r="BY16" i="2"/>
  <c r="CY15" i="2"/>
  <c r="CP15" i="2"/>
  <c r="CL15" i="2"/>
  <c r="BY15" i="2"/>
  <c r="CY14" i="2"/>
  <c r="CP14" i="2"/>
  <c r="CL14" i="2"/>
  <c r="BY14" i="2"/>
  <c r="CY13" i="2"/>
  <c r="CP13" i="2"/>
  <c r="CL13" i="2"/>
  <c r="CC13" i="2"/>
  <c r="BY13" i="2"/>
  <c r="CY12" i="2"/>
  <c r="CP12" i="2"/>
  <c r="CL12" i="2"/>
  <c r="CC12" i="2"/>
  <c r="BY12" i="2"/>
  <c r="CY11" i="2"/>
  <c r="CP11" i="2"/>
  <c r="CL11" i="2"/>
  <c r="CC11" i="2"/>
  <c r="BY11" i="2"/>
  <c r="CY10" i="2"/>
  <c r="CP10" i="2"/>
  <c r="CL10" i="2"/>
  <c r="CC10" i="2"/>
  <c r="BY10" i="2"/>
  <c r="CP9" i="2"/>
  <c r="CL9" i="2"/>
  <c r="CC9" i="2"/>
  <c r="BY9" i="2"/>
  <c r="CP8" i="2"/>
  <c r="CL8" i="2"/>
  <c r="CC8" i="2"/>
  <c r="BY8" i="2"/>
  <c r="CP7" i="2"/>
  <c r="CL7" i="2"/>
  <c r="CC7" i="2"/>
  <c r="BY7" i="2"/>
  <c r="CP6" i="2"/>
  <c r="CL6" i="2"/>
  <c r="CC6" i="2"/>
  <c r="BY6" i="2"/>
  <c r="CP5" i="2"/>
  <c r="CL5" i="2"/>
  <c r="CC5" i="2"/>
  <c r="BY5" i="2"/>
  <c r="CT4" i="2"/>
  <c r="CP4" i="2"/>
  <c r="CL4" i="2"/>
  <c r="CG4" i="2"/>
  <c r="BY4" i="2"/>
  <c r="DB34" i="1"/>
  <c r="DA34" i="1"/>
  <c r="DB19" i="1"/>
  <c r="DA19" i="1"/>
  <c r="CY45" i="1"/>
  <c r="CY44" i="1"/>
  <c r="CY43" i="1"/>
  <c r="CY42" i="1"/>
  <c r="CY41" i="1"/>
  <c r="CY40" i="1"/>
  <c r="CY36" i="1"/>
  <c r="CY34" i="1"/>
  <c r="CY30" i="1"/>
  <c r="CY29" i="1"/>
  <c r="CY28" i="1"/>
  <c r="CY27" i="1"/>
  <c r="CY26" i="1"/>
  <c r="CY25" i="1"/>
  <c r="CY22" i="1"/>
  <c r="CY15" i="1"/>
  <c r="CY14" i="1"/>
  <c r="CY13" i="1"/>
  <c r="CY12" i="1"/>
  <c r="CY11" i="1"/>
  <c r="CY10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CL56" i="1"/>
  <c r="CL55" i="1"/>
  <c r="CL54" i="1"/>
  <c r="CL53" i="1"/>
  <c r="CL52" i="1"/>
  <c r="CL51" i="1"/>
  <c r="CL50" i="1"/>
  <c r="CL49" i="1"/>
  <c r="CL48" i="1"/>
  <c r="CL47" i="1"/>
  <c r="CL46" i="1"/>
  <c r="CL45" i="1"/>
  <c r="CL44" i="1"/>
  <c r="CL43" i="1"/>
  <c r="CL42" i="1"/>
  <c r="CL41" i="1"/>
  <c r="CL40" i="1"/>
  <c r="CL39" i="1"/>
  <c r="CL38" i="1"/>
  <c r="CL37" i="1"/>
  <c r="CL36" i="1"/>
  <c r="CL35" i="1"/>
  <c r="CL34" i="1"/>
  <c r="CL33" i="1"/>
  <c r="CL32" i="1"/>
  <c r="CL31" i="1"/>
  <c r="CL30" i="1"/>
  <c r="CL29" i="1"/>
  <c r="CL28" i="1"/>
  <c r="CL27" i="1"/>
  <c r="CL26" i="1"/>
  <c r="CL25" i="1"/>
  <c r="CL24" i="1"/>
  <c r="CL23" i="1"/>
  <c r="CL22" i="1"/>
  <c r="CL21" i="1"/>
  <c r="CL20" i="1"/>
  <c r="CL19" i="1"/>
  <c r="CL18" i="1"/>
  <c r="CL17" i="1"/>
  <c r="CL16" i="1"/>
  <c r="CP15" i="1"/>
  <c r="CL15" i="1"/>
  <c r="CP14" i="1"/>
  <c r="CL14" i="1"/>
  <c r="CP13" i="1"/>
  <c r="CL13" i="1"/>
  <c r="CP12" i="1"/>
  <c r="CL12" i="1"/>
  <c r="CP11" i="1"/>
  <c r="CL11" i="1"/>
  <c r="CP10" i="1"/>
  <c r="CL10" i="1"/>
  <c r="CP9" i="1"/>
  <c r="CL9" i="1"/>
  <c r="CP8" i="1"/>
  <c r="CL8" i="1"/>
  <c r="CP7" i="1"/>
  <c r="CL7" i="1"/>
  <c r="CP6" i="1"/>
  <c r="CL6" i="1"/>
  <c r="CP5" i="1"/>
  <c r="CL5" i="1"/>
  <c r="CT4" i="1"/>
  <c r="CP4" i="1"/>
  <c r="CL4" i="1"/>
  <c r="CG4" i="1"/>
  <c r="CC15" i="1"/>
  <c r="CC14" i="1"/>
  <c r="CC13" i="1"/>
  <c r="CC12" i="1"/>
  <c r="CC11" i="1"/>
  <c r="CC10" i="1"/>
  <c r="CC9" i="1"/>
  <c r="CC8" i="1"/>
  <c r="CC7" i="1"/>
  <c r="CC6" i="1"/>
  <c r="CC5" i="1"/>
  <c r="CC4" i="1"/>
  <c r="CC15" i="2" l="1"/>
  <c r="CC14" i="2"/>
  <c r="CC4" i="2"/>
  <c r="BG368" i="2"/>
  <c r="AP368" i="2"/>
  <c r="X368" i="2"/>
  <c r="F368" i="2"/>
  <c r="DC34" i="2"/>
  <c r="DC19" i="2"/>
  <c r="CY39" i="1"/>
  <c r="CY38" i="1"/>
  <c r="CY37" i="1"/>
  <c r="CY35" i="1"/>
  <c r="DC34" i="1"/>
  <c r="CY23" i="1"/>
  <c r="CY19" i="1"/>
  <c r="CY24" i="1"/>
  <c r="CY21" i="1"/>
  <c r="CY20" i="1"/>
  <c r="DC19" i="1"/>
  <c r="BG368" i="1"/>
  <c r="AP368" i="1"/>
  <c r="X368" i="1"/>
  <c r="F368" i="1"/>
  <c r="BH368" i="2" l="1"/>
  <c r="BH368" i="1"/>
  <c r="AM368" i="1" l="1"/>
  <c r="U368" i="1"/>
  <c r="C368" i="1"/>
  <c r="BE368" i="1" s="1"/>
  <c r="AM367" i="1"/>
  <c r="U367" i="1"/>
  <c r="C367" i="1"/>
  <c r="BE367" i="1" s="1"/>
  <c r="AM366" i="1"/>
  <c r="AR56" i="1" s="1"/>
  <c r="U366" i="1"/>
  <c r="C366" i="1"/>
  <c r="AM365" i="1"/>
  <c r="U365" i="1"/>
  <c r="C365" i="1"/>
  <c r="BE365" i="1" s="1"/>
  <c r="AM364" i="1"/>
  <c r="U364" i="1"/>
  <c r="C364" i="1"/>
  <c r="BE364" i="1" s="1"/>
  <c r="AM363" i="1"/>
  <c r="U363" i="1"/>
  <c r="C363" i="1"/>
  <c r="BE363" i="1" s="1"/>
  <c r="AM362" i="1"/>
  <c r="U362" i="1"/>
  <c r="C362" i="1"/>
  <c r="BE362" i="1" s="1"/>
  <c r="AM361" i="1"/>
  <c r="U361" i="1"/>
  <c r="C361" i="1"/>
  <c r="BE361" i="1" s="1"/>
  <c r="AM360" i="1"/>
  <c r="U360" i="1"/>
  <c r="C360" i="1"/>
  <c r="BE360" i="1" s="1"/>
  <c r="AM359" i="1"/>
  <c r="AR55" i="1" s="1"/>
  <c r="U359" i="1"/>
  <c r="Z55" i="1" s="1"/>
  <c r="C359" i="1"/>
  <c r="AM358" i="1"/>
  <c r="U358" i="1"/>
  <c r="C358" i="1"/>
  <c r="BE358" i="1" s="1"/>
  <c r="AM357" i="1"/>
  <c r="U357" i="1"/>
  <c r="C357" i="1"/>
  <c r="BE357" i="1" s="1"/>
  <c r="AM356" i="1"/>
  <c r="U356" i="1"/>
  <c r="C356" i="1"/>
  <c r="BE356" i="1" s="1"/>
  <c r="AM355" i="1"/>
  <c r="U355" i="1"/>
  <c r="C355" i="1"/>
  <c r="BE355" i="1" s="1"/>
  <c r="AM354" i="1"/>
  <c r="U354" i="1"/>
  <c r="C354" i="1"/>
  <c r="BE354" i="1" s="1"/>
  <c r="AM353" i="1"/>
  <c r="U353" i="1"/>
  <c r="C353" i="1"/>
  <c r="BE353" i="1" s="1"/>
  <c r="AM352" i="1"/>
  <c r="AR54" i="1" s="1"/>
  <c r="U352" i="1"/>
  <c r="Z54" i="1" s="1"/>
  <c r="C352" i="1"/>
  <c r="AM351" i="1"/>
  <c r="U351" i="1"/>
  <c r="C351" i="1"/>
  <c r="BE351" i="1" s="1"/>
  <c r="AM350" i="1"/>
  <c r="U350" i="1"/>
  <c r="C350" i="1"/>
  <c r="BE350" i="1" s="1"/>
  <c r="AM349" i="1"/>
  <c r="U349" i="1"/>
  <c r="C349" i="1"/>
  <c r="BE349" i="1" s="1"/>
  <c r="AM348" i="1"/>
  <c r="U348" i="1"/>
  <c r="C348" i="1"/>
  <c r="BE348" i="1" s="1"/>
  <c r="AM347" i="1"/>
  <c r="U347" i="1"/>
  <c r="C347" i="1"/>
  <c r="BE347" i="1" s="1"/>
  <c r="AM346" i="1"/>
  <c r="U346" i="1"/>
  <c r="C346" i="1"/>
  <c r="BE346" i="1" s="1"/>
  <c r="AM345" i="1"/>
  <c r="AR53" i="1" s="1"/>
  <c r="U345" i="1"/>
  <c r="Z53" i="1" s="1"/>
  <c r="C345" i="1"/>
  <c r="AM344" i="1"/>
  <c r="U344" i="1"/>
  <c r="C344" i="1"/>
  <c r="BE344" i="1" s="1"/>
  <c r="AM343" i="1"/>
  <c r="U343" i="1"/>
  <c r="C343" i="1"/>
  <c r="BE343" i="1" s="1"/>
  <c r="AM342" i="1"/>
  <c r="U342" i="1"/>
  <c r="C342" i="1"/>
  <c r="BE342" i="1" s="1"/>
  <c r="AM341" i="1"/>
  <c r="U341" i="1"/>
  <c r="C341" i="1"/>
  <c r="BE341" i="1" s="1"/>
  <c r="AM340" i="1"/>
  <c r="U340" i="1"/>
  <c r="C340" i="1"/>
  <c r="BE340" i="1" s="1"/>
  <c r="AM339" i="1"/>
  <c r="U339" i="1"/>
  <c r="C339" i="1"/>
  <c r="BE339" i="1" s="1"/>
  <c r="AM338" i="1"/>
  <c r="U338" i="1"/>
  <c r="C338" i="1"/>
  <c r="AM337" i="1"/>
  <c r="U337" i="1"/>
  <c r="C337" i="1"/>
  <c r="BE337" i="1" s="1"/>
  <c r="AM336" i="1"/>
  <c r="U336" i="1"/>
  <c r="C336" i="1"/>
  <c r="BE336" i="1" s="1"/>
  <c r="AM335" i="1"/>
  <c r="U335" i="1"/>
  <c r="C335" i="1"/>
  <c r="BE335" i="1" s="1"/>
  <c r="AM334" i="1"/>
  <c r="U334" i="1"/>
  <c r="C334" i="1"/>
  <c r="BE334" i="1" s="1"/>
  <c r="AM333" i="1"/>
  <c r="U333" i="1"/>
  <c r="C333" i="1"/>
  <c r="BE333" i="1" s="1"/>
  <c r="AM332" i="1"/>
  <c r="U332" i="1"/>
  <c r="C332" i="1"/>
  <c r="BE332" i="1" s="1"/>
  <c r="AM331" i="1"/>
  <c r="AR51" i="1" s="1"/>
  <c r="U331" i="1"/>
  <c r="Z51" i="1" s="1"/>
  <c r="C331" i="1"/>
  <c r="AM330" i="1"/>
  <c r="U330" i="1"/>
  <c r="C330" i="1"/>
  <c r="BE330" i="1" s="1"/>
  <c r="AM329" i="1"/>
  <c r="U329" i="1"/>
  <c r="C329" i="1"/>
  <c r="BE329" i="1" s="1"/>
  <c r="AM328" i="1"/>
  <c r="U328" i="1"/>
  <c r="C328" i="1"/>
  <c r="BE328" i="1" s="1"/>
  <c r="AM327" i="1"/>
  <c r="U327" i="1"/>
  <c r="C327" i="1"/>
  <c r="BE327" i="1" s="1"/>
  <c r="AM326" i="1"/>
  <c r="U326" i="1"/>
  <c r="C326" i="1"/>
  <c r="BE326" i="1" s="1"/>
  <c r="AM325" i="1"/>
  <c r="U325" i="1"/>
  <c r="C325" i="1"/>
  <c r="BE325" i="1" s="1"/>
  <c r="AM324" i="1"/>
  <c r="AR50" i="1" s="1"/>
  <c r="U324" i="1"/>
  <c r="Z50" i="1" s="1"/>
  <c r="C324" i="1"/>
  <c r="AM323" i="1"/>
  <c r="U323" i="1"/>
  <c r="C323" i="1"/>
  <c r="BE323" i="1" s="1"/>
  <c r="AM322" i="1"/>
  <c r="U322" i="1"/>
  <c r="C322" i="1"/>
  <c r="BE322" i="1" s="1"/>
  <c r="AM321" i="1"/>
  <c r="U321" i="1"/>
  <c r="C321" i="1"/>
  <c r="BE321" i="1" s="1"/>
  <c r="AM320" i="1"/>
  <c r="U320" i="1"/>
  <c r="C320" i="1"/>
  <c r="BE320" i="1" s="1"/>
  <c r="AM319" i="1"/>
  <c r="U319" i="1"/>
  <c r="C319" i="1"/>
  <c r="BE319" i="1" s="1"/>
  <c r="AM318" i="1"/>
  <c r="U318" i="1"/>
  <c r="C318" i="1"/>
  <c r="BE318" i="1" s="1"/>
  <c r="AM317" i="1"/>
  <c r="AR49" i="1" s="1"/>
  <c r="U317" i="1"/>
  <c r="Z49" i="1" s="1"/>
  <c r="C317" i="1"/>
  <c r="AM316" i="1"/>
  <c r="U316" i="1"/>
  <c r="C316" i="1"/>
  <c r="BE316" i="1" s="1"/>
  <c r="AM315" i="1"/>
  <c r="U315" i="1"/>
  <c r="C315" i="1"/>
  <c r="BE315" i="1" s="1"/>
  <c r="AM314" i="1"/>
  <c r="U314" i="1"/>
  <c r="C314" i="1"/>
  <c r="BE314" i="1" s="1"/>
  <c r="AM313" i="1"/>
  <c r="U313" i="1"/>
  <c r="C313" i="1"/>
  <c r="BE313" i="1" s="1"/>
  <c r="AM312" i="1"/>
  <c r="U312" i="1"/>
  <c r="C312" i="1"/>
  <c r="BE312" i="1" s="1"/>
  <c r="AM311" i="1"/>
  <c r="U311" i="1"/>
  <c r="C311" i="1"/>
  <c r="BE311" i="1" s="1"/>
  <c r="AM310" i="1"/>
  <c r="AR48" i="1" s="1"/>
  <c r="U310" i="1"/>
  <c r="Z48" i="1" s="1"/>
  <c r="C310" i="1"/>
  <c r="AM309" i="1"/>
  <c r="U309" i="1"/>
  <c r="C309" i="1"/>
  <c r="BE309" i="1" s="1"/>
  <c r="AM308" i="1"/>
  <c r="AV14" i="1" s="1"/>
  <c r="U308" i="1"/>
  <c r="AD14" i="1" s="1"/>
  <c r="C308" i="1"/>
  <c r="AM307" i="1"/>
  <c r="U307" i="1"/>
  <c r="C307" i="1"/>
  <c r="BE307" i="1" s="1"/>
  <c r="AM306" i="1"/>
  <c r="U306" i="1"/>
  <c r="C306" i="1"/>
  <c r="BE306" i="1" s="1"/>
  <c r="AM305" i="1"/>
  <c r="U305" i="1"/>
  <c r="C305" i="1"/>
  <c r="BE305" i="1" s="1"/>
  <c r="AM304" i="1"/>
  <c r="U304" i="1"/>
  <c r="C304" i="1"/>
  <c r="BE304" i="1" s="1"/>
  <c r="AM303" i="1"/>
  <c r="AR47" i="1" s="1"/>
  <c r="U303" i="1"/>
  <c r="Z47" i="1" s="1"/>
  <c r="C303" i="1"/>
  <c r="AM302" i="1"/>
  <c r="U302" i="1"/>
  <c r="C302" i="1"/>
  <c r="BE302" i="1" s="1"/>
  <c r="AM301" i="1"/>
  <c r="U301" i="1"/>
  <c r="C301" i="1"/>
  <c r="BE301" i="1" s="1"/>
  <c r="AM300" i="1"/>
  <c r="U300" i="1"/>
  <c r="C300" i="1"/>
  <c r="BE300" i="1" s="1"/>
  <c r="AM299" i="1"/>
  <c r="U299" i="1"/>
  <c r="C299" i="1"/>
  <c r="BE299" i="1" s="1"/>
  <c r="AM298" i="1"/>
  <c r="U298" i="1"/>
  <c r="C298" i="1"/>
  <c r="BE298" i="1" s="1"/>
  <c r="AM297" i="1"/>
  <c r="U297" i="1"/>
  <c r="C297" i="1"/>
  <c r="BE297" i="1" s="1"/>
  <c r="AM296" i="1"/>
  <c r="AR46" i="1" s="1"/>
  <c r="U296" i="1"/>
  <c r="Z46" i="1" s="1"/>
  <c r="C296" i="1"/>
  <c r="AM295" i="1"/>
  <c r="U295" i="1"/>
  <c r="C295" i="1"/>
  <c r="BE295" i="1" s="1"/>
  <c r="AM294" i="1"/>
  <c r="U294" i="1"/>
  <c r="C294" i="1"/>
  <c r="BE294" i="1" s="1"/>
  <c r="AM293" i="1"/>
  <c r="U293" i="1"/>
  <c r="C293" i="1"/>
  <c r="BE293" i="1" s="1"/>
  <c r="AM292" i="1"/>
  <c r="U292" i="1"/>
  <c r="C292" i="1"/>
  <c r="BE292" i="1" s="1"/>
  <c r="AM291" i="1"/>
  <c r="U291" i="1"/>
  <c r="C291" i="1"/>
  <c r="BE291" i="1" s="1"/>
  <c r="AM290" i="1"/>
  <c r="U290" i="1"/>
  <c r="C290" i="1"/>
  <c r="BE290" i="1" s="1"/>
  <c r="AM289" i="1"/>
  <c r="AR45" i="1" s="1"/>
  <c r="U289" i="1"/>
  <c r="Z45" i="1" s="1"/>
  <c r="C289" i="1"/>
  <c r="AM288" i="1"/>
  <c r="U288" i="1"/>
  <c r="C288" i="1"/>
  <c r="BE288" i="1" s="1"/>
  <c r="AM287" i="1"/>
  <c r="U287" i="1"/>
  <c r="C287" i="1"/>
  <c r="BE287" i="1" s="1"/>
  <c r="AM286" i="1"/>
  <c r="U286" i="1"/>
  <c r="C286" i="1"/>
  <c r="BE286" i="1" s="1"/>
  <c r="AM285" i="1"/>
  <c r="U285" i="1"/>
  <c r="C285" i="1"/>
  <c r="BE285" i="1" s="1"/>
  <c r="AM284" i="1"/>
  <c r="U284" i="1"/>
  <c r="C284" i="1"/>
  <c r="BE284" i="1" s="1"/>
  <c r="AM283" i="1"/>
  <c r="U283" i="1"/>
  <c r="C283" i="1"/>
  <c r="BE283" i="1" s="1"/>
  <c r="AM282" i="1"/>
  <c r="AR44" i="1" s="1"/>
  <c r="U282" i="1"/>
  <c r="Z44" i="1" s="1"/>
  <c r="C282" i="1"/>
  <c r="AM281" i="1"/>
  <c r="U281" i="1"/>
  <c r="C281" i="1"/>
  <c r="BE281" i="1" s="1"/>
  <c r="AM280" i="1"/>
  <c r="U280" i="1"/>
  <c r="C280" i="1"/>
  <c r="BE280" i="1" s="1"/>
  <c r="AM279" i="1"/>
  <c r="U279" i="1"/>
  <c r="C279" i="1"/>
  <c r="BE279" i="1" s="1"/>
  <c r="AM278" i="1"/>
  <c r="U278" i="1"/>
  <c r="C278" i="1"/>
  <c r="BE278" i="1" s="1"/>
  <c r="AM277" i="1"/>
  <c r="AV13" i="1" s="1"/>
  <c r="U277" i="1"/>
  <c r="AD13" i="1" s="1"/>
  <c r="C277" i="1"/>
  <c r="AM276" i="1"/>
  <c r="U276" i="1"/>
  <c r="C276" i="1"/>
  <c r="BE276" i="1" s="1"/>
  <c r="AM275" i="1"/>
  <c r="AR43" i="1" s="1"/>
  <c r="U275" i="1"/>
  <c r="Z43" i="1" s="1"/>
  <c r="C275" i="1"/>
  <c r="AM274" i="1"/>
  <c r="U274" i="1"/>
  <c r="C274" i="1"/>
  <c r="BE274" i="1" s="1"/>
  <c r="AM273" i="1"/>
  <c r="U273" i="1"/>
  <c r="C273" i="1"/>
  <c r="BE273" i="1" s="1"/>
  <c r="AM272" i="1"/>
  <c r="U272" i="1"/>
  <c r="C272" i="1"/>
  <c r="BE272" i="1" s="1"/>
  <c r="AM271" i="1"/>
  <c r="U271" i="1"/>
  <c r="C271" i="1"/>
  <c r="BE271" i="1" s="1"/>
  <c r="AM270" i="1"/>
  <c r="U270" i="1"/>
  <c r="C270" i="1"/>
  <c r="BE270" i="1" s="1"/>
  <c r="AM269" i="1"/>
  <c r="U269" i="1"/>
  <c r="C269" i="1"/>
  <c r="BE269" i="1" s="1"/>
  <c r="AM268" i="1"/>
  <c r="AR42" i="1" s="1"/>
  <c r="U268" i="1"/>
  <c r="Z42" i="1" s="1"/>
  <c r="C268" i="1"/>
  <c r="AM267" i="1"/>
  <c r="U267" i="1"/>
  <c r="C267" i="1"/>
  <c r="BE267" i="1" s="1"/>
  <c r="AM266" i="1"/>
  <c r="U266" i="1"/>
  <c r="C266" i="1"/>
  <c r="BE266" i="1" s="1"/>
  <c r="AM265" i="1"/>
  <c r="U265" i="1"/>
  <c r="C265" i="1"/>
  <c r="BE265" i="1" s="1"/>
  <c r="AM264" i="1"/>
  <c r="U264" i="1"/>
  <c r="C264" i="1"/>
  <c r="BE264" i="1" s="1"/>
  <c r="AM263" i="1"/>
  <c r="U263" i="1"/>
  <c r="C263" i="1"/>
  <c r="BE263" i="1" s="1"/>
  <c r="AM262" i="1"/>
  <c r="U262" i="1"/>
  <c r="C262" i="1"/>
  <c r="BE262" i="1" s="1"/>
  <c r="AM261" i="1"/>
  <c r="AR41" i="1" s="1"/>
  <c r="U261" i="1"/>
  <c r="Z41" i="1" s="1"/>
  <c r="C261" i="1"/>
  <c r="AM260" i="1"/>
  <c r="U260" i="1"/>
  <c r="C260" i="1"/>
  <c r="BE260" i="1" s="1"/>
  <c r="AM259" i="1"/>
  <c r="U259" i="1"/>
  <c r="C259" i="1"/>
  <c r="BE259" i="1" s="1"/>
  <c r="AM258" i="1"/>
  <c r="U258" i="1"/>
  <c r="C258" i="1"/>
  <c r="BE258" i="1" s="1"/>
  <c r="AM257" i="1"/>
  <c r="U257" i="1"/>
  <c r="C257" i="1"/>
  <c r="BE257" i="1" s="1"/>
  <c r="AM256" i="1"/>
  <c r="U256" i="1"/>
  <c r="C256" i="1"/>
  <c r="BE256" i="1" s="1"/>
  <c r="AM255" i="1"/>
  <c r="U255" i="1"/>
  <c r="C255" i="1"/>
  <c r="BE255" i="1" s="1"/>
  <c r="AM254" i="1"/>
  <c r="AR40" i="1" s="1"/>
  <c r="U254" i="1"/>
  <c r="Z40" i="1" s="1"/>
  <c r="C254" i="1"/>
  <c r="AM253" i="1"/>
  <c r="U253" i="1"/>
  <c r="C253" i="1"/>
  <c r="BE253" i="1" s="1"/>
  <c r="AM252" i="1"/>
  <c r="U252" i="1"/>
  <c r="C252" i="1"/>
  <c r="BE252" i="1" s="1"/>
  <c r="AM251" i="1"/>
  <c r="U251" i="1"/>
  <c r="C251" i="1"/>
  <c r="BE251" i="1" s="1"/>
  <c r="AM250" i="1"/>
  <c r="U250" i="1"/>
  <c r="C250" i="1"/>
  <c r="BE250" i="1" s="1"/>
  <c r="AM249" i="1"/>
  <c r="U249" i="1"/>
  <c r="C249" i="1"/>
  <c r="BE249" i="1" s="1"/>
  <c r="AM248" i="1"/>
  <c r="U248" i="1"/>
  <c r="C248" i="1"/>
  <c r="BE248" i="1" s="1"/>
  <c r="AM247" i="1"/>
  <c r="U247" i="1"/>
  <c r="C247" i="1"/>
  <c r="AM246" i="1"/>
  <c r="U246" i="1"/>
  <c r="C246" i="1"/>
  <c r="BE246" i="1" s="1"/>
  <c r="AM245" i="1"/>
  <c r="U245" i="1"/>
  <c r="C245" i="1"/>
  <c r="BE245" i="1" s="1"/>
  <c r="AM244" i="1"/>
  <c r="U244" i="1"/>
  <c r="C244" i="1"/>
  <c r="BE244" i="1" s="1"/>
  <c r="AM243" i="1"/>
  <c r="U243" i="1"/>
  <c r="C243" i="1"/>
  <c r="BE243" i="1" s="1"/>
  <c r="AM242" i="1"/>
  <c r="U242" i="1"/>
  <c r="C242" i="1"/>
  <c r="BE242" i="1" s="1"/>
  <c r="AM241" i="1"/>
  <c r="U241" i="1"/>
  <c r="C241" i="1"/>
  <c r="BE241" i="1" s="1"/>
  <c r="AM240" i="1"/>
  <c r="AR38" i="1" s="1"/>
  <c r="U240" i="1"/>
  <c r="Z38" i="1" s="1"/>
  <c r="C240" i="1"/>
  <c r="AM239" i="1"/>
  <c r="U239" i="1"/>
  <c r="C239" i="1"/>
  <c r="BE239" i="1" s="1"/>
  <c r="AM238" i="1"/>
  <c r="U238" i="1"/>
  <c r="C238" i="1"/>
  <c r="BE238" i="1" s="1"/>
  <c r="AM237" i="1"/>
  <c r="U237" i="1"/>
  <c r="C237" i="1"/>
  <c r="BE237" i="1" s="1"/>
  <c r="AM236" i="1"/>
  <c r="U236" i="1"/>
  <c r="C236" i="1"/>
  <c r="BE236" i="1" s="1"/>
  <c r="AM235" i="1"/>
  <c r="U235" i="1"/>
  <c r="C235" i="1"/>
  <c r="BE235" i="1" s="1"/>
  <c r="AM234" i="1"/>
  <c r="U234" i="1"/>
  <c r="C234" i="1"/>
  <c r="BE234" i="1" s="1"/>
  <c r="AM233" i="1"/>
  <c r="AR37" i="1" s="1"/>
  <c r="U233" i="1"/>
  <c r="Z37" i="1" s="1"/>
  <c r="C233" i="1"/>
  <c r="AM232" i="1"/>
  <c r="U232" i="1"/>
  <c r="C232" i="1"/>
  <c r="BE232" i="1" s="1"/>
  <c r="AM231" i="1"/>
  <c r="U231" i="1"/>
  <c r="C231" i="1"/>
  <c r="BE231" i="1" s="1"/>
  <c r="AM230" i="1"/>
  <c r="U230" i="1"/>
  <c r="C230" i="1"/>
  <c r="BE230" i="1" s="1"/>
  <c r="AM229" i="1"/>
  <c r="U229" i="1"/>
  <c r="C229" i="1"/>
  <c r="BE229" i="1" s="1"/>
  <c r="AM228" i="1"/>
  <c r="U228" i="1"/>
  <c r="C228" i="1"/>
  <c r="BE228" i="1" s="1"/>
  <c r="AM227" i="1"/>
  <c r="U227" i="1"/>
  <c r="C227" i="1"/>
  <c r="AM226" i="1"/>
  <c r="AR36" i="1" s="1"/>
  <c r="U226" i="1"/>
  <c r="Z36" i="1" s="1"/>
  <c r="C226" i="1"/>
  <c r="AM225" i="1"/>
  <c r="U225" i="1"/>
  <c r="C225" i="1"/>
  <c r="BE225" i="1" s="1"/>
  <c r="AM224" i="1"/>
  <c r="U224" i="1"/>
  <c r="C224" i="1"/>
  <c r="BE224" i="1" s="1"/>
  <c r="AM223" i="1"/>
  <c r="U223" i="1"/>
  <c r="C223" i="1"/>
  <c r="BE223" i="1" s="1"/>
  <c r="AM222" i="1"/>
  <c r="U222" i="1"/>
  <c r="C222" i="1"/>
  <c r="BE222" i="1" s="1"/>
  <c r="AM221" i="1"/>
  <c r="U221" i="1"/>
  <c r="C221" i="1"/>
  <c r="BE221" i="1" s="1"/>
  <c r="AM220" i="1"/>
  <c r="U220" i="1"/>
  <c r="C220" i="1"/>
  <c r="BE220" i="1" s="1"/>
  <c r="AM219" i="1"/>
  <c r="AR35" i="1" s="1"/>
  <c r="U219" i="1"/>
  <c r="Z35" i="1" s="1"/>
  <c r="C219" i="1"/>
  <c r="AM218" i="1"/>
  <c r="U218" i="1"/>
  <c r="C218" i="1"/>
  <c r="BE218" i="1" s="1"/>
  <c r="AM217" i="1"/>
  <c r="U217" i="1"/>
  <c r="C217" i="1"/>
  <c r="BE217" i="1" s="1"/>
  <c r="AM216" i="1"/>
  <c r="AV11" i="1" s="1"/>
  <c r="U216" i="1"/>
  <c r="AD11" i="1" s="1"/>
  <c r="C216" i="1"/>
  <c r="AM215" i="1"/>
  <c r="U215" i="1"/>
  <c r="C215" i="1"/>
  <c r="BE215" i="1" s="1"/>
  <c r="AM214" i="1"/>
  <c r="U214" i="1"/>
  <c r="C214" i="1"/>
  <c r="BE214" i="1" s="1"/>
  <c r="AM213" i="1"/>
  <c r="U213" i="1"/>
  <c r="C213" i="1"/>
  <c r="BE213" i="1" s="1"/>
  <c r="AM212" i="1"/>
  <c r="AR34" i="1" s="1"/>
  <c r="U212" i="1"/>
  <c r="Z34" i="1" s="1"/>
  <c r="C212" i="1"/>
  <c r="AM211" i="1"/>
  <c r="U211" i="1"/>
  <c r="C211" i="1"/>
  <c r="BE211" i="1" s="1"/>
  <c r="AM210" i="1"/>
  <c r="U210" i="1"/>
  <c r="C210" i="1"/>
  <c r="BE210" i="1" s="1"/>
  <c r="AM209" i="1"/>
  <c r="U209" i="1"/>
  <c r="C209" i="1"/>
  <c r="BE209" i="1" s="1"/>
  <c r="AM208" i="1"/>
  <c r="U208" i="1"/>
  <c r="C208" i="1"/>
  <c r="BE208" i="1" s="1"/>
  <c r="AM207" i="1"/>
  <c r="U207" i="1"/>
  <c r="C207" i="1"/>
  <c r="BE207" i="1" s="1"/>
  <c r="AM206" i="1"/>
  <c r="U206" i="1"/>
  <c r="C206" i="1"/>
  <c r="BE206" i="1" s="1"/>
  <c r="AM205" i="1"/>
  <c r="AR33" i="1" s="1"/>
  <c r="U205" i="1"/>
  <c r="Z33" i="1" s="1"/>
  <c r="C205" i="1"/>
  <c r="AM204" i="1"/>
  <c r="U204" i="1"/>
  <c r="C204" i="1"/>
  <c r="BE204" i="1" s="1"/>
  <c r="AM203" i="1"/>
  <c r="U203" i="1"/>
  <c r="C203" i="1"/>
  <c r="BE203" i="1" s="1"/>
  <c r="AM202" i="1"/>
  <c r="U202" i="1"/>
  <c r="C202" i="1"/>
  <c r="BE202" i="1" s="1"/>
  <c r="AM201" i="1"/>
  <c r="U201" i="1"/>
  <c r="C201" i="1"/>
  <c r="BE201" i="1" s="1"/>
  <c r="AM200" i="1"/>
  <c r="U200" i="1"/>
  <c r="C200" i="1"/>
  <c r="BE200" i="1" s="1"/>
  <c r="AM199" i="1"/>
  <c r="U199" i="1"/>
  <c r="C199" i="1"/>
  <c r="BE199" i="1" s="1"/>
  <c r="AM198" i="1"/>
  <c r="AR32" i="1" s="1"/>
  <c r="U198" i="1"/>
  <c r="Z32" i="1" s="1"/>
  <c r="C198" i="1"/>
  <c r="AM197" i="1"/>
  <c r="U197" i="1"/>
  <c r="C197" i="1"/>
  <c r="BE197" i="1" s="1"/>
  <c r="AM196" i="1"/>
  <c r="U196" i="1"/>
  <c r="C196" i="1"/>
  <c r="BE196" i="1" s="1"/>
  <c r="AM195" i="1"/>
  <c r="U195" i="1"/>
  <c r="C195" i="1"/>
  <c r="BE195" i="1" s="1"/>
  <c r="AM194" i="1"/>
  <c r="U194" i="1"/>
  <c r="C194" i="1"/>
  <c r="BE194" i="1" s="1"/>
  <c r="AM193" i="1"/>
  <c r="U193" i="1"/>
  <c r="C193" i="1"/>
  <c r="BE193" i="1" s="1"/>
  <c r="AM192" i="1"/>
  <c r="U192" i="1"/>
  <c r="C192" i="1"/>
  <c r="BE192" i="1" s="1"/>
  <c r="AM191" i="1"/>
  <c r="AR31" i="1" s="1"/>
  <c r="U191" i="1"/>
  <c r="Z31" i="1" s="1"/>
  <c r="C191" i="1"/>
  <c r="AM190" i="1"/>
  <c r="U190" i="1"/>
  <c r="C190" i="1"/>
  <c r="BE190" i="1" s="1"/>
  <c r="AM189" i="1"/>
  <c r="U189" i="1"/>
  <c r="C189" i="1"/>
  <c r="BE189" i="1" s="1"/>
  <c r="AM188" i="1"/>
  <c r="U188" i="1"/>
  <c r="C188" i="1"/>
  <c r="BE188" i="1" s="1"/>
  <c r="AM187" i="1"/>
  <c r="U187" i="1"/>
  <c r="C187" i="1"/>
  <c r="BE187" i="1" s="1"/>
  <c r="AM186" i="1"/>
  <c r="U186" i="1"/>
  <c r="C186" i="1"/>
  <c r="BE186" i="1" s="1"/>
  <c r="AM185" i="1"/>
  <c r="AV10" i="1" s="1"/>
  <c r="U185" i="1"/>
  <c r="AD10" i="1" s="1"/>
  <c r="C185" i="1"/>
  <c r="AM184" i="1"/>
  <c r="AR30" i="1" s="1"/>
  <c r="U184" i="1"/>
  <c r="Z30" i="1" s="1"/>
  <c r="C184" i="1"/>
  <c r="AM183" i="1"/>
  <c r="U183" i="1"/>
  <c r="C183" i="1"/>
  <c r="BE183" i="1" s="1"/>
  <c r="AM182" i="1"/>
  <c r="U182" i="1"/>
  <c r="C182" i="1"/>
  <c r="BE182" i="1" s="1"/>
  <c r="AM181" i="1"/>
  <c r="U181" i="1"/>
  <c r="C181" i="1"/>
  <c r="BE181" i="1" s="1"/>
  <c r="AM180" i="1"/>
  <c r="U180" i="1"/>
  <c r="C180" i="1"/>
  <c r="BE180" i="1" s="1"/>
  <c r="AM179" i="1"/>
  <c r="U179" i="1"/>
  <c r="C179" i="1"/>
  <c r="BE179" i="1" s="1"/>
  <c r="AM178" i="1"/>
  <c r="U178" i="1"/>
  <c r="C178" i="1"/>
  <c r="BE178" i="1" s="1"/>
  <c r="AM177" i="1"/>
  <c r="AR29" i="1" s="1"/>
  <c r="U177" i="1"/>
  <c r="Z29" i="1" s="1"/>
  <c r="C177" i="1"/>
  <c r="AM176" i="1"/>
  <c r="U176" i="1"/>
  <c r="C176" i="1"/>
  <c r="BE176" i="1" s="1"/>
  <c r="AM175" i="1"/>
  <c r="U175" i="1"/>
  <c r="C175" i="1"/>
  <c r="BE175" i="1" s="1"/>
  <c r="AM174" i="1"/>
  <c r="U174" i="1"/>
  <c r="C174" i="1"/>
  <c r="BE174" i="1" s="1"/>
  <c r="AM173" i="1"/>
  <c r="U173" i="1"/>
  <c r="C173" i="1"/>
  <c r="BE173" i="1" s="1"/>
  <c r="AM172" i="1"/>
  <c r="U172" i="1"/>
  <c r="C172" i="1"/>
  <c r="BE172" i="1" s="1"/>
  <c r="AM171" i="1"/>
  <c r="U171" i="1"/>
  <c r="C171" i="1"/>
  <c r="BE171" i="1" s="1"/>
  <c r="AM170" i="1"/>
  <c r="U170" i="1"/>
  <c r="C170" i="1"/>
  <c r="AM169" i="1"/>
  <c r="U169" i="1"/>
  <c r="C169" i="1"/>
  <c r="AM168" i="1"/>
  <c r="U168" i="1"/>
  <c r="C168" i="1"/>
  <c r="AM167" i="1"/>
  <c r="U167" i="1"/>
  <c r="C167" i="1"/>
  <c r="AM166" i="1"/>
  <c r="U166" i="1"/>
  <c r="C166" i="1"/>
  <c r="AM165" i="1"/>
  <c r="U165" i="1"/>
  <c r="C165" i="1"/>
  <c r="AM164" i="1"/>
  <c r="U164" i="1"/>
  <c r="C164" i="1"/>
  <c r="AM163" i="1"/>
  <c r="U163" i="1"/>
  <c r="C163" i="1"/>
  <c r="AM162" i="1"/>
  <c r="U162" i="1"/>
  <c r="C162" i="1"/>
  <c r="AM161" i="1"/>
  <c r="U161" i="1"/>
  <c r="C161" i="1"/>
  <c r="AM160" i="1"/>
  <c r="U160" i="1"/>
  <c r="C160" i="1"/>
  <c r="AM159" i="1"/>
  <c r="U159" i="1"/>
  <c r="C159" i="1"/>
  <c r="AM158" i="1"/>
  <c r="U158" i="1"/>
  <c r="C158" i="1"/>
  <c r="AM157" i="1"/>
  <c r="U157" i="1"/>
  <c r="C157" i="1"/>
  <c r="AM156" i="1"/>
  <c r="U156" i="1"/>
  <c r="C156" i="1"/>
  <c r="AM155" i="1"/>
  <c r="U155" i="1"/>
  <c r="C155" i="1"/>
  <c r="AM154" i="1"/>
  <c r="U154" i="1"/>
  <c r="C154" i="1"/>
  <c r="AM153" i="1"/>
  <c r="U153" i="1"/>
  <c r="C153" i="1"/>
  <c r="AM152" i="1"/>
  <c r="U152" i="1"/>
  <c r="C152" i="1"/>
  <c r="AM151" i="1"/>
  <c r="U151" i="1"/>
  <c r="C151" i="1"/>
  <c r="AM150" i="1"/>
  <c r="U150" i="1"/>
  <c r="C150" i="1"/>
  <c r="AM149" i="1"/>
  <c r="U149" i="1"/>
  <c r="C149" i="1"/>
  <c r="AM148" i="1"/>
  <c r="U148" i="1"/>
  <c r="C148" i="1"/>
  <c r="AM147" i="1"/>
  <c r="U147" i="1"/>
  <c r="C147" i="1"/>
  <c r="AM146" i="1"/>
  <c r="U146" i="1"/>
  <c r="C146" i="1"/>
  <c r="AM145" i="1"/>
  <c r="U145" i="1"/>
  <c r="C145" i="1"/>
  <c r="AM144" i="1"/>
  <c r="U144" i="1"/>
  <c r="C144" i="1"/>
  <c r="AM143" i="1"/>
  <c r="U143" i="1"/>
  <c r="C143" i="1"/>
  <c r="AM142" i="1"/>
  <c r="U142" i="1"/>
  <c r="C142" i="1"/>
  <c r="AM141" i="1"/>
  <c r="U141" i="1"/>
  <c r="C141" i="1"/>
  <c r="AM140" i="1"/>
  <c r="U140" i="1"/>
  <c r="C140" i="1"/>
  <c r="AM139" i="1"/>
  <c r="U139" i="1"/>
  <c r="C139" i="1"/>
  <c r="AM138" i="1"/>
  <c r="U138" i="1"/>
  <c r="C138" i="1"/>
  <c r="AM137" i="1"/>
  <c r="U137" i="1"/>
  <c r="C137" i="1"/>
  <c r="AM136" i="1"/>
  <c r="U136" i="1"/>
  <c r="C136" i="1"/>
  <c r="AM135" i="1"/>
  <c r="U135" i="1"/>
  <c r="C135" i="1"/>
  <c r="AM134" i="1"/>
  <c r="U134" i="1"/>
  <c r="C134" i="1"/>
  <c r="AM133" i="1"/>
  <c r="U133" i="1"/>
  <c r="C133" i="1"/>
  <c r="AM132" i="1"/>
  <c r="U132" i="1"/>
  <c r="C132" i="1"/>
  <c r="AM131" i="1"/>
  <c r="U131" i="1"/>
  <c r="C131" i="1"/>
  <c r="AM130" i="1"/>
  <c r="U130" i="1"/>
  <c r="C130" i="1"/>
  <c r="AM129" i="1"/>
  <c r="U129" i="1"/>
  <c r="C129" i="1"/>
  <c r="AM128" i="1"/>
  <c r="U128" i="1"/>
  <c r="C128" i="1"/>
  <c r="AM127" i="1"/>
  <c r="U127" i="1"/>
  <c r="C127" i="1"/>
  <c r="AM126" i="1"/>
  <c r="U126" i="1"/>
  <c r="C126" i="1"/>
  <c r="AM125" i="1"/>
  <c r="U125" i="1"/>
  <c r="C125" i="1"/>
  <c r="AM124" i="1"/>
  <c r="U124" i="1"/>
  <c r="C124" i="1"/>
  <c r="AM123" i="1"/>
  <c r="U123" i="1"/>
  <c r="C123" i="1"/>
  <c r="AM122" i="1"/>
  <c r="U122" i="1"/>
  <c r="C122" i="1"/>
  <c r="AM121" i="1"/>
  <c r="U121" i="1"/>
  <c r="C121" i="1"/>
  <c r="AM120" i="1"/>
  <c r="U120" i="1"/>
  <c r="C120" i="1"/>
  <c r="AM119" i="1"/>
  <c r="U119" i="1"/>
  <c r="C119" i="1"/>
  <c r="AM118" i="1"/>
  <c r="U118" i="1"/>
  <c r="C118" i="1"/>
  <c r="AM117" i="1"/>
  <c r="U117" i="1"/>
  <c r="C117" i="1"/>
  <c r="AM116" i="1"/>
  <c r="U116" i="1"/>
  <c r="C116" i="1"/>
  <c r="AM115" i="1"/>
  <c r="U115" i="1"/>
  <c r="C115" i="1"/>
  <c r="AM114" i="1"/>
  <c r="U114" i="1"/>
  <c r="C114" i="1"/>
  <c r="AM113" i="1"/>
  <c r="U113" i="1"/>
  <c r="C113" i="1"/>
  <c r="AM112" i="1"/>
  <c r="U112" i="1"/>
  <c r="C112" i="1"/>
  <c r="AM111" i="1"/>
  <c r="U111" i="1"/>
  <c r="C111" i="1"/>
  <c r="AM110" i="1"/>
  <c r="U110" i="1"/>
  <c r="C110" i="1"/>
  <c r="AM109" i="1"/>
  <c r="U109" i="1"/>
  <c r="C109" i="1"/>
  <c r="AM108" i="1"/>
  <c r="U108" i="1"/>
  <c r="C108" i="1"/>
  <c r="AM107" i="1"/>
  <c r="U107" i="1"/>
  <c r="C107" i="1"/>
  <c r="AM106" i="1"/>
  <c r="U106" i="1"/>
  <c r="C106" i="1"/>
  <c r="AM105" i="1"/>
  <c r="U105" i="1"/>
  <c r="C105" i="1"/>
  <c r="AM104" i="1"/>
  <c r="U104" i="1"/>
  <c r="C104" i="1"/>
  <c r="AM103" i="1"/>
  <c r="U103" i="1"/>
  <c r="C103" i="1"/>
  <c r="AM102" i="1"/>
  <c r="U102" i="1"/>
  <c r="C102" i="1"/>
  <c r="AM101" i="1"/>
  <c r="U101" i="1"/>
  <c r="C101" i="1"/>
  <c r="AM100" i="1"/>
  <c r="U100" i="1"/>
  <c r="C100" i="1"/>
  <c r="AM99" i="1"/>
  <c r="U99" i="1"/>
  <c r="C99" i="1"/>
  <c r="AM98" i="1"/>
  <c r="U98" i="1"/>
  <c r="C98" i="1"/>
  <c r="AM97" i="1"/>
  <c r="U97" i="1"/>
  <c r="C97" i="1"/>
  <c r="AM96" i="1"/>
  <c r="U96" i="1"/>
  <c r="C96" i="1"/>
  <c r="AM95" i="1"/>
  <c r="U95" i="1"/>
  <c r="C95" i="1"/>
  <c r="AM94" i="1"/>
  <c r="U94" i="1"/>
  <c r="C94" i="1"/>
  <c r="AM93" i="1"/>
  <c r="U93" i="1"/>
  <c r="C93" i="1"/>
  <c r="AM92" i="1"/>
  <c r="U92" i="1"/>
  <c r="C92" i="1"/>
  <c r="AM91" i="1"/>
  <c r="U91" i="1"/>
  <c r="C91" i="1"/>
  <c r="AM90" i="1"/>
  <c r="U90" i="1"/>
  <c r="C90" i="1"/>
  <c r="AM89" i="1"/>
  <c r="U89" i="1"/>
  <c r="C89" i="1"/>
  <c r="AM88" i="1"/>
  <c r="U88" i="1"/>
  <c r="C88" i="1"/>
  <c r="AM87" i="1"/>
  <c r="U87" i="1"/>
  <c r="C87" i="1"/>
  <c r="AM86" i="1"/>
  <c r="U86" i="1"/>
  <c r="C86" i="1"/>
  <c r="AM85" i="1"/>
  <c r="U85" i="1"/>
  <c r="C85" i="1"/>
  <c r="AM84" i="1"/>
  <c r="U84" i="1"/>
  <c r="C84" i="1"/>
  <c r="AM83" i="1"/>
  <c r="U83" i="1"/>
  <c r="C83" i="1"/>
  <c r="AM82" i="1"/>
  <c r="U82" i="1"/>
  <c r="C82" i="1"/>
  <c r="AM81" i="1"/>
  <c r="U81" i="1"/>
  <c r="C81" i="1"/>
  <c r="AM80" i="1"/>
  <c r="U80" i="1"/>
  <c r="C80" i="1"/>
  <c r="AM79" i="1"/>
  <c r="U79" i="1"/>
  <c r="C79" i="1"/>
  <c r="AM78" i="1"/>
  <c r="U78" i="1"/>
  <c r="C78" i="1"/>
  <c r="AM77" i="1"/>
  <c r="U77" i="1"/>
  <c r="C77" i="1"/>
  <c r="AM76" i="1"/>
  <c r="U76" i="1"/>
  <c r="C76" i="1"/>
  <c r="AM75" i="1"/>
  <c r="U75" i="1"/>
  <c r="C75" i="1"/>
  <c r="AM74" i="1"/>
  <c r="U74" i="1"/>
  <c r="C74" i="1"/>
  <c r="AM73" i="1"/>
  <c r="U73" i="1"/>
  <c r="C73" i="1"/>
  <c r="AM72" i="1"/>
  <c r="U72" i="1"/>
  <c r="C72" i="1"/>
  <c r="AM71" i="1"/>
  <c r="U71" i="1"/>
  <c r="C71" i="1"/>
  <c r="AM70" i="1"/>
  <c r="U70" i="1"/>
  <c r="C70" i="1"/>
  <c r="AM69" i="1"/>
  <c r="U69" i="1"/>
  <c r="C69" i="1"/>
  <c r="AM68" i="1"/>
  <c r="U68" i="1"/>
  <c r="C68" i="1"/>
  <c r="AM67" i="1"/>
  <c r="U67" i="1"/>
  <c r="C67" i="1"/>
  <c r="AM66" i="1"/>
  <c r="U66" i="1"/>
  <c r="C66" i="1"/>
  <c r="AM65" i="1"/>
  <c r="U65" i="1"/>
  <c r="C65" i="1"/>
  <c r="AM64" i="1"/>
  <c r="U64" i="1"/>
  <c r="C64" i="1"/>
  <c r="AM63" i="1"/>
  <c r="U63" i="1"/>
  <c r="C63" i="1"/>
  <c r="AM62" i="1"/>
  <c r="U62" i="1"/>
  <c r="C62" i="1"/>
  <c r="AM61" i="1"/>
  <c r="U61" i="1"/>
  <c r="C61" i="1"/>
  <c r="AM60" i="1"/>
  <c r="U60" i="1"/>
  <c r="C60" i="1"/>
  <c r="AM59" i="1"/>
  <c r="U59" i="1"/>
  <c r="C59" i="1"/>
  <c r="AM58" i="1"/>
  <c r="U58" i="1"/>
  <c r="C58" i="1"/>
  <c r="AM57" i="1"/>
  <c r="U57" i="1"/>
  <c r="C57" i="1"/>
  <c r="AM56" i="1"/>
  <c r="U56" i="1"/>
  <c r="C56" i="1"/>
  <c r="AM55" i="1"/>
  <c r="U55" i="1"/>
  <c r="C55" i="1"/>
  <c r="AM54" i="1"/>
  <c r="U54" i="1"/>
  <c r="C54" i="1"/>
  <c r="AM53" i="1"/>
  <c r="U53" i="1"/>
  <c r="C53" i="1"/>
  <c r="AM52" i="1"/>
  <c r="U52" i="1"/>
  <c r="C52" i="1"/>
  <c r="AM51" i="1"/>
  <c r="U51" i="1"/>
  <c r="C51" i="1"/>
  <c r="AM50" i="1"/>
  <c r="U50" i="1"/>
  <c r="C50" i="1"/>
  <c r="AM49" i="1"/>
  <c r="U49" i="1"/>
  <c r="C49" i="1"/>
  <c r="AM48" i="1"/>
  <c r="U48" i="1"/>
  <c r="C48" i="1"/>
  <c r="AM47" i="1"/>
  <c r="U47" i="1"/>
  <c r="C47" i="1"/>
  <c r="AM46" i="1"/>
  <c r="U46" i="1"/>
  <c r="C46" i="1"/>
  <c r="AM45" i="1"/>
  <c r="U45" i="1"/>
  <c r="C45" i="1"/>
  <c r="AM44" i="1"/>
  <c r="U44" i="1"/>
  <c r="C44" i="1"/>
  <c r="AM43" i="1"/>
  <c r="U43" i="1"/>
  <c r="C43" i="1"/>
  <c r="AM42" i="1"/>
  <c r="U42" i="1"/>
  <c r="C42" i="1"/>
  <c r="AM41" i="1"/>
  <c r="U41" i="1"/>
  <c r="C41" i="1"/>
  <c r="AM40" i="1"/>
  <c r="U40" i="1"/>
  <c r="C40" i="1"/>
  <c r="AM39" i="1"/>
  <c r="U39" i="1"/>
  <c r="C39" i="1"/>
  <c r="AM38" i="1"/>
  <c r="U38" i="1"/>
  <c r="C38" i="1"/>
  <c r="AM37" i="1"/>
  <c r="U37" i="1"/>
  <c r="C37" i="1"/>
  <c r="AM36" i="1"/>
  <c r="U36" i="1"/>
  <c r="C36" i="1"/>
  <c r="AM35" i="1"/>
  <c r="U35" i="1"/>
  <c r="C35" i="1"/>
  <c r="AM34" i="1"/>
  <c r="U34" i="1"/>
  <c r="C34" i="1"/>
  <c r="AM33" i="1"/>
  <c r="U33" i="1"/>
  <c r="C33" i="1"/>
  <c r="AM32" i="1"/>
  <c r="U32" i="1"/>
  <c r="C32" i="1"/>
  <c r="AM31" i="1"/>
  <c r="U31" i="1"/>
  <c r="C31" i="1"/>
  <c r="AM30" i="1"/>
  <c r="U30" i="1"/>
  <c r="C30" i="1"/>
  <c r="AM29" i="1"/>
  <c r="U29" i="1"/>
  <c r="C29" i="1"/>
  <c r="AM28" i="1"/>
  <c r="U28" i="1"/>
  <c r="C28" i="1"/>
  <c r="AM27" i="1"/>
  <c r="U27" i="1"/>
  <c r="C27" i="1"/>
  <c r="AM26" i="1"/>
  <c r="U26" i="1"/>
  <c r="C26" i="1"/>
  <c r="AM25" i="1"/>
  <c r="U25" i="1"/>
  <c r="C25" i="1"/>
  <c r="AM24" i="1"/>
  <c r="U24" i="1"/>
  <c r="C24" i="1"/>
  <c r="AM23" i="1"/>
  <c r="U23" i="1"/>
  <c r="C23" i="1"/>
  <c r="AM22" i="1"/>
  <c r="U22" i="1"/>
  <c r="C22" i="1"/>
  <c r="AM21" i="1"/>
  <c r="U21" i="1"/>
  <c r="C21" i="1"/>
  <c r="AM20" i="1"/>
  <c r="U20" i="1"/>
  <c r="C20" i="1"/>
  <c r="AM19" i="1"/>
  <c r="U19" i="1"/>
  <c r="C19" i="1"/>
  <c r="AM18" i="1"/>
  <c r="U18" i="1"/>
  <c r="C18" i="1"/>
  <c r="AM17" i="1"/>
  <c r="U17" i="1"/>
  <c r="C17" i="1"/>
  <c r="AM16" i="1"/>
  <c r="U16" i="1"/>
  <c r="C16" i="1"/>
  <c r="AM15" i="1"/>
  <c r="U15" i="1"/>
  <c r="C15" i="1"/>
  <c r="AM14" i="1"/>
  <c r="U14" i="1"/>
  <c r="C14" i="1"/>
  <c r="AM13" i="1"/>
  <c r="U13" i="1"/>
  <c r="C13" i="1"/>
  <c r="AM12" i="1"/>
  <c r="U12" i="1"/>
  <c r="C12" i="1"/>
  <c r="AM11" i="1"/>
  <c r="U11" i="1"/>
  <c r="C11" i="1"/>
  <c r="AM10" i="1"/>
  <c r="U10" i="1"/>
  <c r="C10" i="1"/>
  <c r="AM9" i="1"/>
  <c r="U9" i="1"/>
  <c r="C9" i="1"/>
  <c r="AM8" i="1"/>
  <c r="U8" i="1"/>
  <c r="C8" i="1"/>
  <c r="AM7" i="1"/>
  <c r="U7" i="1"/>
  <c r="C7" i="1"/>
  <c r="AM6" i="1"/>
  <c r="U6" i="1"/>
  <c r="C6" i="1"/>
  <c r="AM5" i="1"/>
  <c r="U5" i="1"/>
  <c r="C5" i="1"/>
  <c r="AM4" i="1"/>
  <c r="U4" i="1"/>
  <c r="C4" i="1"/>
  <c r="AM368" i="2"/>
  <c r="U368" i="2"/>
  <c r="C368" i="2"/>
  <c r="BE368" i="2" s="1"/>
  <c r="AM367" i="2"/>
  <c r="U367" i="2"/>
  <c r="C367" i="2"/>
  <c r="BE367" i="2" s="1"/>
  <c r="AM366" i="2"/>
  <c r="AR56" i="2" s="1"/>
  <c r="U366" i="2"/>
  <c r="Z56" i="2" s="1"/>
  <c r="C366" i="2"/>
  <c r="AM365" i="2"/>
  <c r="U365" i="2"/>
  <c r="C365" i="2"/>
  <c r="BE365" i="2" s="1"/>
  <c r="AM364" i="2"/>
  <c r="U364" i="2"/>
  <c r="C364" i="2"/>
  <c r="BE364" i="2" s="1"/>
  <c r="AM363" i="2"/>
  <c r="U363" i="2"/>
  <c r="C363" i="2"/>
  <c r="BE363" i="2" s="1"/>
  <c r="AM362" i="2"/>
  <c r="U362" i="2"/>
  <c r="C362" i="2"/>
  <c r="BE362" i="2" s="1"/>
  <c r="AM361" i="2"/>
  <c r="U361" i="2"/>
  <c r="C361" i="2"/>
  <c r="BE361" i="2" s="1"/>
  <c r="AM360" i="2"/>
  <c r="U360" i="2"/>
  <c r="C360" i="2"/>
  <c r="BE360" i="2" s="1"/>
  <c r="AM359" i="2"/>
  <c r="AR55" i="2" s="1"/>
  <c r="U359" i="2"/>
  <c r="Z55" i="2" s="1"/>
  <c r="C359" i="2"/>
  <c r="AM358" i="2"/>
  <c r="U358" i="2"/>
  <c r="C358" i="2"/>
  <c r="BE358" i="2" s="1"/>
  <c r="AM357" i="2"/>
  <c r="U357" i="2"/>
  <c r="C357" i="2"/>
  <c r="BE357" i="2" s="1"/>
  <c r="AM356" i="2"/>
  <c r="U356" i="2"/>
  <c r="C356" i="2"/>
  <c r="BE356" i="2" s="1"/>
  <c r="AM355" i="2"/>
  <c r="U355" i="2"/>
  <c r="C355" i="2"/>
  <c r="BE355" i="2" s="1"/>
  <c r="AM354" i="2"/>
  <c r="U354" i="2"/>
  <c r="C354" i="2"/>
  <c r="BE354" i="2" s="1"/>
  <c r="AM353" i="2"/>
  <c r="U353" i="2"/>
  <c r="C353" i="2"/>
  <c r="BE353" i="2" s="1"/>
  <c r="AM352" i="2"/>
  <c r="AR54" i="2" s="1"/>
  <c r="U352" i="2"/>
  <c r="Z54" i="2" s="1"/>
  <c r="C352" i="2"/>
  <c r="AM351" i="2"/>
  <c r="U351" i="2"/>
  <c r="C351" i="2"/>
  <c r="BE351" i="2" s="1"/>
  <c r="AM350" i="2"/>
  <c r="U350" i="2"/>
  <c r="C350" i="2"/>
  <c r="BE350" i="2" s="1"/>
  <c r="AM349" i="2"/>
  <c r="U349" i="2"/>
  <c r="C349" i="2"/>
  <c r="BE349" i="2" s="1"/>
  <c r="AM348" i="2"/>
  <c r="U348" i="2"/>
  <c r="C348" i="2"/>
  <c r="BE348" i="2" s="1"/>
  <c r="AM347" i="2"/>
  <c r="U347" i="2"/>
  <c r="C347" i="2"/>
  <c r="BE347" i="2" s="1"/>
  <c r="AM346" i="2"/>
  <c r="U346" i="2"/>
  <c r="C346" i="2"/>
  <c r="BE346" i="2" s="1"/>
  <c r="AM345" i="2"/>
  <c r="AR53" i="2" s="1"/>
  <c r="U345" i="2"/>
  <c r="Z53" i="2" s="1"/>
  <c r="C345" i="2"/>
  <c r="AM344" i="2"/>
  <c r="U344" i="2"/>
  <c r="C344" i="2"/>
  <c r="BE344" i="2" s="1"/>
  <c r="AM343" i="2"/>
  <c r="U343" i="2"/>
  <c r="C343" i="2"/>
  <c r="BE343" i="2" s="1"/>
  <c r="AM342" i="2"/>
  <c r="U342" i="2"/>
  <c r="C342" i="2"/>
  <c r="BE342" i="2" s="1"/>
  <c r="AM341" i="2"/>
  <c r="U341" i="2"/>
  <c r="C341" i="2"/>
  <c r="BE341" i="2" s="1"/>
  <c r="AM340" i="2"/>
  <c r="U340" i="2"/>
  <c r="C340" i="2"/>
  <c r="BE340" i="2" s="1"/>
  <c r="AM339" i="2"/>
  <c r="U339" i="2"/>
  <c r="C339" i="2"/>
  <c r="BE339" i="2" s="1"/>
  <c r="AM338" i="2"/>
  <c r="U338" i="2"/>
  <c r="C338" i="2"/>
  <c r="AM337" i="2"/>
  <c r="U337" i="2"/>
  <c r="C337" i="2"/>
  <c r="BE337" i="2" s="1"/>
  <c r="AM336" i="2"/>
  <c r="U336" i="2"/>
  <c r="C336" i="2"/>
  <c r="BE336" i="2" s="1"/>
  <c r="AM335" i="2"/>
  <c r="U335" i="2"/>
  <c r="C335" i="2"/>
  <c r="BE335" i="2" s="1"/>
  <c r="AM334" i="2"/>
  <c r="U334" i="2"/>
  <c r="C334" i="2"/>
  <c r="BE334" i="2" s="1"/>
  <c r="AM333" i="2"/>
  <c r="U333" i="2"/>
  <c r="C333" i="2"/>
  <c r="BE333" i="2" s="1"/>
  <c r="AM332" i="2"/>
  <c r="U332" i="2"/>
  <c r="C332" i="2"/>
  <c r="BE332" i="2" s="1"/>
  <c r="AM331" i="2"/>
  <c r="AR51" i="2" s="1"/>
  <c r="U331" i="2"/>
  <c r="Z51" i="2" s="1"/>
  <c r="C331" i="2"/>
  <c r="AM330" i="2"/>
  <c r="U330" i="2"/>
  <c r="C330" i="2"/>
  <c r="BE330" i="2" s="1"/>
  <c r="AM329" i="2"/>
  <c r="U329" i="2"/>
  <c r="C329" i="2"/>
  <c r="BE329" i="2" s="1"/>
  <c r="AM328" i="2"/>
  <c r="U328" i="2"/>
  <c r="C328" i="2"/>
  <c r="BE328" i="2" s="1"/>
  <c r="AM327" i="2"/>
  <c r="U327" i="2"/>
  <c r="C327" i="2"/>
  <c r="BE327" i="2" s="1"/>
  <c r="AM326" i="2"/>
  <c r="U326" i="2"/>
  <c r="C326" i="2"/>
  <c r="BE326" i="2" s="1"/>
  <c r="AM325" i="2"/>
  <c r="U325" i="2"/>
  <c r="C325" i="2"/>
  <c r="BE325" i="2" s="1"/>
  <c r="AM324" i="2"/>
  <c r="AR50" i="2" s="1"/>
  <c r="U324" i="2"/>
  <c r="Z50" i="2" s="1"/>
  <c r="C324" i="2"/>
  <c r="AM323" i="2"/>
  <c r="U323" i="2"/>
  <c r="C323" i="2"/>
  <c r="BE323" i="2" s="1"/>
  <c r="AM322" i="2"/>
  <c r="U322" i="2"/>
  <c r="C322" i="2"/>
  <c r="BE322" i="2" s="1"/>
  <c r="AM321" i="2"/>
  <c r="U321" i="2"/>
  <c r="C321" i="2"/>
  <c r="BE321" i="2" s="1"/>
  <c r="AM320" i="2"/>
  <c r="U320" i="2"/>
  <c r="C320" i="2"/>
  <c r="BE320" i="2" s="1"/>
  <c r="AM319" i="2"/>
  <c r="U319" i="2"/>
  <c r="C319" i="2"/>
  <c r="BE319" i="2" s="1"/>
  <c r="AM318" i="2"/>
  <c r="U318" i="2"/>
  <c r="C318" i="2"/>
  <c r="BE318" i="2" s="1"/>
  <c r="AM317" i="2"/>
  <c r="AR49" i="2" s="1"/>
  <c r="U317" i="2"/>
  <c r="Z49" i="2" s="1"/>
  <c r="C317" i="2"/>
  <c r="AM316" i="2"/>
  <c r="U316" i="2"/>
  <c r="C316" i="2"/>
  <c r="BE316" i="2" s="1"/>
  <c r="AM315" i="2"/>
  <c r="U315" i="2"/>
  <c r="C315" i="2"/>
  <c r="BE315" i="2" s="1"/>
  <c r="AM314" i="2"/>
  <c r="U314" i="2"/>
  <c r="C314" i="2"/>
  <c r="BE314" i="2" s="1"/>
  <c r="AM313" i="2"/>
  <c r="U313" i="2"/>
  <c r="C313" i="2"/>
  <c r="BE313" i="2" s="1"/>
  <c r="AM312" i="2"/>
  <c r="U312" i="2"/>
  <c r="C312" i="2"/>
  <c r="BE312" i="2" s="1"/>
  <c r="AM311" i="2"/>
  <c r="U311" i="2"/>
  <c r="C311" i="2"/>
  <c r="BE311" i="2" s="1"/>
  <c r="AM310" i="2"/>
  <c r="AR48" i="2" s="1"/>
  <c r="U310" i="2"/>
  <c r="Z48" i="2" s="1"/>
  <c r="C310" i="2"/>
  <c r="AM309" i="2"/>
  <c r="U309" i="2"/>
  <c r="C309" i="2"/>
  <c r="BE309" i="2" s="1"/>
  <c r="AM308" i="2"/>
  <c r="AV14" i="2" s="1"/>
  <c r="U308" i="2"/>
  <c r="AD14" i="2" s="1"/>
  <c r="C308" i="2"/>
  <c r="AM307" i="2"/>
  <c r="U307" i="2"/>
  <c r="C307" i="2"/>
  <c r="BE307" i="2" s="1"/>
  <c r="AM306" i="2"/>
  <c r="U306" i="2"/>
  <c r="C306" i="2"/>
  <c r="BE306" i="2" s="1"/>
  <c r="AM305" i="2"/>
  <c r="U305" i="2"/>
  <c r="C305" i="2"/>
  <c r="BE305" i="2" s="1"/>
  <c r="AM304" i="2"/>
  <c r="U304" i="2"/>
  <c r="C304" i="2"/>
  <c r="BE304" i="2" s="1"/>
  <c r="AM303" i="2"/>
  <c r="AR47" i="2" s="1"/>
  <c r="U303" i="2"/>
  <c r="Z47" i="2" s="1"/>
  <c r="C303" i="2"/>
  <c r="AM302" i="2"/>
  <c r="U302" i="2"/>
  <c r="C302" i="2"/>
  <c r="BE302" i="2" s="1"/>
  <c r="AM301" i="2"/>
  <c r="U301" i="2"/>
  <c r="C301" i="2"/>
  <c r="BE301" i="2" s="1"/>
  <c r="AM300" i="2"/>
  <c r="U300" i="2"/>
  <c r="C300" i="2"/>
  <c r="BE300" i="2" s="1"/>
  <c r="AM299" i="2"/>
  <c r="U299" i="2"/>
  <c r="C299" i="2"/>
  <c r="BE299" i="2" s="1"/>
  <c r="AM298" i="2"/>
  <c r="U298" i="2"/>
  <c r="C298" i="2"/>
  <c r="BE298" i="2" s="1"/>
  <c r="AM297" i="2"/>
  <c r="U297" i="2"/>
  <c r="C297" i="2"/>
  <c r="BE297" i="2" s="1"/>
  <c r="AM296" i="2"/>
  <c r="AR46" i="2" s="1"/>
  <c r="U296" i="2"/>
  <c r="Z46" i="2" s="1"/>
  <c r="C296" i="2"/>
  <c r="AM295" i="2"/>
  <c r="U295" i="2"/>
  <c r="C295" i="2"/>
  <c r="BE295" i="2" s="1"/>
  <c r="AM294" i="2"/>
  <c r="U294" i="2"/>
  <c r="C294" i="2"/>
  <c r="BE294" i="2" s="1"/>
  <c r="AM293" i="2"/>
  <c r="U293" i="2"/>
  <c r="C293" i="2"/>
  <c r="BE293" i="2" s="1"/>
  <c r="AM292" i="2"/>
  <c r="U292" i="2"/>
  <c r="C292" i="2"/>
  <c r="BE292" i="2" s="1"/>
  <c r="AM291" i="2"/>
  <c r="U291" i="2"/>
  <c r="C291" i="2"/>
  <c r="BE291" i="2" s="1"/>
  <c r="AM290" i="2"/>
  <c r="U290" i="2"/>
  <c r="C290" i="2"/>
  <c r="BE290" i="2" s="1"/>
  <c r="AM289" i="2"/>
  <c r="AR45" i="2" s="1"/>
  <c r="U289" i="2"/>
  <c r="Z45" i="2" s="1"/>
  <c r="C289" i="2"/>
  <c r="AM288" i="2"/>
  <c r="U288" i="2"/>
  <c r="C288" i="2"/>
  <c r="BE288" i="2" s="1"/>
  <c r="AM287" i="2"/>
  <c r="U287" i="2"/>
  <c r="C287" i="2"/>
  <c r="BE287" i="2" s="1"/>
  <c r="AM286" i="2"/>
  <c r="U286" i="2"/>
  <c r="C286" i="2"/>
  <c r="BE286" i="2" s="1"/>
  <c r="AM285" i="2"/>
  <c r="U285" i="2"/>
  <c r="C285" i="2"/>
  <c r="BE285" i="2" s="1"/>
  <c r="AM284" i="2"/>
  <c r="U284" i="2"/>
  <c r="C284" i="2"/>
  <c r="BE284" i="2" s="1"/>
  <c r="AM283" i="2"/>
  <c r="U283" i="2"/>
  <c r="C283" i="2"/>
  <c r="BE283" i="2" s="1"/>
  <c r="AM282" i="2"/>
  <c r="AR44" i="2" s="1"/>
  <c r="U282" i="2"/>
  <c r="Z44" i="2" s="1"/>
  <c r="C282" i="2"/>
  <c r="AM281" i="2"/>
  <c r="U281" i="2"/>
  <c r="C281" i="2"/>
  <c r="BE281" i="2" s="1"/>
  <c r="AM280" i="2"/>
  <c r="U280" i="2"/>
  <c r="C280" i="2"/>
  <c r="BE280" i="2" s="1"/>
  <c r="AM279" i="2"/>
  <c r="U279" i="2"/>
  <c r="C279" i="2"/>
  <c r="BE279" i="2" s="1"/>
  <c r="AM278" i="2"/>
  <c r="U278" i="2"/>
  <c r="C278" i="2"/>
  <c r="BE278" i="2" s="1"/>
  <c r="AM277" i="2"/>
  <c r="AV13" i="2" s="1"/>
  <c r="U277" i="2"/>
  <c r="AD13" i="2" s="1"/>
  <c r="C277" i="2"/>
  <c r="AM276" i="2"/>
  <c r="U276" i="2"/>
  <c r="C276" i="2"/>
  <c r="BE276" i="2" s="1"/>
  <c r="AM275" i="2"/>
  <c r="AR43" i="2" s="1"/>
  <c r="U275" i="2"/>
  <c r="Z43" i="2" s="1"/>
  <c r="C275" i="2"/>
  <c r="AM274" i="2"/>
  <c r="U274" i="2"/>
  <c r="C274" i="2"/>
  <c r="BE274" i="2" s="1"/>
  <c r="AM273" i="2"/>
  <c r="U273" i="2"/>
  <c r="C273" i="2"/>
  <c r="BE273" i="2" s="1"/>
  <c r="AM272" i="2"/>
  <c r="U272" i="2"/>
  <c r="C272" i="2"/>
  <c r="BE272" i="2" s="1"/>
  <c r="AM271" i="2"/>
  <c r="U271" i="2"/>
  <c r="C271" i="2"/>
  <c r="BE271" i="2" s="1"/>
  <c r="AM270" i="2"/>
  <c r="U270" i="2"/>
  <c r="C270" i="2"/>
  <c r="BE270" i="2" s="1"/>
  <c r="AM269" i="2"/>
  <c r="U269" i="2"/>
  <c r="C269" i="2"/>
  <c r="BE269" i="2" s="1"/>
  <c r="AM268" i="2"/>
  <c r="AR42" i="2" s="1"/>
  <c r="U268" i="2"/>
  <c r="Z42" i="2" s="1"/>
  <c r="C268" i="2"/>
  <c r="AM267" i="2"/>
  <c r="U267" i="2"/>
  <c r="C267" i="2"/>
  <c r="BE267" i="2" s="1"/>
  <c r="AM266" i="2"/>
  <c r="U266" i="2"/>
  <c r="C266" i="2"/>
  <c r="BE266" i="2" s="1"/>
  <c r="AM265" i="2"/>
  <c r="U265" i="2"/>
  <c r="C265" i="2"/>
  <c r="BE265" i="2" s="1"/>
  <c r="AM264" i="2"/>
  <c r="U264" i="2"/>
  <c r="C264" i="2"/>
  <c r="BE264" i="2" s="1"/>
  <c r="AM263" i="2"/>
  <c r="U263" i="2"/>
  <c r="C263" i="2"/>
  <c r="BE263" i="2" s="1"/>
  <c r="AM262" i="2"/>
  <c r="U262" i="2"/>
  <c r="C262" i="2"/>
  <c r="BE262" i="2" s="1"/>
  <c r="AM261" i="2"/>
  <c r="AR41" i="2" s="1"/>
  <c r="U261" i="2"/>
  <c r="Z41" i="2" s="1"/>
  <c r="C261" i="2"/>
  <c r="AM260" i="2"/>
  <c r="U260" i="2"/>
  <c r="C260" i="2"/>
  <c r="BE260" i="2" s="1"/>
  <c r="AM259" i="2"/>
  <c r="U259" i="2"/>
  <c r="C259" i="2"/>
  <c r="BE259" i="2" s="1"/>
  <c r="AM258" i="2"/>
  <c r="U258" i="2"/>
  <c r="C258" i="2"/>
  <c r="BE258" i="2" s="1"/>
  <c r="AM257" i="2"/>
  <c r="U257" i="2"/>
  <c r="C257" i="2"/>
  <c r="BE257" i="2" s="1"/>
  <c r="AM256" i="2"/>
  <c r="U256" i="2"/>
  <c r="C256" i="2"/>
  <c r="BE256" i="2" s="1"/>
  <c r="AM255" i="2"/>
  <c r="U255" i="2"/>
  <c r="C255" i="2"/>
  <c r="BE255" i="2" s="1"/>
  <c r="AM254" i="2"/>
  <c r="AR40" i="2" s="1"/>
  <c r="U254" i="2"/>
  <c r="Z40" i="2" s="1"/>
  <c r="C254" i="2"/>
  <c r="AM253" i="2"/>
  <c r="U253" i="2"/>
  <c r="C253" i="2"/>
  <c r="BE253" i="2" s="1"/>
  <c r="AM252" i="2"/>
  <c r="U252" i="2"/>
  <c r="C252" i="2"/>
  <c r="BE252" i="2" s="1"/>
  <c r="AM251" i="2"/>
  <c r="U251" i="2"/>
  <c r="C251" i="2"/>
  <c r="BE251" i="2" s="1"/>
  <c r="AM250" i="2"/>
  <c r="U250" i="2"/>
  <c r="C250" i="2"/>
  <c r="BE250" i="2" s="1"/>
  <c r="AM249" i="2"/>
  <c r="U249" i="2"/>
  <c r="C249" i="2"/>
  <c r="BE249" i="2" s="1"/>
  <c r="AM248" i="2"/>
  <c r="U248" i="2"/>
  <c r="C248" i="2"/>
  <c r="BE248" i="2" s="1"/>
  <c r="AM247" i="2"/>
  <c r="U247" i="2"/>
  <c r="C247" i="2"/>
  <c r="AM246" i="2"/>
  <c r="U246" i="2"/>
  <c r="C246" i="2"/>
  <c r="BE246" i="2" s="1"/>
  <c r="AM245" i="2"/>
  <c r="U245" i="2"/>
  <c r="C245" i="2"/>
  <c r="BE245" i="2" s="1"/>
  <c r="AM244" i="2"/>
  <c r="U244" i="2"/>
  <c r="C244" i="2"/>
  <c r="BE244" i="2" s="1"/>
  <c r="AM243" i="2"/>
  <c r="U243" i="2"/>
  <c r="C243" i="2"/>
  <c r="BE243" i="2" s="1"/>
  <c r="AM242" i="2"/>
  <c r="U242" i="2"/>
  <c r="C242" i="2"/>
  <c r="BE242" i="2" s="1"/>
  <c r="AM241" i="2"/>
  <c r="U241" i="2"/>
  <c r="C241" i="2"/>
  <c r="BE241" i="2" s="1"/>
  <c r="AM240" i="2"/>
  <c r="AR38" i="2" s="1"/>
  <c r="U240" i="2"/>
  <c r="Z38" i="2" s="1"/>
  <c r="C240" i="2"/>
  <c r="AM239" i="2"/>
  <c r="U239" i="2"/>
  <c r="C239" i="2"/>
  <c r="BE239" i="2" s="1"/>
  <c r="AM238" i="2"/>
  <c r="U238" i="2"/>
  <c r="C238" i="2"/>
  <c r="BE238" i="2" s="1"/>
  <c r="AM237" i="2"/>
  <c r="U237" i="2"/>
  <c r="C237" i="2"/>
  <c r="BE237" i="2" s="1"/>
  <c r="AM236" i="2"/>
  <c r="U236" i="2"/>
  <c r="C236" i="2"/>
  <c r="BE236" i="2" s="1"/>
  <c r="AM235" i="2"/>
  <c r="U235" i="2"/>
  <c r="C235" i="2"/>
  <c r="BE235" i="2" s="1"/>
  <c r="AM234" i="2"/>
  <c r="U234" i="2"/>
  <c r="C234" i="2"/>
  <c r="BE234" i="2" s="1"/>
  <c r="AM233" i="2"/>
  <c r="AR37" i="2" s="1"/>
  <c r="U233" i="2"/>
  <c r="Z37" i="2" s="1"/>
  <c r="C233" i="2"/>
  <c r="AM232" i="2"/>
  <c r="U232" i="2"/>
  <c r="C232" i="2"/>
  <c r="BE232" i="2" s="1"/>
  <c r="AM231" i="2"/>
  <c r="U231" i="2"/>
  <c r="C231" i="2"/>
  <c r="BE231" i="2" s="1"/>
  <c r="AM230" i="2"/>
  <c r="U230" i="2"/>
  <c r="C230" i="2"/>
  <c r="BE230" i="2" s="1"/>
  <c r="AM229" i="2"/>
  <c r="U229" i="2"/>
  <c r="C229" i="2"/>
  <c r="BE229" i="2" s="1"/>
  <c r="AM228" i="2"/>
  <c r="U228" i="2"/>
  <c r="C228" i="2"/>
  <c r="BE228" i="2" s="1"/>
  <c r="AM227" i="2"/>
  <c r="U227" i="2"/>
  <c r="C227" i="2"/>
  <c r="BE227" i="2" s="1"/>
  <c r="AM226" i="2"/>
  <c r="AR36" i="2" s="1"/>
  <c r="U226" i="2"/>
  <c r="Z36" i="2" s="1"/>
  <c r="C226" i="2"/>
  <c r="AM225" i="2"/>
  <c r="U225" i="2"/>
  <c r="C225" i="2"/>
  <c r="BE225" i="2" s="1"/>
  <c r="AM224" i="2"/>
  <c r="U224" i="2"/>
  <c r="C224" i="2"/>
  <c r="BE224" i="2" s="1"/>
  <c r="AM223" i="2"/>
  <c r="U223" i="2"/>
  <c r="C223" i="2"/>
  <c r="BE223" i="2" s="1"/>
  <c r="AM222" i="2"/>
  <c r="U222" i="2"/>
  <c r="C222" i="2"/>
  <c r="BE222" i="2" s="1"/>
  <c r="AM221" i="2"/>
  <c r="U221" i="2"/>
  <c r="C221" i="2"/>
  <c r="BE221" i="2" s="1"/>
  <c r="AM220" i="2"/>
  <c r="U220" i="2"/>
  <c r="C220" i="2"/>
  <c r="BE220" i="2" s="1"/>
  <c r="AM219" i="2"/>
  <c r="AR35" i="2" s="1"/>
  <c r="U219" i="2"/>
  <c r="Z35" i="2" s="1"/>
  <c r="C219" i="2"/>
  <c r="AM218" i="2"/>
  <c r="U218" i="2"/>
  <c r="C218" i="2"/>
  <c r="BE218" i="2" s="1"/>
  <c r="AM217" i="2"/>
  <c r="U217" i="2"/>
  <c r="C217" i="2"/>
  <c r="BE217" i="2" s="1"/>
  <c r="AM216" i="2"/>
  <c r="U216" i="2"/>
  <c r="AD11" i="2" s="1"/>
  <c r="C216" i="2"/>
  <c r="AM215" i="2"/>
  <c r="U215" i="2"/>
  <c r="C215" i="2"/>
  <c r="BE215" i="2" s="1"/>
  <c r="AM214" i="2"/>
  <c r="U214" i="2"/>
  <c r="C214" i="2"/>
  <c r="BE214" i="2" s="1"/>
  <c r="AM213" i="2"/>
  <c r="U213" i="2"/>
  <c r="C213" i="2"/>
  <c r="BE213" i="2" s="1"/>
  <c r="AM212" i="2"/>
  <c r="AR34" i="2" s="1"/>
  <c r="U212" i="2"/>
  <c r="Z34" i="2" s="1"/>
  <c r="C212" i="2"/>
  <c r="AM211" i="2"/>
  <c r="U211" i="2"/>
  <c r="C211" i="2"/>
  <c r="BE211" i="2" s="1"/>
  <c r="AM210" i="2"/>
  <c r="U210" i="2"/>
  <c r="C210" i="2"/>
  <c r="BE210" i="2" s="1"/>
  <c r="AM209" i="2"/>
  <c r="U209" i="2"/>
  <c r="C209" i="2"/>
  <c r="BE209" i="2" s="1"/>
  <c r="AM208" i="2"/>
  <c r="U208" i="2"/>
  <c r="C208" i="2"/>
  <c r="BE208" i="2" s="1"/>
  <c r="AM207" i="2"/>
  <c r="U207" i="2"/>
  <c r="C207" i="2"/>
  <c r="BE207" i="2" s="1"/>
  <c r="AM206" i="2"/>
  <c r="U206" i="2"/>
  <c r="C206" i="2"/>
  <c r="BE206" i="2" s="1"/>
  <c r="AM205" i="2"/>
  <c r="AR33" i="2" s="1"/>
  <c r="U205" i="2"/>
  <c r="Z33" i="2" s="1"/>
  <c r="C205" i="2"/>
  <c r="AM204" i="2"/>
  <c r="U204" i="2"/>
  <c r="C204" i="2"/>
  <c r="BE204" i="2" s="1"/>
  <c r="AM203" i="2"/>
  <c r="U203" i="2"/>
  <c r="C203" i="2"/>
  <c r="BE203" i="2" s="1"/>
  <c r="AM202" i="2"/>
  <c r="U202" i="2"/>
  <c r="C202" i="2"/>
  <c r="BE202" i="2" s="1"/>
  <c r="AM201" i="2"/>
  <c r="U201" i="2"/>
  <c r="C201" i="2"/>
  <c r="BE201" i="2" s="1"/>
  <c r="AM200" i="2"/>
  <c r="U200" i="2"/>
  <c r="C200" i="2"/>
  <c r="BE200" i="2" s="1"/>
  <c r="AM199" i="2"/>
  <c r="U199" i="2"/>
  <c r="C199" i="2"/>
  <c r="BE199" i="2" s="1"/>
  <c r="AM198" i="2"/>
  <c r="AR32" i="2" s="1"/>
  <c r="U198" i="2"/>
  <c r="Z32" i="2" s="1"/>
  <c r="C198" i="2"/>
  <c r="AM197" i="2"/>
  <c r="U197" i="2"/>
  <c r="C197" i="2"/>
  <c r="BE197" i="2" s="1"/>
  <c r="AM196" i="2"/>
  <c r="U196" i="2"/>
  <c r="C196" i="2"/>
  <c r="BE196" i="2" s="1"/>
  <c r="AM195" i="2"/>
  <c r="U195" i="2"/>
  <c r="C195" i="2"/>
  <c r="BE195" i="2" s="1"/>
  <c r="AM194" i="2"/>
  <c r="U194" i="2"/>
  <c r="C194" i="2"/>
  <c r="BE194" i="2" s="1"/>
  <c r="AM193" i="2"/>
  <c r="U193" i="2"/>
  <c r="C193" i="2"/>
  <c r="BE193" i="2" s="1"/>
  <c r="AM192" i="2"/>
  <c r="U192" i="2"/>
  <c r="C192" i="2"/>
  <c r="BE192" i="2" s="1"/>
  <c r="AM191" i="2"/>
  <c r="AR31" i="2" s="1"/>
  <c r="U191" i="2"/>
  <c r="Z31" i="2" s="1"/>
  <c r="C191" i="2"/>
  <c r="AM190" i="2"/>
  <c r="U190" i="2"/>
  <c r="C190" i="2"/>
  <c r="BE190" i="2" s="1"/>
  <c r="AM189" i="2"/>
  <c r="U189" i="2"/>
  <c r="C189" i="2"/>
  <c r="BE189" i="2" s="1"/>
  <c r="AM188" i="2"/>
  <c r="U188" i="2"/>
  <c r="C188" i="2"/>
  <c r="BE188" i="2" s="1"/>
  <c r="AM187" i="2"/>
  <c r="U187" i="2"/>
  <c r="C187" i="2"/>
  <c r="BE187" i="2" s="1"/>
  <c r="AM186" i="2"/>
  <c r="U186" i="2"/>
  <c r="C186" i="2"/>
  <c r="BE186" i="2" s="1"/>
  <c r="AM185" i="2"/>
  <c r="AV10" i="2" s="1"/>
  <c r="U185" i="2"/>
  <c r="AD10" i="2" s="1"/>
  <c r="C185" i="2"/>
  <c r="AM184" i="2"/>
  <c r="AR30" i="2" s="1"/>
  <c r="U184" i="2"/>
  <c r="Z30" i="2" s="1"/>
  <c r="C184" i="2"/>
  <c r="AM183" i="2"/>
  <c r="U183" i="2"/>
  <c r="C183" i="2"/>
  <c r="BE183" i="2" s="1"/>
  <c r="AM182" i="2"/>
  <c r="U182" i="2"/>
  <c r="C182" i="2"/>
  <c r="BE182" i="2" s="1"/>
  <c r="AM181" i="2"/>
  <c r="U181" i="2"/>
  <c r="C181" i="2"/>
  <c r="BE181" i="2" s="1"/>
  <c r="AM180" i="2"/>
  <c r="U180" i="2"/>
  <c r="C180" i="2"/>
  <c r="BE180" i="2" s="1"/>
  <c r="AM179" i="2"/>
  <c r="U179" i="2"/>
  <c r="C179" i="2"/>
  <c r="BE179" i="2" s="1"/>
  <c r="AM178" i="2"/>
  <c r="U178" i="2"/>
  <c r="C178" i="2"/>
  <c r="BE178" i="2" s="1"/>
  <c r="AM177" i="2"/>
  <c r="AR29" i="2" s="1"/>
  <c r="U177" i="2"/>
  <c r="Z29" i="2" s="1"/>
  <c r="C177" i="2"/>
  <c r="AM176" i="2"/>
  <c r="U176" i="2"/>
  <c r="C176" i="2"/>
  <c r="BE176" i="2" s="1"/>
  <c r="AM175" i="2"/>
  <c r="U175" i="2"/>
  <c r="C175" i="2"/>
  <c r="BE175" i="2" s="1"/>
  <c r="AM174" i="2"/>
  <c r="U174" i="2"/>
  <c r="C174" i="2"/>
  <c r="BE174" i="2" s="1"/>
  <c r="AM173" i="2"/>
  <c r="U173" i="2"/>
  <c r="C173" i="2"/>
  <c r="BE173" i="2" s="1"/>
  <c r="AM172" i="2"/>
  <c r="U172" i="2"/>
  <c r="C172" i="2"/>
  <c r="BE172" i="2" s="1"/>
  <c r="AM171" i="2"/>
  <c r="U171" i="2"/>
  <c r="C171" i="2"/>
  <c r="BE171" i="2" s="1"/>
  <c r="AM170" i="2"/>
  <c r="AR28" i="2" s="1"/>
  <c r="U170" i="2"/>
  <c r="Z28" i="2" s="1"/>
  <c r="C170" i="2"/>
  <c r="AM169" i="2"/>
  <c r="U169" i="2"/>
  <c r="C169" i="2"/>
  <c r="AM168" i="2"/>
  <c r="U168" i="2"/>
  <c r="C168" i="2"/>
  <c r="AM167" i="2"/>
  <c r="U167" i="2"/>
  <c r="C167" i="2"/>
  <c r="AM166" i="2"/>
  <c r="U166" i="2"/>
  <c r="C166" i="2"/>
  <c r="AM165" i="2"/>
  <c r="U165" i="2"/>
  <c r="C165" i="2"/>
  <c r="AM164" i="2"/>
  <c r="U164" i="2"/>
  <c r="C164" i="2"/>
  <c r="AM163" i="2"/>
  <c r="U163" i="2"/>
  <c r="C163" i="2"/>
  <c r="AM162" i="2"/>
  <c r="U162" i="2"/>
  <c r="C162" i="2"/>
  <c r="AM161" i="2"/>
  <c r="U161" i="2"/>
  <c r="C161" i="2"/>
  <c r="AM160" i="2"/>
  <c r="U160" i="2"/>
  <c r="C160" i="2"/>
  <c r="AM159" i="2"/>
  <c r="U159" i="2"/>
  <c r="C159" i="2"/>
  <c r="AM158" i="2"/>
  <c r="U158" i="2"/>
  <c r="C158" i="2"/>
  <c r="AM157" i="2"/>
  <c r="U157" i="2"/>
  <c r="C157" i="2"/>
  <c r="AM156" i="2"/>
  <c r="U156" i="2"/>
  <c r="C156" i="2"/>
  <c r="AM155" i="2"/>
  <c r="U155" i="2"/>
  <c r="C155" i="2"/>
  <c r="AM154" i="2"/>
  <c r="U154" i="2"/>
  <c r="C154" i="2"/>
  <c r="AM153" i="2"/>
  <c r="U153" i="2"/>
  <c r="C153" i="2"/>
  <c r="AM152" i="2"/>
  <c r="U152" i="2"/>
  <c r="C152" i="2"/>
  <c r="AM151" i="2"/>
  <c r="U151" i="2"/>
  <c r="C151" i="2"/>
  <c r="AM150" i="2"/>
  <c r="U150" i="2"/>
  <c r="C150" i="2"/>
  <c r="AM149" i="2"/>
  <c r="U149" i="2"/>
  <c r="C149" i="2"/>
  <c r="AM148" i="2"/>
  <c r="U148" i="2"/>
  <c r="C148" i="2"/>
  <c r="AM147" i="2"/>
  <c r="U147" i="2"/>
  <c r="C147" i="2"/>
  <c r="AM146" i="2"/>
  <c r="U146" i="2"/>
  <c r="C146" i="2"/>
  <c r="AM145" i="2"/>
  <c r="U145" i="2"/>
  <c r="C145" i="2"/>
  <c r="AM144" i="2"/>
  <c r="U144" i="2"/>
  <c r="C144" i="2"/>
  <c r="AM143" i="2"/>
  <c r="U143" i="2"/>
  <c r="C143" i="2"/>
  <c r="AM142" i="2"/>
  <c r="U142" i="2"/>
  <c r="C142" i="2"/>
  <c r="AM141" i="2"/>
  <c r="U141" i="2"/>
  <c r="C141" i="2"/>
  <c r="AM140" i="2"/>
  <c r="U140" i="2"/>
  <c r="C140" i="2"/>
  <c r="AM139" i="2"/>
  <c r="U139" i="2"/>
  <c r="C139" i="2"/>
  <c r="AM138" i="2"/>
  <c r="U138" i="2"/>
  <c r="C138" i="2"/>
  <c r="AM137" i="2"/>
  <c r="U137" i="2"/>
  <c r="C137" i="2"/>
  <c r="AM136" i="2"/>
  <c r="U136" i="2"/>
  <c r="C136" i="2"/>
  <c r="AM135" i="2"/>
  <c r="U135" i="2"/>
  <c r="C135" i="2"/>
  <c r="AM134" i="2"/>
  <c r="U134" i="2"/>
  <c r="C134" i="2"/>
  <c r="AM133" i="2"/>
  <c r="U133" i="2"/>
  <c r="C133" i="2"/>
  <c r="AM132" i="2"/>
  <c r="U132" i="2"/>
  <c r="C132" i="2"/>
  <c r="AM131" i="2"/>
  <c r="U131" i="2"/>
  <c r="C131" i="2"/>
  <c r="AM130" i="2"/>
  <c r="U130" i="2"/>
  <c r="C130" i="2"/>
  <c r="AM129" i="2"/>
  <c r="U129" i="2"/>
  <c r="C129" i="2"/>
  <c r="AM128" i="2"/>
  <c r="U128" i="2"/>
  <c r="C128" i="2"/>
  <c r="AM127" i="2"/>
  <c r="U127" i="2"/>
  <c r="C127" i="2"/>
  <c r="AM126" i="2"/>
  <c r="U126" i="2"/>
  <c r="C126" i="2"/>
  <c r="AM125" i="2"/>
  <c r="U125" i="2"/>
  <c r="C125" i="2"/>
  <c r="AM124" i="2"/>
  <c r="U124" i="2"/>
  <c r="C124" i="2"/>
  <c r="AM123" i="2"/>
  <c r="U123" i="2"/>
  <c r="C123" i="2"/>
  <c r="AM122" i="2"/>
  <c r="U122" i="2"/>
  <c r="C122" i="2"/>
  <c r="AM121" i="2"/>
  <c r="U121" i="2"/>
  <c r="C121" i="2"/>
  <c r="AM120" i="2"/>
  <c r="U120" i="2"/>
  <c r="C120" i="2"/>
  <c r="AM119" i="2"/>
  <c r="U119" i="2"/>
  <c r="C119" i="2"/>
  <c r="AM118" i="2"/>
  <c r="U118" i="2"/>
  <c r="C118" i="2"/>
  <c r="AM117" i="2"/>
  <c r="U117" i="2"/>
  <c r="C117" i="2"/>
  <c r="AM116" i="2"/>
  <c r="U116" i="2"/>
  <c r="C116" i="2"/>
  <c r="AM115" i="2"/>
  <c r="U115" i="2"/>
  <c r="C115" i="2"/>
  <c r="AM114" i="2"/>
  <c r="U114" i="2"/>
  <c r="C114" i="2"/>
  <c r="AM113" i="2"/>
  <c r="U113" i="2"/>
  <c r="C113" i="2"/>
  <c r="AM112" i="2"/>
  <c r="U112" i="2"/>
  <c r="C112" i="2"/>
  <c r="AM111" i="2"/>
  <c r="U111" i="2"/>
  <c r="C111" i="2"/>
  <c r="AM110" i="2"/>
  <c r="U110" i="2"/>
  <c r="C110" i="2"/>
  <c r="AM109" i="2"/>
  <c r="U109" i="2"/>
  <c r="C109" i="2"/>
  <c r="AM108" i="2"/>
  <c r="U108" i="2"/>
  <c r="C108" i="2"/>
  <c r="AM107" i="2"/>
  <c r="U107" i="2"/>
  <c r="C107" i="2"/>
  <c r="AM106" i="2"/>
  <c r="U106" i="2"/>
  <c r="C106" i="2"/>
  <c r="AM105" i="2"/>
  <c r="U105" i="2"/>
  <c r="C105" i="2"/>
  <c r="AM104" i="2"/>
  <c r="U104" i="2"/>
  <c r="C104" i="2"/>
  <c r="AM103" i="2"/>
  <c r="U103" i="2"/>
  <c r="C103" i="2"/>
  <c r="AM102" i="2"/>
  <c r="U102" i="2"/>
  <c r="C102" i="2"/>
  <c r="AM101" i="2"/>
  <c r="U101" i="2"/>
  <c r="C101" i="2"/>
  <c r="AM100" i="2"/>
  <c r="U100" i="2"/>
  <c r="C100" i="2"/>
  <c r="AM99" i="2"/>
  <c r="U99" i="2"/>
  <c r="C99" i="2"/>
  <c r="AM98" i="2"/>
  <c r="U98" i="2"/>
  <c r="C98" i="2"/>
  <c r="AM97" i="2"/>
  <c r="U97" i="2"/>
  <c r="C97" i="2"/>
  <c r="AM96" i="2"/>
  <c r="U96" i="2"/>
  <c r="C96" i="2"/>
  <c r="AM95" i="2"/>
  <c r="U95" i="2"/>
  <c r="C95" i="2"/>
  <c r="AM94" i="2"/>
  <c r="U94" i="2"/>
  <c r="C94" i="2"/>
  <c r="AM93" i="2"/>
  <c r="U93" i="2"/>
  <c r="C93" i="2"/>
  <c r="AM92" i="2"/>
  <c r="U92" i="2"/>
  <c r="C92" i="2"/>
  <c r="AM91" i="2"/>
  <c r="U91" i="2"/>
  <c r="C91" i="2"/>
  <c r="AM90" i="2"/>
  <c r="U90" i="2"/>
  <c r="C90" i="2"/>
  <c r="AM89" i="2"/>
  <c r="U89" i="2"/>
  <c r="C89" i="2"/>
  <c r="AM88" i="2"/>
  <c r="U88" i="2"/>
  <c r="C88" i="2"/>
  <c r="AM87" i="2"/>
  <c r="U87" i="2"/>
  <c r="C87" i="2"/>
  <c r="AM86" i="2"/>
  <c r="U86" i="2"/>
  <c r="C86" i="2"/>
  <c r="AM85" i="2"/>
  <c r="U85" i="2"/>
  <c r="C85" i="2"/>
  <c r="AM84" i="2"/>
  <c r="U84" i="2"/>
  <c r="C84" i="2"/>
  <c r="AM83" i="2"/>
  <c r="U83" i="2"/>
  <c r="C83" i="2"/>
  <c r="AM82" i="2"/>
  <c r="U82" i="2"/>
  <c r="C82" i="2"/>
  <c r="AM81" i="2"/>
  <c r="U81" i="2"/>
  <c r="C81" i="2"/>
  <c r="AM80" i="2"/>
  <c r="U80" i="2"/>
  <c r="C80" i="2"/>
  <c r="AM79" i="2"/>
  <c r="U79" i="2"/>
  <c r="C79" i="2"/>
  <c r="AM78" i="2"/>
  <c r="U78" i="2"/>
  <c r="C78" i="2"/>
  <c r="AM77" i="2"/>
  <c r="U77" i="2"/>
  <c r="C77" i="2"/>
  <c r="AM76" i="2"/>
  <c r="U76" i="2"/>
  <c r="C76" i="2"/>
  <c r="AM75" i="2"/>
  <c r="U75" i="2"/>
  <c r="C75" i="2"/>
  <c r="AM74" i="2"/>
  <c r="U74" i="2"/>
  <c r="C74" i="2"/>
  <c r="AM73" i="2"/>
  <c r="U73" i="2"/>
  <c r="C73" i="2"/>
  <c r="AM72" i="2"/>
  <c r="U72" i="2"/>
  <c r="C72" i="2"/>
  <c r="AM71" i="2"/>
  <c r="U71" i="2"/>
  <c r="C71" i="2"/>
  <c r="AM70" i="2"/>
  <c r="U70" i="2"/>
  <c r="C70" i="2"/>
  <c r="AM69" i="2"/>
  <c r="U69" i="2"/>
  <c r="C69" i="2"/>
  <c r="AM68" i="2"/>
  <c r="U68" i="2"/>
  <c r="C68" i="2"/>
  <c r="AM67" i="2"/>
  <c r="U67" i="2"/>
  <c r="C67" i="2"/>
  <c r="AM66" i="2"/>
  <c r="U66" i="2"/>
  <c r="C66" i="2"/>
  <c r="AM65" i="2"/>
  <c r="U65" i="2"/>
  <c r="C65" i="2"/>
  <c r="AM64" i="2"/>
  <c r="U64" i="2"/>
  <c r="C64" i="2"/>
  <c r="AM63" i="2"/>
  <c r="U63" i="2"/>
  <c r="C63" i="2"/>
  <c r="AM62" i="2"/>
  <c r="U62" i="2"/>
  <c r="C62" i="2"/>
  <c r="AM61" i="2"/>
  <c r="U61" i="2"/>
  <c r="C61" i="2"/>
  <c r="AM60" i="2"/>
  <c r="U60" i="2"/>
  <c r="C60" i="2"/>
  <c r="AM59" i="2"/>
  <c r="U59" i="2"/>
  <c r="C59" i="2"/>
  <c r="AM58" i="2"/>
  <c r="U58" i="2"/>
  <c r="C58" i="2"/>
  <c r="AM57" i="2"/>
  <c r="U57" i="2"/>
  <c r="C57" i="2"/>
  <c r="AM56" i="2"/>
  <c r="U56" i="2"/>
  <c r="C56" i="2"/>
  <c r="AM55" i="2"/>
  <c r="U55" i="2"/>
  <c r="C55" i="2"/>
  <c r="AM54" i="2"/>
  <c r="U54" i="2"/>
  <c r="C54" i="2"/>
  <c r="AM53" i="2"/>
  <c r="U53" i="2"/>
  <c r="C53" i="2"/>
  <c r="AM52" i="2"/>
  <c r="U52" i="2"/>
  <c r="C52" i="2"/>
  <c r="AM51" i="2"/>
  <c r="U51" i="2"/>
  <c r="C51" i="2"/>
  <c r="AM50" i="2"/>
  <c r="U50" i="2"/>
  <c r="C50" i="2"/>
  <c r="AM49" i="2"/>
  <c r="U49" i="2"/>
  <c r="C49" i="2"/>
  <c r="AM48" i="2"/>
  <c r="U48" i="2"/>
  <c r="C48" i="2"/>
  <c r="AM47" i="2"/>
  <c r="U47" i="2"/>
  <c r="C47" i="2"/>
  <c r="AM46" i="2"/>
  <c r="U46" i="2"/>
  <c r="C46" i="2"/>
  <c r="AM45" i="2"/>
  <c r="U45" i="2"/>
  <c r="C45" i="2"/>
  <c r="AM44" i="2"/>
  <c r="U44" i="2"/>
  <c r="C44" i="2"/>
  <c r="AM43" i="2"/>
  <c r="U43" i="2"/>
  <c r="C43" i="2"/>
  <c r="AM42" i="2"/>
  <c r="U42" i="2"/>
  <c r="C42" i="2"/>
  <c r="AM41" i="2"/>
  <c r="U41" i="2"/>
  <c r="C41" i="2"/>
  <c r="AM40" i="2"/>
  <c r="U40" i="2"/>
  <c r="C40" i="2"/>
  <c r="AM39" i="2"/>
  <c r="U39" i="2"/>
  <c r="C39" i="2"/>
  <c r="AM38" i="2"/>
  <c r="U38" i="2"/>
  <c r="C38" i="2"/>
  <c r="AM37" i="2"/>
  <c r="U37" i="2"/>
  <c r="C37" i="2"/>
  <c r="AM36" i="2"/>
  <c r="U36" i="2"/>
  <c r="C36" i="2"/>
  <c r="AM35" i="2"/>
  <c r="U35" i="2"/>
  <c r="C35" i="2"/>
  <c r="AM34" i="2"/>
  <c r="U34" i="2"/>
  <c r="C34" i="2"/>
  <c r="AM33" i="2"/>
  <c r="U33" i="2"/>
  <c r="C33" i="2"/>
  <c r="AM32" i="2"/>
  <c r="U32" i="2"/>
  <c r="C32" i="2"/>
  <c r="AM31" i="2"/>
  <c r="U31" i="2"/>
  <c r="C31" i="2"/>
  <c r="AM30" i="2"/>
  <c r="U30" i="2"/>
  <c r="C30" i="2"/>
  <c r="AM29" i="2"/>
  <c r="U29" i="2"/>
  <c r="C29" i="2"/>
  <c r="AM28" i="2"/>
  <c r="U28" i="2"/>
  <c r="C28" i="2"/>
  <c r="AM27" i="2"/>
  <c r="U27" i="2"/>
  <c r="C27" i="2"/>
  <c r="AM26" i="2"/>
  <c r="U26" i="2"/>
  <c r="C26" i="2"/>
  <c r="AM25" i="2"/>
  <c r="U25" i="2"/>
  <c r="C25" i="2"/>
  <c r="AM24" i="2"/>
  <c r="U24" i="2"/>
  <c r="C24" i="2"/>
  <c r="AM23" i="2"/>
  <c r="U23" i="2"/>
  <c r="C23" i="2"/>
  <c r="AM22" i="2"/>
  <c r="U22" i="2"/>
  <c r="C22" i="2"/>
  <c r="AM21" i="2"/>
  <c r="U21" i="2"/>
  <c r="C21" i="2"/>
  <c r="AM20" i="2"/>
  <c r="U20" i="2"/>
  <c r="C20" i="2"/>
  <c r="AM19" i="2"/>
  <c r="U19" i="2"/>
  <c r="C19" i="2"/>
  <c r="AM18" i="2"/>
  <c r="U18" i="2"/>
  <c r="C18" i="2"/>
  <c r="AM17" i="2"/>
  <c r="U17" i="2"/>
  <c r="C17" i="2"/>
  <c r="AM16" i="2"/>
  <c r="U16" i="2"/>
  <c r="C16" i="2"/>
  <c r="AM15" i="2"/>
  <c r="U15" i="2"/>
  <c r="C15" i="2"/>
  <c r="AM14" i="2"/>
  <c r="U14" i="2"/>
  <c r="C14" i="2"/>
  <c r="AM13" i="2"/>
  <c r="U13" i="2"/>
  <c r="C13" i="2"/>
  <c r="AM12" i="2"/>
  <c r="U12" i="2"/>
  <c r="C12" i="2"/>
  <c r="AM11" i="2"/>
  <c r="U11" i="2"/>
  <c r="C11" i="2"/>
  <c r="AM10" i="2"/>
  <c r="U10" i="2"/>
  <c r="C10" i="2"/>
  <c r="AM9" i="2"/>
  <c r="U9" i="2"/>
  <c r="C9" i="2"/>
  <c r="AM8" i="2"/>
  <c r="U8" i="2"/>
  <c r="C8" i="2"/>
  <c r="AM7" i="2"/>
  <c r="U7" i="2"/>
  <c r="C7" i="2"/>
  <c r="AM6" i="2"/>
  <c r="U6" i="2"/>
  <c r="C6" i="2"/>
  <c r="AM5" i="2"/>
  <c r="U5" i="2"/>
  <c r="C5" i="2"/>
  <c r="AM4" i="2"/>
  <c r="U4" i="2"/>
  <c r="C4" i="2"/>
  <c r="BE366" i="1" l="1"/>
  <c r="H56" i="1"/>
  <c r="BJ56" i="1" s="1"/>
  <c r="BE359" i="1"/>
  <c r="H55" i="1"/>
  <c r="BJ55" i="1" s="1"/>
  <c r="BE352" i="1"/>
  <c r="H54" i="1"/>
  <c r="BJ54" i="1" s="1"/>
  <c r="BE345" i="1"/>
  <c r="H53" i="1"/>
  <c r="BJ53" i="1" s="1"/>
  <c r="AR52" i="1"/>
  <c r="AV15" i="1"/>
  <c r="AD15" i="1"/>
  <c r="Z52" i="1"/>
  <c r="BE338" i="1"/>
  <c r="L15" i="1"/>
  <c r="BN15" i="1" s="1"/>
  <c r="H52" i="1"/>
  <c r="BJ52" i="1" s="1"/>
  <c r="BE331" i="1"/>
  <c r="H51" i="1"/>
  <c r="BJ51" i="1" s="1"/>
  <c r="BE324" i="1"/>
  <c r="H50" i="1"/>
  <c r="BJ50" i="1" s="1"/>
  <c r="BE317" i="1"/>
  <c r="H49" i="1"/>
  <c r="BJ49" i="1" s="1"/>
  <c r="BE310" i="1"/>
  <c r="H48" i="1"/>
  <c r="BJ48" i="1" s="1"/>
  <c r="BE308" i="1"/>
  <c r="L14" i="1"/>
  <c r="BN14" i="1" s="1"/>
  <c r="BE303" i="1"/>
  <c r="H47" i="1"/>
  <c r="BJ47" i="1" s="1"/>
  <c r="BE296" i="1"/>
  <c r="H46" i="1"/>
  <c r="BJ46" i="1" s="1"/>
  <c r="BE289" i="1"/>
  <c r="H45" i="1"/>
  <c r="BJ45" i="1" s="1"/>
  <c r="BE282" i="1"/>
  <c r="H44" i="1"/>
  <c r="BJ44" i="1" s="1"/>
  <c r="BE277" i="1"/>
  <c r="L13" i="1"/>
  <c r="BN13" i="1" s="1"/>
  <c r="BE275" i="1"/>
  <c r="H43" i="1"/>
  <c r="BJ43" i="1" s="1"/>
  <c r="BE268" i="1"/>
  <c r="H42" i="1"/>
  <c r="BJ42" i="1" s="1"/>
  <c r="BE261" i="1"/>
  <c r="H41" i="1"/>
  <c r="BJ41" i="1" s="1"/>
  <c r="BE254" i="1"/>
  <c r="H40" i="1"/>
  <c r="BJ40" i="1" s="1"/>
  <c r="AR39" i="1"/>
  <c r="AV12" i="1"/>
  <c r="Z39" i="1"/>
  <c r="AD12" i="1"/>
  <c r="BE247" i="1"/>
  <c r="L12" i="1"/>
  <c r="BN12" i="1" s="1"/>
  <c r="H39" i="1"/>
  <c r="BJ39" i="1" s="1"/>
  <c r="BE240" i="1"/>
  <c r="H38" i="1"/>
  <c r="BJ38" i="1" s="1"/>
  <c r="BE233" i="1"/>
  <c r="H37" i="1"/>
  <c r="BJ37" i="1" s="1"/>
  <c r="BE226" i="1"/>
  <c r="H36" i="1"/>
  <c r="BJ36" i="1" s="1"/>
  <c r="BE219" i="1"/>
  <c r="H35" i="1"/>
  <c r="BJ35" i="1" s="1"/>
  <c r="BE216" i="1"/>
  <c r="L11" i="1"/>
  <c r="BN11" i="1" s="1"/>
  <c r="BE212" i="1"/>
  <c r="H34" i="1"/>
  <c r="BJ34" i="1" s="1"/>
  <c r="BE205" i="1"/>
  <c r="H33" i="1"/>
  <c r="BJ33" i="1" s="1"/>
  <c r="BE198" i="1"/>
  <c r="H32" i="1"/>
  <c r="BJ32" i="1" s="1"/>
  <c r="BE191" i="1"/>
  <c r="H31" i="1"/>
  <c r="BJ31" i="1" s="1"/>
  <c r="BE185" i="1"/>
  <c r="L10" i="1"/>
  <c r="BN10" i="1" s="1"/>
  <c r="BE184" i="1"/>
  <c r="H30" i="1"/>
  <c r="BJ30" i="1" s="1"/>
  <c r="BE177" i="1"/>
  <c r="H29" i="1"/>
  <c r="BJ29" i="1" s="1"/>
  <c r="AR28" i="1"/>
  <c r="Z28" i="1"/>
  <c r="BE170" i="1"/>
  <c r="H28" i="1"/>
  <c r="BJ28" i="1" s="1"/>
  <c r="BE169" i="1"/>
  <c r="BE168" i="1"/>
  <c r="BE167" i="1"/>
  <c r="BE166" i="1"/>
  <c r="BE165" i="1"/>
  <c r="BE164" i="1"/>
  <c r="AR27" i="1"/>
  <c r="Z27" i="1"/>
  <c r="BE163" i="1"/>
  <c r="H27" i="1"/>
  <c r="BJ27" i="1" s="1"/>
  <c r="BE162" i="1"/>
  <c r="BE161" i="1"/>
  <c r="BE160" i="1"/>
  <c r="BE159" i="1"/>
  <c r="BE158" i="1"/>
  <c r="BE157" i="1"/>
  <c r="AR26" i="1"/>
  <c r="Z26" i="1"/>
  <c r="BE156" i="1"/>
  <c r="H26" i="1"/>
  <c r="BJ26" i="1" s="1"/>
  <c r="AV9" i="1"/>
  <c r="AD9" i="1"/>
  <c r="BE155" i="1"/>
  <c r="L9" i="1"/>
  <c r="BN9" i="1" s="1"/>
  <c r="BE154" i="1"/>
  <c r="BE153" i="1"/>
  <c r="BE152" i="1"/>
  <c r="BE151" i="1"/>
  <c r="BE150" i="1"/>
  <c r="AR25" i="1"/>
  <c r="Z25" i="1"/>
  <c r="BE149" i="1"/>
  <c r="H25" i="1"/>
  <c r="BJ25" i="1" s="1"/>
  <c r="BE148" i="1"/>
  <c r="BE147" i="1"/>
  <c r="BE146" i="1"/>
  <c r="BE145" i="1"/>
  <c r="BE144" i="1"/>
  <c r="BE143" i="1"/>
  <c r="AR24" i="1"/>
  <c r="Z24" i="1"/>
  <c r="BE142" i="1"/>
  <c r="H24" i="1"/>
  <c r="BJ24" i="1" s="1"/>
  <c r="BE141" i="1"/>
  <c r="BE140" i="1"/>
  <c r="BE139" i="1"/>
  <c r="BE138" i="1"/>
  <c r="BE137" i="1"/>
  <c r="BE136" i="1"/>
  <c r="AR23" i="1"/>
  <c r="Z23" i="1"/>
  <c r="BE135" i="1"/>
  <c r="H23" i="1"/>
  <c r="BJ23" i="1" s="1"/>
  <c r="BE134" i="1"/>
  <c r="BE133" i="1"/>
  <c r="BE132" i="1"/>
  <c r="BE131" i="1"/>
  <c r="BE130" i="1"/>
  <c r="BE129" i="1"/>
  <c r="AR22" i="1"/>
  <c r="Z22" i="1"/>
  <c r="BE128" i="1"/>
  <c r="H22" i="1"/>
  <c r="BJ22" i="1" s="1"/>
  <c r="BE127" i="1"/>
  <c r="BE126" i="1"/>
  <c r="BE125" i="1"/>
  <c r="AV8" i="1"/>
  <c r="AD8" i="1"/>
  <c r="BE124" i="1"/>
  <c r="L8" i="1"/>
  <c r="BN8" i="1" s="1"/>
  <c r="BE123" i="1"/>
  <c r="BE122" i="1"/>
  <c r="AR21" i="1"/>
  <c r="Z21" i="1"/>
  <c r="BE121" i="1"/>
  <c r="H21" i="1"/>
  <c r="BJ21" i="1" s="1"/>
  <c r="BE120" i="1"/>
  <c r="BE119" i="1"/>
  <c r="BE118" i="1"/>
  <c r="BE117" i="1"/>
  <c r="BE116" i="1"/>
  <c r="BE115" i="1"/>
  <c r="AR20" i="1"/>
  <c r="Z20" i="1"/>
  <c r="BE114" i="1"/>
  <c r="H20" i="1"/>
  <c r="BJ20" i="1" s="1"/>
  <c r="BE113" i="1"/>
  <c r="BE112" i="1"/>
  <c r="BE111" i="1"/>
  <c r="BE110" i="1"/>
  <c r="BE109" i="1"/>
  <c r="BE108" i="1"/>
  <c r="AR19" i="1"/>
  <c r="Z19" i="1"/>
  <c r="BE107" i="1"/>
  <c r="H19" i="1"/>
  <c r="BJ19" i="1" s="1"/>
  <c r="BE106" i="1"/>
  <c r="BE105" i="1"/>
  <c r="BE104" i="1"/>
  <c r="BE103" i="1"/>
  <c r="BE102" i="1"/>
  <c r="BE101" i="1"/>
  <c r="AR18" i="1"/>
  <c r="Z18" i="1"/>
  <c r="BE100" i="1"/>
  <c r="H18" i="1"/>
  <c r="BJ18" i="1" s="1"/>
  <c r="BE99" i="1"/>
  <c r="BE98" i="1"/>
  <c r="BE97" i="1"/>
  <c r="BE96" i="1"/>
  <c r="BE95" i="1"/>
  <c r="AV7" i="1"/>
  <c r="AD7" i="1"/>
  <c r="BE94" i="1"/>
  <c r="L7" i="1"/>
  <c r="BN7" i="1" s="1"/>
  <c r="AR17" i="1"/>
  <c r="Z17" i="1"/>
  <c r="BE93" i="1"/>
  <c r="H17" i="1"/>
  <c r="BJ17" i="1" s="1"/>
  <c r="BE92" i="1"/>
  <c r="BE91" i="1"/>
  <c r="BE90" i="1"/>
  <c r="BE89" i="1"/>
  <c r="BE88" i="1"/>
  <c r="BE87" i="1"/>
  <c r="AR16" i="1"/>
  <c r="Z16" i="1"/>
  <c r="BE86" i="1"/>
  <c r="H16" i="1"/>
  <c r="BJ16" i="1" s="1"/>
  <c r="BE85" i="1"/>
  <c r="BE84" i="1"/>
  <c r="BE83" i="1"/>
  <c r="BE82" i="1"/>
  <c r="BE81" i="1"/>
  <c r="BE80" i="1"/>
  <c r="AR15" i="1"/>
  <c r="Z15" i="1"/>
  <c r="BE79" i="1"/>
  <c r="H15" i="1"/>
  <c r="BJ15" i="1" s="1"/>
  <c r="BE78" i="1"/>
  <c r="BE77" i="1"/>
  <c r="BE76" i="1"/>
  <c r="BE75" i="1"/>
  <c r="BE74" i="1"/>
  <c r="BE73" i="1"/>
  <c r="AR14" i="1"/>
  <c r="Z14" i="1"/>
  <c r="BE72" i="1"/>
  <c r="H14" i="1"/>
  <c r="BJ14" i="1" s="1"/>
  <c r="BE71" i="1"/>
  <c r="BE70" i="1"/>
  <c r="BE69" i="1"/>
  <c r="BE68" i="1"/>
  <c r="BE67" i="1"/>
  <c r="BE66" i="1"/>
  <c r="AR13" i="1"/>
  <c r="Z13" i="1"/>
  <c r="BE65" i="1"/>
  <c r="H13" i="1"/>
  <c r="BJ13" i="1" s="1"/>
  <c r="BE64" i="1"/>
  <c r="AV6" i="1"/>
  <c r="AD6" i="1"/>
  <c r="BE63" i="1"/>
  <c r="L6" i="1"/>
  <c r="BN6" i="1" s="1"/>
  <c r="BE62" i="1"/>
  <c r="BE61" i="1"/>
  <c r="BE60" i="1"/>
  <c r="BE59" i="1"/>
  <c r="AR12" i="1"/>
  <c r="Z12" i="1"/>
  <c r="BE58" i="1"/>
  <c r="H12" i="1"/>
  <c r="BJ12" i="1" s="1"/>
  <c r="BE57" i="1"/>
  <c r="BE56" i="1"/>
  <c r="BE55" i="1"/>
  <c r="BE54" i="1"/>
  <c r="BE53" i="1"/>
  <c r="BE52" i="1"/>
  <c r="AR11" i="1"/>
  <c r="Z11" i="1"/>
  <c r="BE51" i="1"/>
  <c r="H11" i="1"/>
  <c r="BJ11" i="1" s="1"/>
  <c r="BE50" i="1"/>
  <c r="BE49" i="1"/>
  <c r="BE48" i="1"/>
  <c r="BE47" i="1"/>
  <c r="BE46" i="1"/>
  <c r="BE45" i="1"/>
  <c r="AR10" i="1"/>
  <c r="Z10" i="1"/>
  <c r="BE44" i="1"/>
  <c r="H10" i="1"/>
  <c r="BJ10" i="1" s="1"/>
  <c r="BE43" i="1"/>
  <c r="BE42" i="1"/>
  <c r="BE41" i="1"/>
  <c r="BE40" i="1"/>
  <c r="BE39" i="1"/>
  <c r="BE38" i="1"/>
  <c r="AR9" i="1"/>
  <c r="Z9" i="1"/>
  <c r="H9" i="1"/>
  <c r="BJ9" i="1" s="1"/>
  <c r="BE37" i="1"/>
  <c r="BE36" i="1"/>
  <c r="AV5" i="1"/>
  <c r="AD5" i="1"/>
  <c r="BE35" i="1"/>
  <c r="L5" i="1"/>
  <c r="BN5" i="1" s="1"/>
  <c r="BE34" i="1"/>
  <c r="BE33" i="1"/>
  <c r="BE32" i="1"/>
  <c r="BE31" i="1"/>
  <c r="AR8" i="1"/>
  <c r="Z8" i="1"/>
  <c r="H8" i="1"/>
  <c r="BJ8" i="1" s="1"/>
  <c r="BE30" i="1"/>
  <c r="BE29" i="1"/>
  <c r="BE28" i="1"/>
  <c r="BE27" i="1"/>
  <c r="BE26" i="1"/>
  <c r="BE25" i="1"/>
  <c r="BE24" i="1"/>
  <c r="AR7" i="1"/>
  <c r="Z7" i="1"/>
  <c r="H7" i="1"/>
  <c r="BJ7" i="1" s="1"/>
  <c r="BE23" i="1"/>
  <c r="BE22" i="1"/>
  <c r="BE21" i="1"/>
  <c r="BE20" i="1"/>
  <c r="BE19" i="1"/>
  <c r="BE18" i="1"/>
  <c r="BE17" i="1"/>
  <c r="AR6" i="1"/>
  <c r="Z6" i="1"/>
  <c r="H6" i="1"/>
  <c r="BJ6" i="1" s="1"/>
  <c r="BE16" i="1"/>
  <c r="BE15" i="1"/>
  <c r="BE14" i="1"/>
  <c r="BE13" i="1"/>
  <c r="BE12" i="1"/>
  <c r="BE11" i="1"/>
  <c r="BE10" i="1"/>
  <c r="AR5" i="1"/>
  <c r="Z5" i="1"/>
  <c r="BE9" i="1"/>
  <c r="H5" i="1"/>
  <c r="BJ5" i="1" s="1"/>
  <c r="BE8" i="1"/>
  <c r="BE7" i="1"/>
  <c r="BE6" i="1"/>
  <c r="BE5" i="1"/>
  <c r="AV4" i="1"/>
  <c r="AR4" i="1"/>
  <c r="AN4" i="1"/>
  <c r="AD4" i="1"/>
  <c r="Z4" i="1"/>
  <c r="V4" i="1"/>
  <c r="L4" i="1"/>
  <c r="BN4" i="1" s="1"/>
  <c r="BE4" i="1"/>
  <c r="BF4" i="1" s="1"/>
  <c r="H4" i="1"/>
  <c r="BJ4" i="1" s="1"/>
  <c r="D4" i="1"/>
  <c r="BE366" i="2"/>
  <c r="H56" i="2"/>
  <c r="BJ56" i="2" s="1"/>
  <c r="BE359" i="2"/>
  <c r="H55" i="2"/>
  <c r="BJ55" i="2" s="1"/>
  <c r="BE352" i="2"/>
  <c r="H54" i="2"/>
  <c r="BJ54" i="2" s="1"/>
  <c r="BE345" i="2"/>
  <c r="H53" i="2"/>
  <c r="BJ53" i="2" s="1"/>
  <c r="AR52" i="2"/>
  <c r="AV15" i="2"/>
  <c r="AD15" i="2"/>
  <c r="Z52" i="2"/>
  <c r="BE338" i="2"/>
  <c r="H52" i="2"/>
  <c r="BJ52" i="2" s="1"/>
  <c r="L15" i="2"/>
  <c r="BN15" i="2" s="1"/>
  <c r="BE331" i="2"/>
  <c r="H51" i="2"/>
  <c r="BJ51" i="2" s="1"/>
  <c r="BE324" i="2"/>
  <c r="H50" i="2"/>
  <c r="BJ50" i="2" s="1"/>
  <c r="BE317" i="2"/>
  <c r="H49" i="2"/>
  <c r="BJ49" i="2" s="1"/>
  <c r="BE310" i="2"/>
  <c r="H48" i="2"/>
  <c r="BJ48" i="2" s="1"/>
  <c r="BE308" i="2"/>
  <c r="L14" i="2"/>
  <c r="BN14" i="2" s="1"/>
  <c r="BE303" i="2"/>
  <c r="H47" i="2"/>
  <c r="BJ47" i="2" s="1"/>
  <c r="BE296" i="2"/>
  <c r="H46" i="2"/>
  <c r="BJ46" i="2" s="1"/>
  <c r="BE289" i="2"/>
  <c r="H45" i="2"/>
  <c r="BJ45" i="2" s="1"/>
  <c r="BE282" i="2"/>
  <c r="H44" i="2"/>
  <c r="BJ44" i="2" s="1"/>
  <c r="BE277" i="2"/>
  <c r="L13" i="2"/>
  <c r="BN13" i="2" s="1"/>
  <c r="BE275" i="2"/>
  <c r="H43" i="2"/>
  <c r="BJ43" i="2" s="1"/>
  <c r="BE268" i="2"/>
  <c r="H42" i="2"/>
  <c r="BJ42" i="2" s="1"/>
  <c r="BE261" i="2"/>
  <c r="H41" i="2"/>
  <c r="BJ41" i="2" s="1"/>
  <c r="BE254" i="2"/>
  <c r="H40" i="2"/>
  <c r="BJ40" i="2" s="1"/>
  <c r="AR39" i="2"/>
  <c r="AV12" i="2"/>
  <c r="Z39" i="2"/>
  <c r="AD12" i="2"/>
  <c r="BE247" i="2"/>
  <c r="H39" i="2"/>
  <c r="BJ39" i="2" s="1"/>
  <c r="L12" i="2"/>
  <c r="BN12" i="2" s="1"/>
  <c r="BE240" i="2"/>
  <c r="H38" i="2"/>
  <c r="BJ38" i="2" s="1"/>
  <c r="BE233" i="2"/>
  <c r="H37" i="2"/>
  <c r="BJ37" i="2" s="1"/>
  <c r="BE226" i="2"/>
  <c r="H36" i="2"/>
  <c r="BJ36" i="2" s="1"/>
  <c r="BE219" i="2"/>
  <c r="H35" i="2"/>
  <c r="BJ35" i="2" s="1"/>
  <c r="BE216" i="2"/>
  <c r="L11" i="2"/>
  <c r="BN11" i="2" s="1"/>
  <c r="BE212" i="2"/>
  <c r="H34" i="2"/>
  <c r="BJ34" i="2" s="1"/>
  <c r="BE205" i="2"/>
  <c r="H33" i="2"/>
  <c r="BJ33" i="2" s="1"/>
  <c r="H32" i="2"/>
  <c r="BJ32" i="2" s="1"/>
  <c r="BE198" i="2"/>
  <c r="H31" i="2"/>
  <c r="BJ31" i="2" s="1"/>
  <c r="BE191" i="2"/>
  <c r="BE185" i="2"/>
  <c r="L10" i="2"/>
  <c r="BN10" i="2" s="1"/>
  <c r="H30" i="2"/>
  <c r="BJ30" i="2" s="1"/>
  <c r="BE184" i="2"/>
  <c r="H29" i="2"/>
  <c r="BJ29" i="2" s="1"/>
  <c r="BE177" i="2"/>
  <c r="H28" i="2"/>
  <c r="BJ28" i="2" s="1"/>
  <c r="BE170" i="2"/>
  <c r="BE169" i="2"/>
  <c r="BE168" i="2"/>
  <c r="BE167" i="2"/>
  <c r="BE166" i="2"/>
  <c r="BE165" i="2"/>
  <c r="BE164" i="2"/>
  <c r="AR27" i="2"/>
  <c r="Z27" i="2"/>
  <c r="H27" i="2"/>
  <c r="BE163" i="2"/>
  <c r="BE162" i="2"/>
  <c r="BE161" i="2"/>
  <c r="BE160" i="2"/>
  <c r="BE159" i="2"/>
  <c r="BE158" i="2"/>
  <c r="BE157" i="2"/>
  <c r="AR26" i="2"/>
  <c r="Z26" i="2"/>
  <c r="H26" i="2"/>
  <c r="BE156" i="2"/>
  <c r="AV9" i="2"/>
  <c r="AD9" i="2"/>
  <c r="BE155" i="2"/>
  <c r="L9" i="2"/>
  <c r="BE154" i="2"/>
  <c r="BE153" i="2"/>
  <c r="BE152" i="2"/>
  <c r="BE151" i="2"/>
  <c r="BE150" i="2"/>
  <c r="AR25" i="2"/>
  <c r="Z25" i="2"/>
  <c r="H25" i="2"/>
  <c r="BE149" i="2"/>
  <c r="BE148" i="2"/>
  <c r="BE147" i="2"/>
  <c r="BE146" i="2"/>
  <c r="BE145" i="2"/>
  <c r="BE144" i="2"/>
  <c r="BE143" i="2"/>
  <c r="AR24" i="2"/>
  <c r="Z24" i="2"/>
  <c r="BE142" i="2"/>
  <c r="H24" i="2"/>
  <c r="BE141" i="2"/>
  <c r="BE140" i="2"/>
  <c r="BE139" i="2"/>
  <c r="BE138" i="2"/>
  <c r="BE137" i="2"/>
  <c r="BE136" i="2"/>
  <c r="AR23" i="2"/>
  <c r="Z23" i="2"/>
  <c r="BE135" i="2"/>
  <c r="H23" i="2"/>
  <c r="BE134" i="2"/>
  <c r="BE133" i="2"/>
  <c r="BE132" i="2"/>
  <c r="BE131" i="2"/>
  <c r="BE130" i="2"/>
  <c r="BE129" i="2"/>
  <c r="AR22" i="2"/>
  <c r="Z22" i="2"/>
  <c r="H22" i="2"/>
  <c r="BE128" i="2"/>
  <c r="BE127" i="2"/>
  <c r="BE126" i="2"/>
  <c r="BE125" i="2"/>
  <c r="AV8" i="2"/>
  <c r="AD8" i="2"/>
  <c r="BE124" i="2"/>
  <c r="L8" i="2"/>
  <c r="BE123" i="2"/>
  <c r="BE122" i="2"/>
  <c r="AR21" i="2"/>
  <c r="Z21" i="2"/>
  <c r="H21" i="2"/>
  <c r="BE121" i="2"/>
  <c r="BE120" i="2"/>
  <c r="BE119" i="2"/>
  <c r="BE118" i="2"/>
  <c r="BE117" i="2"/>
  <c r="BE116" i="2"/>
  <c r="BE115" i="2"/>
  <c r="AR20" i="2"/>
  <c r="Z20" i="2"/>
  <c r="H20" i="2"/>
  <c r="BE114" i="2"/>
  <c r="BE113" i="2"/>
  <c r="BE112" i="2"/>
  <c r="BE111" i="2"/>
  <c r="BE110" i="2"/>
  <c r="BE109" i="2"/>
  <c r="BE108" i="2"/>
  <c r="AR19" i="2"/>
  <c r="Z19" i="2"/>
  <c r="BE107" i="2"/>
  <c r="H19" i="2"/>
  <c r="BE106" i="2"/>
  <c r="BE105" i="2"/>
  <c r="BE104" i="2"/>
  <c r="BE103" i="2"/>
  <c r="BE102" i="2"/>
  <c r="BE101" i="2"/>
  <c r="AR18" i="2"/>
  <c r="Z18" i="2"/>
  <c r="BE100" i="2"/>
  <c r="H18" i="2"/>
  <c r="BE99" i="2"/>
  <c r="BE98" i="2"/>
  <c r="BE97" i="2"/>
  <c r="BE96" i="2"/>
  <c r="BE95" i="2"/>
  <c r="AV7" i="2"/>
  <c r="AD7" i="2"/>
  <c r="BE94" i="2"/>
  <c r="L7" i="2"/>
  <c r="AR17" i="2"/>
  <c r="Z17" i="2"/>
  <c r="BE93" i="2"/>
  <c r="H17" i="2"/>
  <c r="BE92" i="2"/>
  <c r="BE91" i="2"/>
  <c r="BE90" i="2"/>
  <c r="BE89" i="2"/>
  <c r="BE88" i="2"/>
  <c r="BE87" i="2"/>
  <c r="AR16" i="2"/>
  <c r="Z16" i="2"/>
  <c r="BE86" i="2"/>
  <c r="H16" i="2"/>
  <c r="BE85" i="2"/>
  <c r="BE84" i="2"/>
  <c r="BE83" i="2"/>
  <c r="BE82" i="2"/>
  <c r="BE81" i="2"/>
  <c r="BE80" i="2"/>
  <c r="AR15" i="2"/>
  <c r="Z15" i="2"/>
  <c r="BE79" i="2"/>
  <c r="H15" i="2"/>
  <c r="BE78" i="2"/>
  <c r="BE77" i="2"/>
  <c r="BE76" i="2"/>
  <c r="BE75" i="2"/>
  <c r="BE74" i="2"/>
  <c r="BE73" i="2"/>
  <c r="AR14" i="2"/>
  <c r="Z14" i="2"/>
  <c r="BE72" i="2"/>
  <c r="H14" i="2"/>
  <c r="BE71" i="2"/>
  <c r="BE70" i="2"/>
  <c r="BE69" i="2"/>
  <c r="BE68" i="2"/>
  <c r="BE67" i="2"/>
  <c r="BE66" i="2"/>
  <c r="AR13" i="2"/>
  <c r="Z13" i="2"/>
  <c r="BE65" i="2"/>
  <c r="H13" i="2"/>
  <c r="BE64" i="2"/>
  <c r="AV6" i="2"/>
  <c r="AD6" i="2"/>
  <c r="BE63" i="2"/>
  <c r="L6" i="2"/>
  <c r="BE62" i="2"/>
  <c r="BE61" i="2"/>
  <c r="BE60" i="2"/>
  <c r="BE59" i="2"/>
  <c r="AR12" i="2"/>
  <c r="Z12" i="2"/>
  <c r="BE58" i="2"/>
  <c r="H12" i="2"/>
  <c r="BE57" i="2"/>
  <c r="BE56" i="2"/>
  <c r="BE55" i="2"/>
  <c r="BE54" i="2"/>
  <c r="BE53" i="2"/>
  <c r="BE52" i="2"/>
  <c r="AR11" i="2"/>
  <c r="Z11" i="2"/>
  <c r="BE51" i="2"/>
  <c r="H11" i="2"/>
  <c r="BE50" i="2"/>
  <c r="BE49" i="2"/>
  <c r="BE48" i="2"/>
  <c r="BE47" i="2"/>
  <c r="BE46" i="2"/>
  <c r="BE45" i="2"/>
  <c r="AR10" i="2"/>
  <c r="Z10" i="2"/>
  <c r="BE44" i="2"/>
  <c r="H10" i="2"/>
  <c r="BE43" i="2"/>
  <c r="BE42" i="2"/>
  <c r="BE41" i="2"/>
  <c r="BE40" i="2"/>
  <c r="BE39" i="2"/>
  <c r="BE38" i="2"/>
  <c r="AR9" i="2"/>
  <c r="Z9" i="2"/>
  <c r="BE37" i="2"/>
  <c r="H9" i="2"/>
  <c r="BE36" i="2"/>
  <c r="AV5" i="2"/>
  <c r="AD5" i="2"/>
  <c r="BE35" i="2"/>
  <c r="L5" i="2"/>
  <c r="BE34" i="2"/>
  <c r="BE33" i="2"/>
  <c r="BE32" i="2"/>
  <c r="BE31" i="2"/>
  <c r="AR8" i="2"/>
  <c r="Z8" i="2"/>
  <c r="BE30" i="2"/>
  <c r="H8" i="2"/>
  <c r="BE29" i="2"/>
  <c r="BE28" i="2"/>
  <c r="BE27" i="2"/>
  <c r="BE26" i="2"/>
  <c r="BE25" i="2"/>
  <c r="BE24" i="2"/>
  <c r="AR7" i="2"/>
  <c r="Z7" i="2"/>
  <c r="BE23" i="2"/>
  <c r="H7" i="2"/>
  <c r="BE22" i="2"/>
  <c r="BE21" i="2"/>
  <c r="BE20" i="2"/>
  <c r="BE19" i="2"/>
  <c r="BE18" i="2"/>
  <c r="BE17" i="2"/>
  <c r="AR6" i="2"/>
  <c r="Z6" i="2"/>
  <c r="BE16" i="2"/>
  <c r="H6" i="2"/>
  <c r="BE15" i="2"/>
  <c r="BE14" i="2"/>
  <c r="BE13" i="2"/>
  <c r="BE12" i="2"/>
  <c r="BE11" i="2"/>
  <c r="BE10" i="2"/>
  <c r="AR5" i="2"/>
  <c r="Z5" i="2"/>
  <c r="BE9" i="2"/>
  <c r="H5" i="2"/>
  <c r="BE8" i="2"/>
  <c r="BE7" i="2"/>
  <c r="BE6" i="2"/>
  <c r="BE5" i="2"/>
  <c r="AV4" i="2"/>
  <c r="AR4" i="2"/>
  <c r="AN4" i="2"/>
  <c r="AD4" i="2"/>
  <c r="Z4" i="2"/>
  <c r="V4" i="2"/>
  <c r="L4" i="2"/>
  <c r="BE4" i="2"/>
  <c r="BF4" i="2" s="1"/>
  <c r="H4" i="2"/>
  <c r="D4" i="2"/>
  <c r="Z56" i="1"/>
  <c r="BE227" i="1"/>
  <c r="AV11" i="2"/>
  <c r="BJ27" i="2" l="1"/>
  <c r="BJ26" i="2"/>
  <c r="BN9" i="2"/>
  <c r="BJ25" i="2"/>
  <c r="BJ24" i="2"/>
  <c r="BJ23" i="2"/>
  <c r="BJ22" i="2"/>
  <c r="BN8" i="2"/>
  <c r="BJ21" i="2"/>
  <c r="BJ20" i="2"/>
  <c r="BJ19" i="2"/>
  <c r="BJ18" i="2"/>
  <c r="BN7" i="2"/>
  <c r="BJ17" i="2"/>
  <c r="BJ16" i="2"/>
  <c r="BJ15" i="2"/>
  <c r="BJ14" i="2"/>
  <c r="BJ13" i="2"/>
  <c r="BN6" i="2"/>
  <c r="BJ12" i="2"/>
  <c r="BJ11" i="2"/>
  <c r="BJ10" i="2"/>
  <c r="BJ9" i="2"/>
  <c r="BN5" i="2"/>
  <c r="BJ8" i="2"/>
  <c r="BJ7" i="2"/>
  <c r="BJ6" i="2"/>
  <c r="BJ5" i="2"/>
  <c r="BN4" i="2"/>
  <c r="BJ4" i="2"/>
  <c r="AO367" i="1" l="1"/>
  <c r="W367" i="1"/>
  <c r="E367" i="1"/>
  <c r="AO366" i="1"/>
  <c r="W366" i="1"/>
  <c r="E366" i="1"/>
  <c r="AO365" i="1"/>
  <c r="W365" i="1"/>
  <c r="E365" i="1"/>
  <c r="AO364" i="1"/>
  <c r="W364" i="1"/>
  <c r="E364" i="1"/>
  <c r="AO363" i="1"/>
  <c r="W363" i="1"/>
  <c r="E363" i="1"/>
  <c r="AO362" i="1"/>
  <c r="W362" i="1"/>
  <c r="E362" i="1"/>
  <c r="AO361" i="1"/>
  <c r="W361" i="1"/>
  <c r="E361" i="1"/>
  <c r="AO360" i="1"/>
  <c r="W360" i="1"/>
  <c r="E360" i="1"/>
  <c r="AO359" i="1"/>
  <c r="W359" i="1"/>
  <c r="E359" i="1"/>
  <c r="AO358" i="1"/>
  <c r="W358" i="1"/>
  <c r="E358" i="1"/>
  <c r="AO357" i="1"/>
  <c r="W357" i="1"/>
  <c r="E357" i="1"/>
  <c r="AO356" i="1"/>
  <c r="W356" i="1"/>
  <c r="E356" i="1"/>
  <c r="AO355" i="1"/>
  <c r="W355" i="1"/>
  <c r="E355" i="1"/>
  <c r="AO354" i="1"/>
  <c r="W354" i="1"/>
  <c r="E354" i="1"/>
  <c r="AO353" i="1"/>
  <c r="W353" i="1"/>
  <c r="E353" i="1"/>
  <c r="AO352" i="1"/>
  <c r="W352" i="1"/>
  <c r="E352" i="1"/>
  <c r="AO351" i="1"/>
  <c r="W351" i="1"/>
  <c r="E351" i="1"/>
  <c r="AO350" i="1"/>
  <c r="W350" i="1"/>
  <c r="E350" i="1"/>
  <c r="AO349" i="1"/>
  <c r="W349" i="1"/>
  <c r="E349" i="1"/>
  <c r="AO348" i="1"/>
  <c r="W348" i="1"/>
  <c r="E348" i="1"/>
  <c r="AO347" i="1"/>
  <c r="W347" i="1"/>
  <c r="E347" i="1"/>
  <c r="AO346" i="1"/>
  <c r="W346" i="1"/>
  <c r="E346" i="1"/>
  <c r="AO345" i="1"/>
  <c r="W345" i="1"/>
  <c r="E345" i="1"/>
  <c r="AO344" i="1"/>
  <c r="W344" i="1"/>
  <c r="E344" i="1"/>
  <c r="AO343" i="1"/>
  <c r="W343" i="1"/>
  <c r="E343" i="1"/>
  <c r="AO342" i="1"/>
  <c r="W342" i="1"/>
  <c r="E342" i="1"/>
  <c r="AO341" i="1"/>
  <c r="W341" i="1"/>
  <c r="E341" i="1"/>
  <c r="AO340" i="1"/>
  <c r="W340" i="1"/>
  <c r="E340" i="1"/>
  <c r="AO339" i="1"/>
  <c r="W339" i="1"/>
  <c r="E339" i="1"/>
  <c r="AO338" i="1"/>
  <c r="W338" i="1"/>
  <c r="E338" i="1"/>
  <c r="AO337" i="1"/>
  <c r="W337" i="1"/>
  <c r="E337" i="1"/>
  <c r="AO336" i="1"/>
  <c r="W336" i="1"/>
  <c r="E336" i="1"/>
  <c r="AO335" i="1"/>
  <c r="W335" i="1"/>
  <c r="E335" i="1"/>
  <c r="AO334" i="1"/>
  <c r="W334" i="1"/>
  <c r="E334" i="1"/>
  <c r="AO333" i="1"/>
  <c r="W333" i="1"/>
  <c r="E333" i="1"/>
  <c r="AO332" i="1"/>
  <c r="W332" i="1"/>
  <c r="E332" i="1"/>
  <c r="AO331" i="1"/>
  <c r="W331" i="1"/>
  <c r="E331" i="1"/>
  <c r="AO330" i="1"/>
  <c r="W330" i="1"/>
  <c r="E330" i="1"/>
  <c r="AO329" i="1"/>
  <c r="W329" i="1"/>
  <c r="E329" i="1"/>
  <c r="AO328" i="1"/>
  <c r="W328" i="1"/>
  <c r="E328" i="1"/>
  <c r="AO327" i="1"/>
  <c r="W327" i="1"/>
  <c r="E327" i="1"/>
  <c r="AO326" i="1"/>
  <c r="W326" i="1"/>
  <c r="E326" i="1"/>
  <c r="AO325" i="1"/>
  <c r="W325" i="1"/>
  <c r="E325" i="1"/>
  <c r="AO324" i="1"/>
  <c r="W324" i="1"/>
  <c r="E324" i="1"/>
  <c r="AO323" i="1"/>
  <c r="W323" i="1"/>
  <c r="E323" i="1"/>
  <c r="AO322" i="1"/>
  <c r="W322" i="1"/>
  <c r="E322" i="1"/>
  <c r="AO321" i="1"/>
  <c r="W321" i="1"/>
  <c r="E321" i="1"/>
  <c r="AO320" i="1"/>
  <c r="W320" i="1"/>
  <c r="E320" i="1"/>
  <c r="AO319" i="1"/>
  <c r="W319" i="1"/>
  <c r="E319" i="1"/>
  <c r="AO318" i="1"/>
  <c r="W318" i="1"/>
  <c r="E318" i="1"/>
  <c r="AO317" i="1"/>
  <c r="W317" i="1"/>
  <c r="E317" i="1"/>
  <c r="AO316" i="1"/>
  <c r="W316" i="1"/>
  <c r="E316" i="1"/>
  <c r="AO315" i="1"/>
  <c r="W315" i="1"/>
  <c r="E315" i="1"/>
  <c r="AO314" i="1"/>
  <c r="W314" i="1"/>
  <c r="E314" i="1"/>
  <c r="AO313" i="1"/>
  <c r="W313" i="1"/>
  <c r="E313" i="1"/>
  <c r="AO312" i="1"/>
  <c r="W312" i="1"/>
  <c r="E312" i="1"/>
  <c r="AO311" i="1"/>
  <c r="W311" i="1"/>
  <c r="E311" i="1"/>
  <c r="AO310" i="1"/>
  <c r="W310" i="1"/>
  <c r="E310" i="1"/>
  <c r="AO309" i="1"/>
  <c r="W309" i="1"/>
  <c r="E309" i="1"/>
  <c r="AO308" i="1"/>
  <c r="W308" i="1"/>
  <c r="E308" i="1"/>
  <c r="AO307" i="1"/>
  <c r="W307" i="1"/>
  <c r="E307" i="1"/>
  <c r="AO306" i="1"/>
  <c r="W306" i="1"/>
  <c r="E306" i="1"/>
  <c r="AO305" i="1"/>
  <c r="W305" i="1"/>
  <c r="E305" i="1"/>
  <c r="AO304" i="1"/>
  <c r="W304" i="1"/>
  <c r="E304" i="1"/>
  <c r="AO303" i="1"/>
  <c r="W303" i="1"/>
  <c r="E303" i="1"/>
  <c r="AO302" i="1"/>
  <c r="W302" i="1"/>
  <c r="E302" i="1"/>
  <c r="AO301" i="1"/>
  <c r="W301" i="1"/>
  <c r="E301" i="1"/>
  <c r="AO300" i="1"/>
  <c r="W300" i="1"/>
  <c r="E300" i="1"/>
  <c r="AO299" i="1"/>
  <c r="W299" i="1"/>
  <c r="E299" i="1"/>
  <c r="AO298" i="1"/>
  <c r="W298" i="1"/>
  <c r="E298" i="1"/>
  <c r="AO297" i="1"/>
  <c r="W297" i="1"/>
  <c r="E297" i="1"/>
  <c r="AO296" i="1"/>
  <c r="W296" i="1"/>
  <c r="E296" i="1"/>
  <c r="AO295" i="1"/>
  <c r="W295" i="1"/>
  <c r="E295" i="1"/>
  <c r="AO294" i="1"/>
  <c r="W294" i="1"/>
  <c r="E294" i="1"/>
  <c r="AO293" i="1"/>
  <c r="W293" i="1"/>
  <c r="E293" i="1"/>
  <c r="AO292" i="1"/>
  <c r="W292" i="1"/>
  <c r="E292" i="1"/>
  <c r="AO291" i="1"/>
  <c r="W291" i="1"/>
  <c r="E291" i="1"/>
  <c r="AO290" i="1"/>
  <c r="W290" i="1"/>
  <c r="E290" i="1"/>
  <c r="AO289" i="1"/>
  <c r="W289" i="1"/>
  <c r="E289" i="1"/>
  <c r="AO288" i="1"/>
  <c r="W288" i="1"/>
  <c r="E288" i="1"/>
  <c r="AO287" i="1"/>
  <c r="W287" i="1"/>
  <c r="E287" i="1"/>
  <c r="AO286" i="1"/>
  <c r="W286" i="1"/>
  <c r="E286" i="1"/>
  <c r="AO285" i="1"/>
  <c r="W285" i="1"/>
  <c r="E285" i="1"/>
  <c r="AO284" i="1"/>
  <c r="W284" i="1"/>
  <c r="E284" i="1"/>
  <c r="AO283" i="1"/>
  <c r="W283" i="1"/>
  <c r="E283" i="1"/>
  <c r="AO282" i="1"/>
  <c r="W282" i="1"/>
  <c r="E282" i="1"/>
  <c r="AO281" i="1"/>
  <c r="W281" i="1"/>
  <c r="E281" i="1"/>
  <c r="AO280" i="1"/>
  <c r="W280" i="1"/>
  <c r="E280" i="1"/>
  <c r="AO279" i="1"/>
  <c r="W279" i="1"/>
  <c r="E279" i="1"/>
  <c r="AO278" i="1"/>
  <c r="W278" i="1"/>
  <c r="E278" i="1"/>
  <c r="AO277" i="1"/>
  <c r="W277" i="1"/>
  <c r="E277" i="1"/>
  <c r="AO276" i="1"/>
  <c r="W276" i="1"/>
  <c r="E276" i="1"/>
  <c r="AO275" i="1"/>
  <c r="W275" i="1"/>
  <c r="E275" i="1"/>
  <c r="AO274" i="1"/>
  <c r="W274" i="1"/>
  <c r="E274" i="1"/>
  <c r="AO273" i="1"/>
  <c r="W273" i="1"/>
  <c r="E273" i="1"/>
  <c r="AO272" i="1"/>
  <c r="W272" i="1"/>
  <c r="E272" i="1"/>
  <c r="AO271" i="1"/>
  <c r="W271" i="1"/>
  <c r="E271" i="1"/>
  <c r="AO270" i="1"/>
  <c r="W270" i="1"/>
  <c r="E270" i="1"/>
  <c r="AO269" i="1"/>
  <c r="W269" i="1"/>
  <c r="E269" i="1"/>
  <c r="AO268" i="1"/>
  <c r="W268" i="1"/>
  <c r="E268" i="1"/>
  <c r="AO267" i="1"/>
  <c r="W267" i="1"/>
  <c r="E267" i="1"/>
  <c r="AO266" i="1"/>
  <c r="W266" i="1"/>
  <c r="E266" i="1"/>
  <c r="AO265" i="1"/>
  <c r="W265" i="1"/>
  <c r="E265" i="1"/>
  <c r="AO264" i="1"/>
  <c r="W264" i="1"/>
  <c r="E264" i="1"/>
  <c r="AO263" i="1"/>
  <c r="W263" i="1"/>
  <c r="E263" i="1"/>
  <c r="AO262" i="1"/>
  <c r="W262" i="1"/>
  <c r="E262" i="1"/>
  <c r="AO261" i="1"/>
  <c r="W261" i="1"/>
  <c r="E261" i="1"/>
  <c r="AO260" i="1"/>
  <c r="W260" i="1"/>
  <c r="E260" i="1"/>
  <c r="AO259" i="1"/>
  <c r="W259" i="1"/>
  <c r="E259" i="1"/>
  <c r="AO258" i="1"/>
  <c r="W258" i="1"/>
  <c r="E258" i="1"/>
  <c r="AO257" i="1"/>
  <c r="W257" i="1"/>
  <c r="E257" i="1"/>
  <c r="AO256" i="1"/>
  <c r="W256" i="1"/>
  <c r="E256" i="1"/>
  <c r="AO255" i="1"/>
  <c r="W255" i="1"/>
  <c r="E255" i="1"/>
  <c r="AO254" i="1"/>
  <c r="W254" i="1"/>
  <c r="E254" i="1"/>
  <c r="AO253" i="1"/>
  <c r="W253" i="1"/>
  <c r="E253" i="1"/>
  <c r="AO252" i="1"/>
  <c r="W252" i="1"/>
  <c r="E252" i="1"/>
  <c r="AO251" i="1"/>
  <c r="W251" i="1"/>
  <c r="E251" i="1"/>
  <c r="AO250" i="1"/>
  <c r="W250" i="1"/>
  <c r="E250" i="1"/>
  <c r="AO249" i="1"/>
  <c r="W249" i="1"/>
  <c r="E249" i="1"/>
  <c r="AO248" i="1"/>
  <c r="W248" i="1"/>
  <c r="E248" i="1"/>
  <c r="AO247" i="1"/>
  <c r="W247" i="1"/>
  <c r="E247" i="1"/>
  <c r="AO246" i="1"/>
  <c r="W246" i="1"/>
  <c r="E246" i="1"/>
  <c r="AO245" i="1"/>
  <c r="W245" i="1"/>
  <c r="E245" i="1"/>
  <c r="AO244" i="1"/>
  <c r="W244" i="1"/>
  <c r="E244" i="1"/>
  <c r="AO243" i="1"/>
  <c r="W243" i="1"/>
  <c r="E243" i="1"/>
  <c r="AO242" i="1"/>
  <c r="W242" i="1"/>
  <c r="E242" i="1"/>
  <c r="AO241" i="1"/>
  <c r="W241" i="1"/>
  <c r="E241" i="1"/>
  <c r="AO240" i="1"/>
  <c r="W240" i="1"/>
  <c r="E240" i="1"/>
  <c r="AO239" i="1"/>
  <c r="W239" i="1"/>
  <c r="E239" i="1"/>
  <c r="AO238" i="1"/>
  <c r="W238" i="1"/>
  <c r="E238" i="1"/>
  <c r="AO237" i="1"/>
  <c r="W237" i="1"/>
  <c r="E237" i="1"/>
  <c r="AO236" i="1"/>
  <c r="W236" i="1"/>
  <c r="E236" i="1"/>
  <c r="AO235" i="1"/>
  <c r="W235" i="1"/>
  <c r="E235" i="1"/>
  <c r="AO234" i="1"/>
  <c r="W234" i="1"/>
  <c r="E234" i="1"/>
  <c r="AO233" i="1"/>
  <c r="W233" i="1"/>
  <c r="E233" i="1"/>
  <c r="AO232" i="1"/>
  <c r="W232" i="1"/>
  <c r="E232" i="1"/>
  <c r="AO231" i="1"/>
  <c r="W231" i="1"/>
  <c r="E231" i="1"/>
  <c r="AO230" i="1"/>
  <c r="W230" i="1"/>
  <c r="E230" i="1"/>
  <c r="AO229" i="1"/>
  <c r="W229" i="1"/>
  <c r="E229" i="1"/>
  <c r="AO228" i="1"/>
  <c r="W228" i="1"/>
  <c r="E228" i="1"/>
  <c r="AO227" i="1"/>
  <c r="W227" i="1"/>
  <c r="E227" i="1"/>
  <c r="AO226" i="1"/>
  <c r="W226" i="1"/>
  <c r="E226" i="1"/>
  <c r="AO225" i="1"/>
  <c r="W225" i="1"/>
  <c r="E225" i="1"/>
  <c r="AO224" i="1"/>
  <c r="W224" i="1"/>
  <c r="E224" i="1"/>
  <c r="AO223" i="1"/>
  <c r="W223" i="1"/>
  <c r="E223" i="1"/>
  <c r="AO222" i="1"/>
  <c r="W222" i="1"/>
  <c r="E222" i="1"/>
  <c r="AO221" i="1"/>
  <c r="W221" i="1"/>
  <c r="E221" i="1"/>
  <c r="AO220" i="1"/>
  <c r="W220" i="1"/>
  <c r="E220" i="1"/>
  <c r="AO219" i="1"/>
  <c r="W219" i="1"/>
  <c r="E219" i="1"/>
  <c r="AO218" i="1"/>
  <c r="W218" i="1"/>
  <c r="E218" i="1"/>
  <c r="AO217" i="1"/>
  <c r="W217" i="1"/>
  <c r="E217" i="1"/>
  <c r="AO216" i="1"/>
  <c r="W216" i="1"/>
  <c r="E216" i="1"/>
  <c r="AO215" i="1"/>
  <c r="W215" i="1"/>
  <c r="E215" i="1"/>
  <c r="AO214" i="1"/>
  <c r="W214" i="1"/>
  <c r="E214" i="1"/>
  <c r="AO213" i="1"/>
  <c r="W213" i="1"/>
  <c r="E213" i="1"/>
  <c r="AO212" i="1"/>
  <c r="W212" i="1"/>
  <c r="E212" i="1"/>
  <c r="AO211" i="1"/>
  <c r="W211" i="1"/>
  <c r="E211" i="1"/>
  <c r="AO210" i="1"/>
  <c r="W210" i="1"/>
  <c r="E210" i="1"/>
  <c r="AO209" i="1"/>
  <c r="W209" i="1"/>
  <c r="E209" i="1"/>
  <c r="AO208" i="1"/>
  <c r="W208" i="1"/>
  <c r="E208" i="1"/>
  <c r="AO207" i="1"/>
  <c r="W207" i="1"/>
  <c r="E207" i="1"/>
  <c r="AO206" i="1"/>
  <c r="W206" i="1"/>
  <c r="E206" i="1"/>
  <c r="AO205" i="1"/>
  <c r="W205" i="1"/>
  <c r="E205" i="1"/>
  <c r="AO204" i="1"/>
  <c r="W204" i="1"/>
  <c r="E204" i="1"/>
  <c r="AO203" i="1"/>
  <c r="W203" i="1"/>
  <c r="E203" i="1"/>
  <c r="AO202" i="1"/>
  <c r="W202" i="1"/>
  <c r="E202" i="1"/>
  <c r="AO201" i="1"/>
  <c r="W201" i="1"/>
  <c r="E201" i="1"/>
  <c r="AO200" i="1"/>
  <c r="W200" i="1"/>
  <c r="E200" i="1"/>
  <c r="AO199" i="1"/>
  <c r="W199" i="1"/>
  <c r="E199" i="1"/>
  <c r="AO198" i="1"/>
  <c r="W198" i="1"/>
  <c r="E198" i="1"/>
  <c r="AO197" i="1"/>
  <c r="W197" i="1"/>
  <c r="E197" i="1"/>
  <c r="AO196" i="1"/>
  <c r="W196" i="1"/>
  <c r="E196" i="1"/>
  <c r="AO195" i="1"/>
  <c r="W195" i="1"/>
  <c r="E195" i="1"/>
  <c r="AO194" i="1"/>
  <c r="W194" i="1"/>
  <c r="E194" i="1"/>
  <c r="AO193" i="1"/>
  <c r="W193" i="1"/>
  <c r="E193" i="1"/>
  <c r="AO192" i="1"/>
  <c r="W192" i="1"/>
  <c r="E192" i="1"/>
  <c r="AO191" i="1"/>
  <c r="W191" i="1"/>
  <c r="E191" i="1"/>
  <c r="AO190" i="1"/>
  <c r="W190" i="1"/>
  <c r="E190" i="1"/>
  <c r="AO189" i="1"/>
  <c r="W189" i="1"/>
  <c r="E189" i="1"/>
  <c r="AO188" i="1"/>
  <c r="W188" i="1"/>
  <c r="E188" i="1"/>
  <c r="AO187" i="1"/>
  <c r="W187" i="1"/>
  <c r="E187" i="1"/>
  <c r="AO186" i="1"/>
  <c r="W186" i="1"/>
  <c r="E186" i="1"/>
  <c r="AO185" i="1"/>
  <c r="W185" i="1"/>
  <c r="E185" i="1"/>
  <c r="AO184" i="1"/>
  <c r="W184" i="1"/>
  <c r="E184" i="1"/>
  <c r="AO183" i="1"/>
  <c r="W183" i="1"/>
  <c r="E183" i="1"/>
  <c r="AO182" i="1"/>
  <c r="W182" i="1"/>
  <c r="E182" i="1"/>
  <c r="AO181" i="1"/>
  <c r="W181" i="1"/>
  <c r="E181" i="1"/>
  <c r="AO180" i="1"/>
  <c r="W180" i="1"/>
  <c r="E180" i="1"/>
  <c r="AO179" i="1"/>
  <c r="W179" i="1"/>
  <c r="E179" i="1"/>
  <c r="AO178" i="1"/>
  <c r="W178" i="1"/>
  <c r="E178" i="1"/>
  <c r="AO177" i="1"/>
  <c r="W177" i="1"/>
  <c r="E177" i="1"/>
  <c r="AO176" i="1"/>
  <c r="W176" i="1"/>
  <c r="E176" i="1"/>
  <c r="AO175" i="1"/>
  <c r="W175" i="1"/>
  <c r="E175" i="1"/>
  <c r="AO174" i="1"/>
  <c r="W174" i="1"/>
  <c r="E174" i="1"/>
  <c r="AO173" i="1"/>
  <c r="W173" i="1"/>
  <c r="E173" i="1"/>
  <c r="AO172" i="1"/>
  <c r="W172" i="1"/>
  <c r="E172" i="1"/>
  <c r="AO171" i="1"/>
  <c r="W171" i="1"/>
  <c r="E171" i="1"/>
  <c r="AO170" i="1"/>
  <c r="W170" i="1"/>
  <c r="E170" i="1"/>
  <c r="AO169" i="1"/>
  <c r="W169" i="1"/>
  <c r="E169" i="1"/>
  <c r="AO168" i="1"/>
  <c r="W168" i="1"/>
  <c r="E168" i="1"/>
  <c r="AO167" i="1"/>
  <c r="W167" i="1"/>
  <c r="E167" i="1"/>
  <c r="AO166" i="1"/>
  <c r="W166" i="1"/>
  <c r="E166" i="1"/>
  <c r="AO165" i="1"/>
  <c r="W165" i="1"/>
  <c r="E165" i="1"/>
  <c r="AO164" i="1"/>
  <c r="W164" i="1"/>
  <c r="E164" i="1"/>
  <c r="AO163" i="1"/>
  <c r="W163" i="1"/>
  <c r="E163" i="1"/>
  <c r="AO162" i="1"/>
  <c r="W162" i="1"/>
  <c r="E162" i="1"/>
  <c r="AO161" i="1"/>
  <c r="W161" i="1"/>
  <c r="E161" i="1"/>
  <c r="AO160" i="1"/>
  <c r="W160" i="1"/>
  <c r="E160" i="1"/>
  <c r="AO159" i="1"/>
  <c r="W159" i="1"/>
  <c r="E159" i="1"/>
  <c r="AO158" i="1"/>
  <c r="W158" i="1"/>
  <c r="E158" i="1"/>
  <c r="AO157" i="1"/>
  <c r="W157" i="1"/>
  <c r="E157" i="1"/>
  <c r="AO156" i="1"/>
  <c r="W156" i="1"/>
  <c r="E156" i="1"/>
  <c r="AO155" i="1"/>
  <c r="W155" i="1"/>
  <c r="E155" i="1"/>
  <c r="AO154" i="1"/>
  <c r="W154" i="1"/>
  <c r="E154" i="1"/>
  <c r="AO153" i="1"/>
  <c r="W153" i="1"/>
  <c r="E153" i="1"/>
  <c r="AO152" i="1"/>
  <c r="W152" i="1"/>
  <c r="E152" i="1"/>
  <c r="AO151" i="1"/>
  <c r="W151" i="1"/>
  <c r="E151" i="1"/>
  <c r="AO150" i="1"/>
  <c r="W150" i="1"/>
  <c r="E150" i="1"/>
  <c r="AO149" i="1"/>
  <c r="W149" i="1"/>
  <c r="E149" i="1"/>
  <c r="AO148" i="1"/>
  <c r="W148" i="1"/>
  <c r="E148" i="1"/>
  <c r="AO147" i="1"/>
  <c r="W147" i="1"/>
  <c r="E147" i="1"/>
  <c r="AO146" i="1"/>
  <c r="W146" i="1"/>
  <c r="E146" i="1"/>
  <c r="AO145" i="1"/>
  <c r="W145" i="1"/>
  <c r="E145" i="1"/>
  <c r="AO144" i="1"/>
  <c r="W144" i="1"/>
  <c r="E144" i="1"/>
  <c r="AO143" i="1"/>
  <c r="W143" i="1"/>
  <c r="E143" i="1"/>
  <c r="AO142" i="1"/>
  <c r="W142" i="1"/>
  <c r="E142" i="1"/>
  <c r="AO141" i="1"/>
  <c r="W141" i="1"/>
  <c r="E141" i="1"/>
  <c r="AO140" i="1"/>
  <c r="W140" i="1"/>
  <c r="E140" i="1"/>
  <c r="AO139" i="1"/>
  <c r="W139" i="1"/>
  <c r="E139" i="1"/>
  <c r="AO138" i="1"/>
  <c r="W138" i="1"/>
  <c r="E138" i="1"/>
  <c r="AO137" i="1"/>
  <c r="W137" i="1"/>
  <c r="E137" i="1"/>
  <c r="AO136" i="1"/>
  <c r="W136" i="1"/>
  <c r="E136" i="1"/>
  <c r="AO135" i="1"/>
  <c r="W135" i="1"/>
  <c r="E135" i="1"/>
  <c r="AO134" i="1"/>
  <c r="W134" i="1"/>
  <c r="E134" i="1"/>
  <c r="AO133" i="1"/>
  <c r="W133" i="1"/>
  <c r="E133" i="1"/>
  <c r="AO132" i="1"/>
  <c r="W132" i="1"/>
  <c r="E132" i="1"/>
  <c r="AO131" i="1"/>
  <c r="W131" i="1"/>
  <c r="E131" i="1"/>
  <c r="AO130" i="1"/>
  <c r="W130" i="1"/>
  <c r="E130" i="1"/>
  <c r="AO129" i="1"/>
  <c r="W129" i="1"/>
  <c r="E129" i="1"/>
  <c r="AO128" i="1"/>
  <c r="W128" i="1"/>
  <c r="E128" i="1"/>
  <c r="AO127" i="1"/>
  <c r="W127" i="1"/>
  <c r="E127" i="1"/>
  <c r="AO126" i="1"/>
  <c r="W126" i="1"/>
  <c r="E126" i="1"/>
  <c r="AO125" i="1"/>
  <c r="W125" i="1"/>
  <c r="E125" i="1"/>
  <c r="AO124" i="1"/>
  <c r="W124" i="1"/>
  <c r="E124" i="1"/>
  <c r="AO123" i="1"/>
  <c r="W123" i="1"/>
  <c r="E123" i="1"/>
  <c r="AO122" i="1"/>
  <c r="W122" i="1"/>
  <c r="E122" i="1"/>
  <c r="AO121" i="1"/>
  <c r="W121" i="1"/>
  <c r="E121" i="1"/>
  <c r="AO120" i="1"/>
  <c r="W120" i="1"/>
  <c r="E120" i="1"/>
  <c r="AO119" i="1"/>
  <c r="W119" i="1"/>
  <c r="E119" i="1"/>
  <c r="AO118" i="1"/>
  <c r="W118" i="1"/>
  <c r="E118" i="1"/>
  <c r="AO117" i="1"/>
  <c r="W117" i="1"/>
  <c r="E117" i="1"/>
  <c r="AO116" i="1"/>
  <c r="W116" i="1"/>
  <c r="E116" i="1"/>
  <c r="AO115" i="1"/>
  <c r="W115" i="1"/>
  <c r="E115" i="1"/>
  <c r="AO114" i="1"/>
  <c r="W114" i="1"/>
  <c r="E114" i="1"/>
  <c r="AO113" i="1"/>
  <c r="W113" i="1"/>
  <c r="E113" i="1"/>
  <c r="AO112" i="1"/>
  <c r="W112" i="1"/>
  <c r="E112" i="1"/>
  <c r="AO111" i="1"/>
  <c r="W111" i="1"/>
  <c r="E111" i="1"/>
  <c r="AO110" i="1"/>
  <c r="W110" i="1"/>
  <c r="E110" i="1"/>
  <c r="AO109" i="1"/>
  <c r="W109" i="1"/>
  <c r="E109" i="1"/>
  <c r="AO108" i="1"/>
  <c r="W108" i="1"/>
  <c r="E108" i="1"/>
  <c r="AO107" i="1"/>
  <c r="W107" i="1"/>
  <c r="E107" i="1"/>
  <c r="AO106" i="1"/>
  <c r="W106" i="1"/>
  <c r="E106" i="1"/>
  <c r="AO105" i="1"/>
  <c r="W105" i="1"/>
  <c r="E105" i="1"/>
  <c r="AO104" i="1"/>
  <c r="W104" i="1"/>
  <c r="E104" i="1"/>
  <c r="AO103" i="1"/>
  <c r="W103" i="1"/>
  <c r="E103" i="1"/>
  <c r="AO102" i="1"/>
  <c r="W102" i="1"/>
  <c r="E102" i="1"/>
  <c r="AO101" i="1"/>
  <c r="W101" i="1"/>
  <c r="E101" i="1"/>
  <c r="AO100" i="1"/>
  <c r="W100" i="1"/>
  <c r="E100" i="1"/>
  <c r="AO99" i="1"/>
  <c r="W99" i="1"/>
  <c r="E99" i="1"/>
  <c r="AO98" i="1"/>
  <c r="W98" i="1"/>
  <c r="E98" i="1"/>
  <c r="AO97" i="1"/>
  <c r="W97" i="1"/>
  <c r="E97" i="1"/>
  <c r="AO96" i="1"/>
  <c r="W96" i="1"/>
  <c r="E96" i="1"/>
  <c r="AO95" i="1"/>
  <c r="W95" i="1"/>
  <c r="E95" i="1"/>
  <c r="AO94" i="1"/>
  <c r="W94" i="1"/>
  <c r="E94" i="1"/>
  <c r="AO93" i="1"/>
  <c r="W93" i="1"/>
  <c r="E93" i="1"/>
  <c r="AO92" i="1"/>
  <c r="W92" i="1"/>
  <c r="E92" i="1"/>
  <c r="AO91" i="1"/>
  <c r="W91" i="1"/>
  <c r="E91" i="1"/>
  <c r="AO90" i="1"/>
  <c r="W90" i="1"/>
  <c r="E90" i="1"/>
  <c r="AO89" i="1"/>
  <c r="W89" i="1"/>
  <c r="E89" i="1"/>
  <c r="AO88" i="1"/>
  <c r="W88" i="1"/>
  <c r="E88" i="1"/>
  <c r="AO87" i="1"/>
  <c r="W87" i="1"/>
  <c r="E87" i="1"/>
  <c r="AO86" i="1"/>
  <c r="W86" i="1"/>
  <c r="E86" i="1"/>
  <c r="AO85" i="1"/>
  <c r="W85" i="1"/>
  <c r="E85" i="1"/>
  <c r="AO84" i="1"/>
  <c r="W84" i="1"/>
  <c r="E84" i="1"/>
  <c r="AO83" i="1"/>
  <c r="W83" i="1"/>
  <c r="E83" i="1"/>
  <c r="AO82" i="1"/>
  <c r="W82" i="1"/>
  <c r="E82" i="1"/>
  <c r="AO81" i="1"/>
  <c r="W81" i="1"/>
  <c r="E81" i="1"/>
  <c r="AO80" i="1"/>
  <c r="W80" i="1"/>
  <c r="E80" i="1"/>
  <c r="AO79" i="1"/>
  <c r="W79" i="1"/>
  <c r="E79" i="1"/>
  <c r="AO78" i="1"/>
  <c r="W78" i="1"/>
  <c r="E78" i="1"/>
  <c r="AO77" i="1"/>
  <c r="W77" i="1"/>
  <c r="E77" i="1"/>
  <c r="AO76" i="1"/>
  <c r="W76" i="1"/>
  <c r="E76" i="1"/>
  <c r="AO75" i="1"/>
  <c r="W75" i="1"/>
  <c r="E75" i="1"/>
  <c r="AO74" i="1"/>
  <c r="W74" i="1"/>
  <c r="E74" i="1"/>
  <c r="AO73" i="1"/>
  <c r="W73" i="1"/>
  <c r="E73" i="1"/>
  <c r="AO72" i="1"/>
  <c r="W72" i="1"/>
  <c r="E72" i="1"/>
  <c r="AO71" i="1"/>
  <c r="W71" i="1"/>
  <c r="E71" i="1"/>
  <c r="AO70" i="1"/>
  <c r="W70" i="1"/>
  <c r="E70" i="1"/>
  <c r="AO69" i="1"/>
  <c r="W69" i="1"/>
  <c r="E69" i="1"/>
  <c r="AO68" i="1"/>
  <c r="W68" i="1"/>
  <c r="E68" i="1"/>
  <c r="AO67" i="1"/>
  <c r="W67" i="1"/>
  <c r="E67" i="1"/>
  <c r="AO66" i="1"/>
  <c r="W66" i="1"/>
  <c r="E66" i="1"/>
  <c r="AO65" i="1"/>
  <c r="W65" i="1"/>
  <c r="E65" i="1"/>
  <c r="AO64" i="1"/>
  <c r="W64" i="1"/>
  <c r="E64" i="1"/>
  <c r="AO63" i="1"/>
  <c r="W63" i="1"/>
  <c r="E63" i="1"/>
  <c r="AO62" i="1"/>
  <c r="W62" i="1"/>
  <c r="E62" i="1"/>
  <c r="AO61" i="1"/>
  <c r="W61" i="1"/>
  <c r="E61" i="1"/>
  <c r="AO60" i="1"/>
  <c r="W60" i="1"/>
  <c r="E60" i="1"/>
  <c r="AO59" i="1"/>
  <c r="W59" i="1"/>
  <c r="E59" i="1"/>
  <c r="AO58" i="1"/>
  <c r="W58" i="1"/>
  <c r="E58" i="1"/>
  <c r="AO57" i="1"/>
  <c r="W57" i="1"/>
  <c r="E57" i="1"/>
  <c r="AO56" i="1"/>
  <c r="W56" i="1"/>
  <c r="E56" i="1"/>
  <c r="AO55" i="1"/>
  <c r="W55" i="1"/>
  <c r="E55" i="1"/>
  <c r="AO54" i="1"/>
  <c r="W54" i="1"/>
  <c r="E54" i="1"/>
  <c r="AO53" i="1"/>
  <c r="W53" i="1"/>
  <c r="E53" i="1"/>
  <c r="AO52" i="1"/>
  <c r="W52" i="1"/>
  <c r="E52" i="1"/>
  <c r="AO51" i="1"/>
  <c r="W51" i="1"/>
  <c r="E51" i="1"/>
  <c r="AO50" i="1"/>
  <c r="W50" i="1"/>
  <c r="E50" i="1"/>
  <c r="AO49" i="1"/>
  <c r="W49" i="1"/>
  <c r="E49" i="1"/>
  <c r="AO48" i="1"/>
  <c r="W48" i="1"/>
  <c r="E48" i="1"/>
  <c r="AO47" i="1"/>
  <c r="W47" i="1"/>
  <c r="E47" i="1"/>
  <c r="AO46" i="1"/>
  <c r="W46" i="1"/>
  <c r="E46" i="1"/>
  <c r="AO45" i="1"/>
  <c r="W45" i="1"/>
  <c r="E45" i="1"/>
  <c r="AO44" i="1"/>
  <c r="W44" i="1"/>
  <c r="E44" i="1"/>
  <c r="AO43" i="1"/>
  <c r="W43" i="1"/>
  <c r="E43" i="1"/>
  <c r="AO42" i="1"/>
  <c r="W42" i="1"/>
  <c r="E42" i="1"/>
  <c r="AO41" i="1"/>
  <c r="W41" i="1"/>
  <c r="E41" i="1"/>
  <c r="AO40" i="1"/>
  <c r="W40" i="1"/>
  <c r="E40" i="1"/>
  <c r="AO39" i="1"/>
  <c r="W39" i="1"/>
  <c r="E39" i="1"/>
  <c r="AO38" i="1"/>
  <c r="W38" i="1"/>
  <c r="E38" i="1"/>
  <c r="AO37" i="1"/>
  <c r="W37" i="1"/>
  <c r="E37" i="1"/>
  <c r="AO36" i="1"/>
  <c r="W36" i="1"/>
  <c r="E36" i="1"/>
  <c r="AO35" i="1"/>
  <c r="W35" i="1"/>
  <c r="E35" i="1"/>
  <c r="AO34" i="1"/>
  <c r="W34" i="1"/>
  <c r="E34" i="1"/>
  <c r="AO33" i="1"/>
  <c r="W33" i="1"/>
  <c r="E33" i="1"/>
  <c r="AO32" i="1"/>
  <c r="W32" i="1"/>
  <c r="E32" i="1"/>
  <c r="AO31" i="1"/>
  <c r="W31" i="1"/>
  <c r="E31" i="1"/>
  <c r="AO30" i="1"/>
  <c r="W30" i="1"/>
  <c r="E30" i="1"/>
  <c r="AO29" i="1"/>
  <c r="W29" i="1"/>
  <c r="E29" i="1"/>
  <c r="AO28" i="1"/>
  <c r="W28" i="1"/>
  <c r="E28" i="1"/>
  <c r="AO27" i="1"/>
  <c r="W27" i="1"/>
  <c r="E27" i="1"/>
  <c r="AO26" i="1"/>
  <c r="W26" i="1"/>
  <c r="E26" i="1"/>
  <c r="AO25" i="1"/>
  <c r="W25" i="1"/>
  <c r="E25" i="1"/>
  <c r="AO24" i="1"/>
  <c r="W24" i="1"/>
  <c r="E24" i="1"/>
  <c r="AO23" i="1"/>
  <c r="W23" i="1"/>
  <c r="E23" i="1"/>
  <c r="AO22" i="1"/>
  <c r="W22" i="1"/>
  <c r="E22" i="1"/>
  <c r="AO21" i="1"/>
  <c r="W21" i="1"/>
  <c r="E21" i="1"/>
  <c r="AO20" i="1"/>
  <c r="W20" i="1"/>
  <c r="E20" i="1"/>
  <c r="AO19" i="1"/>
  <c r="W19" i="1"/>
  <c r="E19" i="1"/>
  <c r="AO18" i="1"/>
  <c r="W18" i="1"/>
  <c r="E18" i="1"/>
  <c r="AO17" i="1"/>
  <c r="W17" i="1"/>
  <c r="E17" i="1"/>
  <c r="AO16" i="1"/>
  <c r="W16" i="1"/>
  <c r="E16" i="1"/>
  <c r="AO15" i="1"/>
  <c r="W15" i="1"/>
  <c r="E15" i="1"/>
  <c r="AO14" i="1"/>
  <c r="W14" i="1"/>
  <c r="E14" i="1"/>
  <c r="AO13" i="1"/>
  <c r="W13" i="1"/>
  <c r="E13" i="1"/>
  <c r="AO12" i="1"/>
  <c r="W12" i="1"/>
  <c r="E12" i="1"/>
  <c r="AO11" i="1"/>
  <c r="W11" i="1"/>
  <c r="E11" i="1"/>
  <c r="AO10" i="1"/>
  <c r="W10" i="1"/>
  <c r="E10" i="1"/>
  <c r="AO9" i="1"/>
  <c r="W9" i="1"/>
  <c r="E9" i="1"/>
  <c r="AO8" i="1"/>
  <c r="W8" i="1"/>
  <c r="E8" i="1"/>
  <c r="AO7" i="1"/>
  <c r="W7" i="1"/>
  <c r="E7" i="1"/>
  <c r="AO6" i="1"/>
  <c r="W6" i="1"/>
  <c r="E6" i="1"/>
  <c r="AO5" i="1"/>
  <c r="W5" i="1"/>
  <c r="E5" i="1"/>
  <c r="AO4" i="1"/>
  <c r="W4" i="1"/>
  <c r="E4" i="1"/>
  <c r="AO367" i="2"/>
  <c r="W367" i="2"/>
  <c r="AO366" i="2"/>
  <c r="W366" i="2"/>
  <c r="AO365" i="2"/>
  <c r="W365" i="2"/>
  <c r="AO364" i="2"/>
  <c r="W364" i="2"/>
  <c r="AO363" i="2"/>
  <c r="W363" i="2"/>
  <c r="AO362" i="2"/>
  <c r="W362" i="2"/>
  <c r="AO361" i="2"/>
  <c r="W361" i="2"/>
  <c r="AO360" i="2"/>
  <c r="W360" i="2"/>
  <c r="AO359" i="2"/>
  <c r="W359" i="2"/>
  <c r="AO358" i="2"/>
  <c r="W358" i="2"/>
  <c r="AO357" i="2"/>
  <c r="W357" i="2"/>
  <c r="AO356" i="2"/>
  <c r="W356" i="2"/>
  <c r="AO355" i="2"/>
  <c r="W355" i="2"/>
  <c r="AO354" i="2"/>
  <c r="W354" i="2"/>
  <c r="AO353" i="2"/>
  <c r="W353" i="2"/>
  <c r="AO352" i="2"/>
  <c r="W352" i="2"/>
  <c r="AO351" i="2"/>
  <c r="W351" i="2"/>
  <c r="AO350" i="2"/>
  <c r="W350" i="2"/>
  <c r="AO349" i="2"/>
  <c r="W349" i="2"/>
  <c r="AO348" i="2"/>
  <c r="W348" i="2"/>
  <c r="AO347" i="2"/>
  <c r="W347" i="2"/>
  <c r="AO346" i="2"/>
  <c r="W346" i="2"/>
  <c r="AO345" i="2"/>
  <c r="W345" i="2"/>
  <c r="AO344" i="2"/>
  <c r="W344" i="2"/>
  <c r="AO343" i="2"/>
  <c r="W343" i="2"/>
  <c r="AO342" i="2"/>
  <c r="W342" i="2"/>
  <c r="AO341" i="2"/>
  <c r="W341" i="2"/>
  <c r="AO340" i="2"/>
  <c r="W340" i="2"/>
  <c r="AO339" i="2"/>
  <c r="W339" i="2"/>
  <c r="AO338" i="2"/>
  <c r="W338" i="2"/>
  <c r="E338" i="2"/>
  <c r="AO337" i="2"/>
  <c r="W337" i="2"/>
  <c r="AO336" i="2"/>
  <c r="W336" i="2"/>
  <c r="AO335" i="2"/>
  <c r="W335" i="2"/>
  <c r="AO334" i="2"/>
  <c r="W334" i="2"/>
  <c r="AO333" i="2"/>
  <c r="W333" i="2"/>
  <c r="AO332" i="2"/>
  <c r="W332" i="2"/>
  <c r="AO331" i="2"/>
  <c r="W331" i="2"/>
  <c r="AO330" i="2"/>
  <c r="W330" i="2"/>
  <c r="AO329" i="2"/>
  <c r="W329" i="2"/>
  <c r="AO328" i="2"/>
  <c r="W328" i="2"/>
  <c r="AO327" i="2"/>
  <c r="W327" i="2"/>
  <c r="AO326" i="2"/>
  <c r="W326" i="2"/>
  <c r="AO325" i="2"/>
  <c r="W325" i="2"/>
  <c r="AO324" i="2"/>
  <c r="W324" i="2"/>
  <c r="AO323" i="2"/>
  <c r="W323" i="2"/>
  <c r="AO322" i="2"/>
  <c r="W322" i="2"/>
  <c r="AO321" i="2"/>
  <c r="W321" i="2"/>
  <c r="AO320" i="2"/>
  <c r="W320" i="2"/>
  <c r="AO319" i="2"/>
  <c r="W319" i="2"/>
  <c r="AO318" i="2"/>
  <c r="W318" i="2"/>
  <c r="AO317" i="2"/>
  <c r="W317" i="2"/>
  <c r="AO316" i="2"/>
  <c r="W316" i="2"/>
  <c r="AO315" i="2"/>
  <c r="W315" i="2"/>
  <c r="AO314" i="2"/>
  <c r="W314" i="2"/>
  <c r="AO313" i="2"/>
  <c r="W313" i="2"/>
  <c r="AO312" i="2"/>
  <c r="W312" i="2"/>
  <c r="AO311" i="2"/>
  <c r="W311" i="2"/>
  <c r="AO310" i="2"/>
  <c r="W310" i="2"/>
  <c r="AO309" i="2"/>
  <c r="W309" i="2"/>
  <c r="AO308" i="2"/>
  <c r="W308" i="2"/>
  <c r="E308" i="2"/>
  <c r="AO307" i="2"/>
  <c r="W307" i="2"/>
  <c r="AO306" i="2"/>
  <c r="W306" i="2"/>
  <c r="AO305" i="2"/>
  <c r="W305" i="2"/>
  <c r="AO304" i="2"/>
  <c r="W304" i="2"/>
  <c r="AO303" i="2"/>
  <c r="W303" i="2"/>
  <c r="AO302" i="2"/>
  <c r="W302" i="2"/>
  <c r="AO301" i="2"/>
  <c r="W301" i="2"/>
  <c r="AO300" i="2"/>
  <c r="W300" i="2"/>
  <c r="AO299" i="2"/>
  <c r="W299" i="2"/>
  <c r="AO298" i="2"/>
  <c r="W298" i="2"/>
  <c r="AO297" i="2"/>
  <c r="W297" i="2"/>
  <c r="AO296" i="2"/>
  <c r="W296" i="2"/>
  <c r="AO295" i="2"/>
  <c r="W295" i="2"/>
  <c r="AO294" i="2"/>
  <c r="W294" i="2"/>
  <c r="AO293" i="2"/>
  <c r="W293" i="2"/>
  <c r="AO292" i="2"/>
  <c r="W292" i="2"/>
  <c r="AO291" i="2"/>
  <c r="W291" i="2"/>
  <c r="AO290" i="2"/>
  <c r="W290" i="2"/>
  <c r="AO289" i="2"/>
  <c r="W289" i="2"/>
  <c r="AO288" i="2"/>
  <c r="W288" i="2"/>
  <c r="AO287" i="2"/>
  <c r="W287" i="2"/>
  <c r="AO286" i="2"/>
  <c r="W286" i="2"/>
  <c r="AO285" i="2"/>
  <c r="W285" i="2"/>
  <c r="AO284" i="2"/>
  <c r="W284" i="2"/>
  <c r="AO283" i="2"/>
  <c r="W283" i="2"/>
  <c r="AO282" i="2"/>
  <c r="W282" i="2"/>
  <c r="AO281" i="2"/>
  <c r="W281" i="2"/>
  <c r="AO280" i="2"/>
  <c r="W280" i="2"/>
  <c r="AO279" i="2"/>
  <c r="W279" i="2"/>
  <c r="AO278" i="2"/>
  <c r="W278" i="2"/>
  <c r="AO277" i="2"/>
  <c r="W277" i="2"/>
  <c r="E277" i="2"/>
  <c r="AO276" i="2"/>
  <c r="W276" i="2"/>
  <c r="AO275" i="2"/>
  <c r="W275" i="2"/>
  <c r="AO274" i="2"/>
  <c r="W274" i="2"/>
  <c r="AO273" i="2"/>
  <c r="W273" i="2"/>
  <c r="AO272" i="2"/>
  <c r="W272" i="2"/>
  <c r="AO271" i="2"/>
  <c r="W271" i="2"/>
  <c r="AO270" i="2"/>
  <c r="W270" i="2"/>
  <c r="AO269" i="2"/>
  <c r="W269" i="2"/>
  <c r="AO268" i="2"/>
  <c r="W268" i="2"/>
  <c r="AO267" i="2"/>
  <c r="W267" i="2"/>
  <c r="AO266" i="2"/>
  <c r="W266" i="2"/>
  <c r="AO265" i="2"/>
  <c r="W265" i="2"/>
  <c r="AO264" i="2"/>
  <c r="W264" i="2"/>
  <c r="AO263" i="2"/>
  <c r="W263" i="2"/>
  <c r="AO262" i="2"/>
  <c r="W262" i="2"/>
  <c r="AO261" i="2"/>
  <c r="W261" i="2"/>
  <c r="AO260" i="2"/>
  <c r="W260" i="2"/>
  <c r="AO259" i="2"/>
  <c r="W259" i="2"/>
  <c r="AO258" i="2"/>
  <c r="W258" i="2"/>
  <c r="AO257" i="2"/>
  <c r="W257" i="2"/>
  <c r="AO256" i="2"/>
  <c r="W256" i="2"/>
  <c r="AO255" i="2"/>
  <c r="W255" i="2"/>
  <c r="AO254" i="2"/>
  <c r="W254" i="2"/>
  <c r="AO253" i="2"/>
  <c r="W253" i="2"/>
  <c r="AO252" i="2"/>
  <c r="W252" i="2"/>
  <c r="AO251" i="2"/>
  <c r="W251" i="2"/>
  <c r="AO250" i="2"/>
  <c r="W250" i="2"/>
  <c r="AO249" i="2"/>
  <c r="W249" i="2"/>
  <c r="AO248" i="2"/>
  <c r="W248" i="2"/>
  <c r="AO247" i="2"/>
  <c r="W247" i="2"/>
  <c r="E247" i="2"/>
  <c r="AO246" i="2"/>
  <c r="W246" i="2"/>
  <c r="AO245" i="2"/>
  <c r="W245" i="2"/>
  <c r="AO244" i="2"/>
  <c r="W244" i="2"/>
  <c r="AO243" i="2"/>
  <c r="W243" i="2"/>
  <c r="AO242" i="2"/>
  <c r="W242" i="2"/>
  <c r="AO241" i="2"/>
  <c r="W241" i="2"/>
  <c r="AO240" i="2"/>
  <c r="W240" i="2"/>
  <c r="AO239" i="2"/>
  <c r="W239" i="2"/>
  <c r="AO238" i="2"/>
  <c r="W238" i="2"/>
  <c r="AO237" i="2"/>
  <c r="W237" i="2"/>
  <c r="AO236" i="2"/>
  <c r="W236" i="2"/>
  <c r="AO235" i="2"/>
  <c r="W235" i="2"/>
  <c r="AO234" i="2"/>
  <c r="W234" i="2"/>
  <c r="AO233" i="2"/>
  <c r="W233" i="2"/>
  <c r="AO232" i="2"/>
  <c r="W232" i="2"/>
  <c r="AO231" i="2"/>
  <c r="W231" i="2"/>
  <c r="AO230" i="2"/>
  <c r="W230" i="2"/>
  <c r="AO229" i="2"/>
  <c r="W229" i="2"/>
  <c r="AO228" i="2"/>
  <c r="W228" i="2"/>
  <c r="AO227" i="2"/>
  <c r="W227" i="2"/>
  <c r="AO226" i="2"/>
  <c r="W226" i="2"/>
  <c r="AO225" i="2"/>
  <c r="W225" i="2"/>
  <c r="AO224" i="2"/>
  <c r="W224" i="2"/>
  <c r="AO223" i="2"/>
  <c r="W223" i="2"/>
  <c r="AO222" i="2"/>
  <c r="W222" i="2"/>
  <c r="AO221" i="2"/>
  <c r="W221" i="2"/>
  <c r="AO220" i="2"/>
  <c r="W220" i="2"/>
  <c r="AO219" i="2"/>
  <c r="W219" i="2"/>
  <c r="AO218" i="2"/>
  <c r="W218" i="2"/>
  <c r="AO217" i="2"/>
  <c r="W217" i="2"/>
  <c r="AO216" i="2"/>
  <c r="W216" i="2"/>
  <c r="E216" i="2"/>
  <c r="AO215" i="2"/>
  <c r="W215" i="2"/>
  <c r="AO214" i="2"/>
  <c r="W214" i="2"/>
  <c r="AO213" i="2"/>
  <c r="W213" i="2"/>
  <c r="AO212" i="2"/>
  <c r="W212" i="2"/>
  <c r="AO211" i="2"/>
  <c r="W211" i="2"/>
  <c r="AO210" i="2"/>
  <c r="W210" i="2"/>
  <c r="AO209" i="2"/>
  <c r="W209" i="2"/>
  <c r="AO208" i="2"/>
  <c r="W208" i="2"/>
  <c r="AO207" i="2"/>
  <c r="W207" i="2"/>
  <c r="AO206" i="2"/>
  <c r="W206" i="2"/>
  <c r="AO205" i="2"/>
  <c r="W205" i="2"/>
  <c r="AO204" i="2"/>
  <c r="W204" i="2"/>
  <c r="AO203" i="2"/>
  <c r="W203" i="2"/>
  <c r="AO202" i="2"/>
  <c r="W202" i="2"/>
  <c r="AO201" i="2"/>
  <c r="W201" i="2"/>
  <c r="AO200" i="2"/>
  <c r="W200" i="2"/>
  <c r="AO199" i="2"/>
  <c r="W199" i="2"/>
  <c r="AO198" i="2"/>
  <c r="W198" i="2"/>
  <c r="AO197" i="2"/>
  <c r="W197" i="2"/>
  <c r="AO196" i="2"/>
  <c r="W196" i="2"/>
  <c r="AO195" i="2"/>
  <c r="W195" i="2"/>
  <c r="AO194" i="2"/>
  <c r="W194" i="2"/>
  <c r="AO193" i="2"/>
  <c r="W193" i="2"/>
  <c r="AO192" i="2"/>
  <c r="W192" i="2"/>
  <c r="AO191" i="2"/>
  <c r="W191" i="2"/>
  <c r="AO190" i="2"/>
  <c r="W190" i="2"/>
  <c r="AO189" i="2"/>
  <c r="W189" i="2"/>
  <c r="AO188" i="2"/>
  <c r="W188" i="2"/>
  <c r="AO187" i="2"/>
  <c r="W187" i="2"/>
  <c r="AO186" i="2"/>
  <c r="W186" i="2"/>
  <c r="AO185" i="2"/>
  <c r="W185" i="2"/>
  <c r="E185" i="2"/>
  <c r="AO184" i="2"/>
  <c r="W184" i="2"/>
  <c r="AO183" i="2"/>
  <c r="W183" i="2"/>
  <c r="AO182" i="2"/>
  <c r="W182" i="2"/>
  <c r="AO181" i="2"/>
  <c r="W181" i="2"/>
  <c r="AO180" i="2"/>
  <c r="W180" i="2"/>
  <c r="AO179" i="2"/>
  <c r="W179" i="2"/>
  <c r="AO178" i="2"/>
  <c r="W178" i="2"/>
  <c r="AO177" i="2"/>
  <c r="W177" i="2"/>
  <c r="AO176" i="2"/>
  <c r="W176" i="2"/>
  <c r="AO175" i="2"/>
  <c r="W175" i="2"/>
  <c r="AO174" i="2"/>
  <c r="W174" i="2"/>
  <c r="AO173" i="2"/>
  <c r="W173" i="2"/>
  <c r="AO172" i="2"/>
  <c r="W172" i="2"/>
  <c r="AO171" i="2"/>
  <c r="W171" i="2"/>
  <c r="AO170" i="2"/>
  <c r="W170" i="2"/>
  <c r="AO169" i="2"/>
  <c r="W169" i="2"/>
  <c r="AO168" i="2"/>
  <c r="W168" i="2"/>
  <c r="AO167" i="2"/>
  <c r="W167" i="2"/>
  <c r="AO166" i="2"/>
  <c r="W166" i="2"/>
  <c r="AO165" i="2"/>
  <c r="W165" i="2"/>
  <c r="AO164" i="2"/>
  <c r="W164" i="2"/>
  <c r="AO163" i="2"/>
  <c r="W163" i="2"/>
  <c r="AO162" i="2"/>
  <c r="W162" i="2"/>
  <c r="AO161" i="2"/>
  <c r="W161" i="2"/>
  <c r="AO160" i="2"/>
  <c r="W160" i="2"/>
  <c r="AO159" i="2"/>
  <c r="W159" i="2"/>
  <c r="AO158" i="2"/>
  <c r="W158" i="2"/>
  <c r="AO157" i="2"/>
  <c r="W157" i="2"/>
  <c r="AO156" i="2"/>
  <c r="W156" i="2"/>
  <c r="AO155" i="2"/>
  <c r="W155" i="2"/>
  <c r="E155" i="2"/>
  <c r="AO154" i="2"/>
  <c r="W154" i="2"/>
  <c r="AO153" i="2"/>
  <c r="W153" i="2"/>
  <c r="AO152" i="2"/>
  <c r="W152" i="2"/>
  <c r="AO151" i="2"/>
  <c r="W151" i="2"/>
  <c r="AO150" i="2"/>
  <c r="W150" i="2"/>
  <c r="AO149" i="2"/>
  <c r="W149" i="2"/>
  <c r="AO148" i="2"/>
  <c r="W148" i="2"/>
  <c r="AO147" i="2"/>
  <c r="W147" i="2"/>
  <c r="AO146" i="2"/>
  <c r="W146" i="2"/>
  <c r="AO145" i="2"/>
  <c r="W145" i="2"/>
  <c r="AO144" i="2"/>
  <c r="W144" i="2"/>
  <c r="AO143" i="2"/>
  <c r="W143" i="2"/>
  <c r="AO142" i="2"/>
  <c r="W142" i="2"/>
  <c r="AO141" i="2"/>
  <c r="W141" i="2"/>
  <c r="AO140" i="2"/>
  <c r="W140" i="2"/>
  <c r="AO139" i="2"/>
  <c r="W139" i="2"/>
  <c r="AO138" i="2"/>
  <c r="W138" i="2"/>
  <c r="AO137" i="2"/>
  <c r="W137" i="2"/>
  <c r="AO136" i="2"/>
  <c r="W136" i="2"/>
  <c r="AO135" i="2"/>
  <c r="W135" i="2"/>
  <c r="AO134" i="2"/>
  <c r="W134" i="2"/>
  <c r="AO133" i="2"/>
  <c r="W133" i="2"/>
  <c r="AO132" i="2"/>
  <c r="W132" i="2"/>
  <c r="AO131" i="2"/>
  <c r="W131" i="2"/>
  <c r="AO130" i="2"/>
  <c r="W130" i="2"/>
  <c r="AO129" i="2"/>
  <c r="W129" i="2"/>
  <c r="AO128" i="2"/>
  <c r="W128" i="2"/>
  <c r="AO127" i="2"/>
  <c r="W127" i="2"/>
  <c r="AO126" i="2"/>
  <c r="W126" i="2"/>
  <c r="AO125" i="2"/>
  <c r="W125" i="2"/>
  <c r="AO124" i="2"/>
  <c r="W124" i="2"/>
  <c r="E124" i="2"/>
  <c r="AO123" i="2"/>
  <c r="W123" i="2"/>
  <c r="AO122" i="2"/>
  <c r="W122" i="2"/>
  <c r="AO121" i="2"/>
  <c r="W121" i="2"/>
  <c r="AO120" i="2"/>
  <c r="W120" i="2"/>
  <c r="AO119" i="2"/>
  <c r="W119" i="2"/>
  <c r="AO118" i="2"/>
  <c r="W118" i="2"/>
  <c r="AO117" i="2"/>
  <c r="W117" i="2"/>
  <c r="AO116" i="2"/>
  <c r="W116" i="2"/>
  <c r="AO115" i="2"/>
  <c r="W115" i="2"/>
  <c r="AO114" i="2"/>
  <c r="W114" i="2"/>
  <c r="AO113" i="2"/>
  <c r="W113" i="2"/>
  <c r="AO112" i="2"/>
  <c r="W112" i="2"/>
  <c r="AO111" i="2"/>
  <c r="W111" i="2"/>
  <c r="AO110" i="2"/>
  <c r="W110" i="2"/>
  <c r="AO109" i="2"/>
  <c r="W109" i="2"/>
  <c r="AO108" i="2"/>
  <c r="W108" i="2"/>
  <c r="AO107" i="2"/>
  <c r="W107" i="2"/>
  <c r="AO106" i="2"/>
  <c r="W106" i="2"/>
  <c r="AO105" i="2"/>
  <c r="W105" i="2"/>
  <c r="AO104" i="2"/>
  <c r="W104" i="2"/>
  <c r="AO103" i="2"/>
  <c r="W103" i="2"/>
  <c r="AO102" i="2"/>
  <c r="W102" i="2"/>
  <c r="AO101" i="2"/>
  <c r="W101" i="2"/>
  <c r="AO100" i="2"/>
  <c r="W100" i="2"/>
  <c r="AO99" i="2"/>
  <c r="W99" i="2"/>
  <c r="AO98" i="2"/>
  <c r="W98" i="2"/>
  <c r="AO97" i="2"/>
  <c r="W97" i="2"/>
  <c r="AO96" i="2"/>
  <c r="W96" i="2"/>
  <c r="AO95" i="2"/>
  <c r="W95" i="2"/>
  <c r="AO94" i="2"/>
  <c r="W94" i="2"/>
  <c r="E94" i="2"/>
  <c r="AO93" i="2"/>
  <c r="W93" i="2"/>
  <c r="AO92" i="2"/>
  <c r="W92" i="2"/>
  <c r="AO91" i="2"/>
  <c r="W91" i="2"/>
  <c r="AO90" i="2"/>
  <c r="W90" i="2"/>
  <c r="AO89" i="2"/>
  <c r="W89" i="2"/>
  <c r="AO88" i="2"/>
  <c r="W88" i="2"/>
  <c r="AO87" i="2"/>
  <c r="W87" i="2"/>
  <c r="AO86" i="2"/>
  <c r="W86" i="2"/>
  <c r="AO85" i="2"/>
  <c r="W85" i="2"/>
  <c r="AO84" i="2"/>
  <c r="W84" i="2"/>
  <c r="AO83" i="2"/>
  <c r="W83" i="2"/>
  <c r="AO82" i="2"/>
  <c r="W82" i="2"/>
  <c r="AO81" i="2"/>
  <c r="W81" i="2"/>
  <c r="AO80" i="2"/>
  <c r="W80" i="2"/>
  <c r="AO79" i="2"/>
  <c r="W79" i="2"/>
  <c r="AO78" i="2"/>
  <c r="W78" i="2"/>
  <c r="AO77" i="2"/>
  <c r="W77" i="2"/>
  <c r="AO76" i="2"/>
  <c r="W76" i="2"/>
  <c r="AO75" i="2"/>
  <c r="W75" i="2"/>
  <c r="AO74" i="2"/>
  <c r="W74" i="2"/>
  <c r="AO73" i="2"/>
  <c r="W73" i="2"/>
  <c r="AO72" i="2"/>
  <c r="W72" i="2"/>
  <c r="AO71" i="2"/>
  <c r="W71" i="2"/>
  <c r="AO70" i="2"/>
  <c r="W70" i="2"/>
  <c r="AO69" i="2"/>
  <c r="W69" i="2"/>
  <c r="AO68" i="2"/>
  <c r="W68" i="2"/>
  <c r="AO67" i="2"/>
  <c r="W67" i="2"/>
  <c r="AO66" i="2"/>
  <c r="W66" i="2"/>
  <c r="AO65" i="2"/>
  <c r="W65" i="2"/>
  <c r="AO64" i="2"/>
  <c r="W64" i="2"/>
  <c r="AO63" i="2"/>
  <c r="W63" i="2"/>
  <c r="E63" i="2"/>
  <c r="AO62" i="2"/>
  <c r="W62" i="2"/>
  <c r="AO61" i="2"/>
  <c r="W61" i="2"/>
  <c r="AO60" i="2"/>
  <c r="W60" i="2"/>
  <c r="AO59" i="2"/>
  <c r="W59" i="2"/>
  <c r="AO58" i="2"/>
  <c r="W58" i="2"/>
  <c r="AO57" i="2"/>
  <c r="W57" i="2"/>
  <c r="AO56" i="2"/>
  <c r="W56" i="2"/>
  <c r="AO55" i="2"/>
  <c r="W55" i="2"/>
  <c r="AO54" i="2"/>
  <c r="W54" i="2"/>
  <c r="AO53" i="2"/>
  <c r="W53" i="2"/>
  <c r="AO52" i="2"/>
  <c r="W52" i="2"/>
  <c r="AO51" i="2"/>
  <c r="W51" i="2"/>
  <c r="AO50" i="2"/>
  <c r="W50" i="2"/>
  <c r="AO49" i="2"/>
  <c r="W49" i="2"/>
  <c r="AO48" i="2"/>
  <c r="W48" i="2"/>
  <c r="AO47" i="2"/>
  <c r="W47" i="2"/>
  <c r="AO46" i="2"/>
  <c r="W46" i="2"/>
  <c r="AO45" i="2"/>
  <c r="W45" i="2"/>
  <c r="AO44" i="2"/>
  <c r="W44" i="2"/>
  <c r="AO43" i="2"/>
  <c r="W43" i="2"/>
  <c r="AO42" i="2"/>
  <c r="W42" i="2"/>
  <c r="AO41" i="2"/>
  <c r="W41" i="2"/>
  <c r="AO40" i="2"/>
  <c r="W40" i="2"/>
  <c r="AO39" i="2"/>
  <c r="W39" i="2"/>
  <c r="AO38" i="2"/>
  <c r="W38" i="2"/>
  <c r="AO37" i="2"/>
  <c r="W37" i="2"/>
  <c r="AO36" i="2"/>
  <c r="W36" i="2"/>
  <c r="AO35" i="2"/>
  <c r="W35" i="2"/>
  <c r="E35" i="2"/>
  <c r="AO34" i="2"/>
  <c r="W34" i="2"/>
  <c r="AO33" i="2"/>
  <c r="W33" i="2"/>
  <c r="AO32" i="2"/>
  <c r="W32" i="2"/>
  <c r="AO31" i="2"/>
  <c r="W31" i="2"/>
  <c r="AO30" i="2"/>
  <c r="W30" i="2"/>
  <c r="AO29" i="2"/>
  <c r="W29" i="2"/>
  <c r="AO28" i="2"/>
  <c r="W28" i="2"/>
  <c r="AO27" i="2"/>
  <c r="W27" i="2"/>
  <c r="AO26" i="2"/>
  <c r="W26" i="2"/>
  <c r="AO25" i="2"/>
  <c r="W25" i="2"/>
  <c r="AO24" i="2"/>
  <c r="W24" i="2"/>
  <c r="AO23" i="2"/>
  <c r="W23" i="2"/>
  <c r="AO22" i="2"/>
  <c r="W22" i="2"/>
  <c r="AO21" i="2"/>
  <c r="W21" i="2"/>
  <c r="AO20" i="2"/>
  <c r="W20" i="2"/>
  <c r="AO19" i="2"/>
  <c r="W19" i="2"/>
  <c r="AO18" i="2"/>
  <c r="W18" i="2"/>
  <c r="AO17" i="2"/>
  <c r="W17" i="2"/>
  <c r="AO16" i="2"/>
  <c r="W16" i="2"/>
  <c r="AO15" i="2"/>
  <c r="W15" i="2"/>
  <c r="AO14" i="2"/>
  <c r="W14" i="2"/>
  <c r="AO13" i="2"/>
  <c r="W13" i="2"/>
  <c r="AO12" i="2"/>
  <c r="W12" i="2"/>
  <c r="AO11" i="2"/>
  <c r="W11" i="2"/>
  <c r="AO10" i="2"/>
  <c r="W10" i="2"/>
  <c r="AO9" i="2"/>
  <c r="W9" i="2"/>
  <c r="AO8" i="2"/>
  <c r="W8" i="2"/>
  <c r="AO7" i="2"/>
  <c r="W7" i="2"/>
  <c r="AO6" i="2"/>
  <c r="W6" i="2"/>
  <c r="AO5" i="2"/>
  <c r="W5" i="2"/>
  <c r="AO4" i="2"/>
  <c r="W4" i="2"/>
  <c r="E4" i="2"/>
  <c r="AP367" i="1" l="1"/>
  <c r="AN368" i="1"/>
  <c r="X367" i="1"/>
  <c r="V368" i="1"/>
  <c r="F367" i="1"/>
  <c r="BG367" i="1"/>
  <c r="D368" i="1"/>
  <c r="AP366" i="1"/>
  <c r="AN367" i="1"/>
  <c r="X366" i="1"/>
  <c r="V367" i="1"/>
  <c r="F366" i="1"/>
  <c r="BG366" i="1"/>
  <c r="D367" i="1"/>
  <c r="AS56" i="1"/>
  <c r="AT56" i="1" s="1"/>
  <c r="AP365" i="1"/>
  <c r="AN366" i="1"/>
  <c r="AA56" i="1"/>
  <c r="AB56" i="1" s="1"/>
  <c r="X365" i="1"/>
  <c r="V366" i="1"/>
  <c r="F365" i="1"/>
  <c r="BG365" i="1"/>
  <c r="I56" i="1"/>
  <c r="D366" i="1"/>
  <c r="AP364" i="1"/>
  <c r="AN365" i="1"/>
  <c r="X364" i="1"/>
  <c r="V365" i="1"/>
  <c r="BG364" i="1"/>
  <c r="F364" i="1"/>
  <c r="D365" i="1"/>
  <c r="AP363" i="1"/>
  <c r="AN364" i="1"/>
  <c r="X363" i="1"/>
  <c r="V364" i="1"/>
  <c r="F363" i="1"/>
  <c r="BG363" i="1"/>
  <c r="D364" i="1"/>
  <c r="AP362" i="1"/>
  <c r="AN363" i="1"/>
  <c r="X362" i="1"/>
  <c r="V363" i="1"/>
  <c r="BG362" i="1"/>
  <c r="F362" i="1"/>
  <c r="D363" i="1"/>
  <c r="AP361" i="1"/>
  <c r="AN362" i="1"/>
  <c r="X361" i="1"/>
  <c r="V362" i="1"/>
  <c r="F361" i="1"/>
  <c r="BG361" i="1"/>
  <c r="D362" i="1"/>
  <c r="AP360" i="1"/>
  <c r="AN361" i="1"/>
  <c r="X360" i="1"/>
  <c r="V361" i="1"/>
  <c r="BG360" i="1"/>
  <c r="F360" i="1"/>
  <c r="D361" i="1"/>
  <c r="AP359" i="1"/>
  <c r="AN360" i="1"/>
  <c r="X359" i="1"/>
  <c r="V360" i="1"/>
  <c r="BG359" i="1"/>
  <c r="F359" i="1"/>
  <c r="D360" i="1"/>
  <c r="AS55" i="1"/>
  <c r="AT55" i="1" s="1"/>
  <c r="AP358" i="1"/>
  <c r="AN359" i="1"/>
  <c r="X358" i="1"/>
  <c r="AA55" i="1"/>
  <c r="AB55" i="1" s="1"/>
  <c r="V359" i="1"/>
  <c r="BG358" i="1"/>
  <c r="F358" i="1"/>
  <c r="I55" i="1"/>
  <c r="D359" i="1"/>
  <c r="AP357" i="1"/>
  <c r="AN358" i="1"/>
  <c r="X357" i="1"/>
  <c r="V358" i="1"/>
  <c r="BG357" i="1"/>
  <c r="F357" i="1"/>
  <c r="D358" i="1"/>
  <c r="AP356" i="1"/>
  <c r="AN357" i="1"/>
  <c r="X356" i="1"/>
  <c r="V357" i="1"/>
  <c r="F356" i="1"/>
  <c r="BG356" i="1"/>
  <c r="D357" i="1"/>
  <c r="AP355" i="1"/>
  <c r="AN356" i="1"/>
  <c r="X355" i="1"/>
  <c r="V356" i="1"/>
  <c r="F355" i="1"/>
  <c r="BG355" i="1"/>
  <c r="D356" i="1"/>
  <c r="AP354" i="1"/>
  <c r="AN355" i="1"/>
  <c r="X354" i="1"/>
  <c r="V355" i="1"/>
  <c r="F354" i="1"/>
  <c r="BG354" i="1"/>
  <c r="D355" i="1"/>
  <c r="AP353" i="1"/>
  <c r="AN354" i="1"/>
  <c r="X353" i="1"/>
  <c r="V354" i="1"/>
  <c r="F353" i="1"/>
  <c r="BG353" i="1"/>
  <c r="D354" i="1"/>
  <c r="AP352" i="1"/>
  <c r="AN353" i="1"/>
  <c r="X352" i="1"/>
  <c r="V353" i="1"/>
  <c r="BG352" i="1"/>
  <c r="F352" i="1"/>
  <c r="D353" i="1"/>
  <c r="AS54" i="1"/>
  <c r="AT54" i="1" s="1"/>
  <c r="AP351" i="1"/>
  <c r="AN352" i="1"/>
  <c r="X351" i="1"/>
  <c r="AA54" i="1"/>
  <c r="AB54" i="1" s="1"/>
  <c r="V352" i="1"/>
  <c r="I54" i="1"/>
  <c r="BG351" i="1"/>
  <c r="F351" i="1"/>
  <c r="D352" i="1"/>
  <c r="AP350" i="1"/>
  <c r="AN351" i="1"/>
  <c r="X350" i="1"/>
  <c r="V351" i="1"/>
  <c r="BG350" i="1"/>
  <c r="F350" i="1"/>
  <c r="D351" i="1"/>
  <c r="AP349" i="1"/>
  <c r="AN350" i="1"/>
  <c r="X349" i="1"/>
  <c r="V350" i="1"/>
  <c r="F349" i="1"/>
  <c r="BG349" i="1"/>
  <c r="D350" i="1"/>
  <c r="AP348" i="1"/>
  <c r="AN349" i="1"/>
  <c r="X348" i="1"/>
  <c r="V349" i="1"/>
  <c r="F348" i="1"/>
  <c r="BG348" i="1"/>
  <c r="D349" i="1"/>
  <c r="AP347" i="1"/>
  <c r="AN348" i="1"/>
  <c r="X347" i="1"/>
  <c r="V348" i="1"/>
  <c r="F347" i="1"/>
  <c r="BG347" i="1"/>
  <c r="D348" i="1"/>
  <c r="AP346" i="1"/>
  <c r="AN347" i="1"/>
  <c r="X346" i="1"/>
  <c r="V347" i="1"/>
  <c r="BG346" i="1"/>
  <c r="F346" i="1"/>
  <c r="D347" i="1"/>
  <c r="AP345" i="1"/>
  <c r="AN346" i="1"/>
  <c r="X345" i="1"/>
  <c r="V346" i="1"/>
  <c r="F345" i="1"/>
  <c r="BG345" i="1"/>
  <c r="D346" i="1"/>
  <c r="AS53" i="1"/>
  <c r="AT53" i="1" s="1"/>
  <c r="AP344" i="1"/>
  <c r="AN345" i="1"/>
  <c r="X344" i="1"/>
  <c r="AA53" i="1"/>
  <c r="AB53" i="1" s="1"/>
  <c r="V345" i="1"/>
  <c r="I53" i="1"/>
  <c r="BG344" i="1"/>
  <c r="F344" i="1"/>
  <c r="D345" i="1"/>
  <c r="AP343" i="1"/>
  <c r="AN344" i="1"/>
  <c r="X343" i="1"/>
  <c r="V344" i="1"/>
  <c r="BG343" i="1"/>
  <c r="F343" i="1"/>
  <c r="D344" i="1"/>
  <c r="AP342" i="1"/>
  <c r="AN343" i="1"/>
  <c r="X342" i="1"/>
  <c r="V343" i="1"/>
  <c r="BG342" i="1"/>
  <c r="F342" i="1"/>
  <c r="D343" i="1"/>
  <c r="AP341" i="1"/>
  <c r="AN342" i="1"/>
  <c r="X341" i="1"/>
  <c r="V342" i="1"/>
  <c r="F341" i="1"/>
  <c r="BG341" i="1"/>
  <c r="D342" i="1"/>
  <c r="AP340" i="1"/>
  <c r="AN341" i="1"/>
  <c r="X340" i="1"/>
  <c r="V341" i="1"/>
  <c r="BG340" i="1"/>
  <c r="F340" i="1"/>
  <c r="D341" i="1"/>
  <c r="AP339" i="1"/>
  <c r="AN340" i="1"/>
  <c r="X339" i="1"/>
  <c r="V340" i="1"/>
  <c r="BG339" i="1"/>
  <c r="F339" i="1"/>
  <c r="D340" i="1"/>
  <c r="AW15" i="1"/>
  <c r="AX15" i="1" s="1"/>
  <c r="AP338" i="1"/>
  <c r="AN339" i="1"/>
  <c r="AE15" i="1"/>
  <c r="AF15" i="1" s="1"/>
  <c r="X338" i="1"/>
  <c r="V339" i="1"/>
  <c r="F338" i="1"/>
  <c r="M15" i="1"/>
  <c r="BG338" i="1"/>
  <c r="D339" i="1"/>
  <c r="AS52" i="1"/>
  <c r="AT52" i="1" s="1"/>
  <c r="AP337" i="1"/>
  <c r="AN338" i="1"/>
  <c r="AA52" i="1"/>
  <c r="AB52" i="1" s="1"/>
  <c r="X337" i="1"/>
  <c r="V338" i="1"/>
  <c r="F337" i="1"/>
  <c r="BG337" i="1"/>
  <c r="I52" i="1"/>
  <c r="D338" i="1"/>
  <c r="AP336" i="1"/>
  <c r="AN337" i="1"/>
  <c r="X336" i="1"/>
  <c r="V337" i="1"/>
  <c r="BG336" i="1"/>
  <c r="F336" i="1"/>
  <c r="D337" i="1"/>
  <c r="AP335" i="1"/>
  <c r="AN336" i="1"/>
  <c r="X335" i="1"/>
  <c r="V336" i="1"/>
  <c r="BG335" i="1"/>
  <c r="F335" i="1"/>
  <c r="D336" i="1"/>
  <c r="AP334" i="1"/>
  <c r="AN335" i="1"/>
  <c r="X334" i="1"/>
  <c r="V335" i="1"/>
  <c r="BG334" i="1"/>
  <c r="F334" i="1"/>
  <c r="D335" i="1"/>
  <c r="AP333" i="1"/>
  <c r="AN334" i="1"/>
  <c r="X333" i="1"/>
  <c r="V334" i="1"/>
  <c r="F333" i="1"/>
  <c r="BG333" i="1"/>
  <c r="D334" i="1"/>
  <c r="AP332" i="1"/>
  <c r="AN333" i="1"/>
  <c r="X332" i="1"/>
  <c r="V333" i="1"/>
  <c r="F332" i="1"/>
  <c r="BG332" i="1"/>
  <c r="D333" i="1"/>
  <c r="AP331" i="1"/>
  <c r="AN332" i="1"/>
  <c r="X331" i="1"/>
  <c r="V332" i="1"/>
  <c r="BG331" i="1"/>
  <c r="F331" i="1"/>
  <c r="D332" i="1"/>
  <c r="AS51" i="1"/>
  <c r="AT51" i="1" s="1"/>
  <c r="AP330" i="1"/>
  <c r="AN331" i="1"/>
  <c r="X330" i="1"/>
  <c r="AA51" i="1"/>
  <c r="AB51" i="1" s="1"/>
  <c r="V331" i="1"/>
  <c r="I51" i="1"/>
  <c r="F330" i="1"/>
  <c r="BG330" i="1"/>
  <c r="D331" i="1"/>
  <c r="AP329" i="1"/>
  <c r="AN330" i="1"/>
  <c r="X329" i="1"/>
  <c r="V330" i="1"/>
  <c r="F329" i="1"/>
  <c r="BG329" i="1"/>
  <c r="D330" i="1"/>
  <c r="AP328" i="1"/>
  <c r="AN329" i="1"/>
  <c r="X328" i="1"/>
  <c r="V329" i="1"/>
  <c r="F328" i="1"/>
  <c r="BG328" i="1"/>
  <c r="D329" i="1"/>
  <c r="AP327" i="1"/>
  <c r="AN328" i="1"/>
  <c r="X327" i="1"/>
  <c r="V328" i="1"/>
  <c r="F327" i="1"/>
  <c r="BG327" i="1"/>
  <c r="D328" i="1"/>
  <c r="AP326" i="1"/>
  <c r="AN327" i="1"/>
  <c r="X326" i="1"/>
  <c r="V327" i="1"/>
  <c r="F326" i="1"/>
  <c r="BG326" i="1"/>
  <c r="D327" i="1"/>
  <c r="AP325" i="1"/>
  <c r="AN326" i="1"/>
  <c r="X325" i="1"/>
  <c r="V326" i="1"/>
  <c r="F325" i="1"/>
  <c r="BG325" i="1"/>
  <c r="D326" i="1"/>
  <c r="AP324" i="1"/>
  <c r="AN325" i="1"/>
  <c r="X324" i="1"/>
  <c r="V325" i="1"/>
  <c r="F324" i="1"/>
  <c r="BG324" i="1"/>
  <c r="D325" i="1"/>
  <c r="AP323" i="1"/>
  <c r="AS50" i="1"/>
  <c r="AT50" i="1" s="1"/>
  <c r="AN324" i="1"/>
  <c r="AA50" i="1"/>
  <c r="AB50" i="1" s="1"/>
  <c r="X323" i="1"/>
  <c r="V324" i="1"/>
  <c r="BG323" i="1"/>
  <c r="F323" i="1"/>
  <c r="I50" i="1"/>
  <c r="D324" i="1"/>
  <c r="AP322" i="1"/>
  <c r="AN323" i="1"/>
  <c r="X322" i="1"/>
  <c r="V323" i="1"/>
  <c r="F322" i="1"/>
  <c r="BG322" i="1"/>
  <c r="D323" i="1"/>
  <c r="AP321" i="1"/>
  <c r="AN322" i="1"/>
  <c r="X321" i="1"/>
  <c r="V322" i="1"/>
  <c r="BG321" i="1"/>
  <c r="F321" i="1"/>
  <c r="D322" i="1"/>
  <c r="AP320" i="1"/>
  <c r="AN321" i="1"/>
  <c r="X320" i="1"/>
  <c r="V321" i="1"/>
  <c r="BG320" i="1"/>
  <c r="F320" i="1"/>
  <c r="D321" i="1"/>
  <c r="AP319" i="1"/>
  <c r="AN320" i="1"/>
  <c r="X319" i="1"/>
  <c r="V320" i="1"/>
  <c r="F319" i="1"/>
  <c r="BG319" i="1"/>
  <c r="D320" i="1"/>
  <c r="AP318" i="1"/>
  <c r="AN319" i="1"/>
  <c r="X318" i="1"/>
  <c r="V319" i="1"/>
  <c r="BG318" i="1"/>
  <c r="F318" i="1"/>
  <c r="D319" i="1"/>
  <c r="AP317" i="1"/>
  <c r="AN318" i="1"/>
  <c r="X317" i="1"/>
  <c r="V318" i="1"/>
  <c r="F317" i="1"/>
  <c r="BG317" i="1"/>
  <c r="D318" i="1"/>
  <c r="AS49" i="1"/>
  <c r="AT49" i="1" s="1"/>
  <c r="AP316" i="1"/>
  <c r="AN317" i="1"/>
  <c r="X316" i="1"/>
  <c r="AA49" i="1"/>
  <c r="AB49" i="1" s="1"/>
  <c r="V317" i="1"/>
  <c r="I49" i="1"/>
  <c r="F316" i="1"/>
  <c r="BG316" i="1"/>
  <c r="D317" i="1"/>
  <c r="AP315" i="1"/>
  <c r="AN316" i="1"/>
  <c r="X315" i="1"/>
  <c r="V316" i="1"/>
  <c r="BG315" i="1"/>
  <c r="F315" i="1"/>
  <c r="D316" i="1"/>
  <c r="AP314" i="1"/>
  <c r="AN315" i="1"/>
  <c r="X314" i="1"/>
  <c r="V315" i="1"/>
  <c r="BG314" i="1"/>
  <c r="F314" i="1"/>
  <c r="D315" i="1"/>
  <c r="AP313" i="1"/>
  <c r="AN314" i="1"/>
  <c r="X313" i="1"/>
  <c r="V314" i="1"/>
  <c r="BG313" i="1"/>
  <c r="F313" i="1"/>
  <c r="D314" i="1"/>
  <c r="AP312" i="1"/>
  <c r="AN313" i="1"/>
  <c r="X312" i="1"/>
  <c r="V313" i="1"/>
  <c r="BG312" i="1"/>
  <c r="F312" i="1"/>
  <c r="D313" i="1"/>
  <c r="AP311" i="1"/>
  <c r="AN312" i="1"/>
  <c r="X311" i="1"/>
  <c r="V312" i="1"/>
  <c r="BG311" i="1"/>
  <c r="F311" i="1"/>
  <c r="D312" i="1"/>
  <c r="AP310" i="1"/>
  <c r="AN311" i="1"/>
  <c r="X310" i="1"/>
  <c r="V311" i="1"/>
  <c r="F310" i="1"/>
  <c r="BG310" i="1"/>
  <c r="D311" i="1"/>
  <c r="AS48" i="1"/>
  <c r="AT48" i="1" s="1"/>
  <c r="AP309" i="1"/>
  <c r="AN310" i="1"/>
  <c r="AA48" i="1"/>
  <c r="AB48" i="1" s="1"/>
  <c r="X309" i="1"/>
  <c r="V310" i="1"/>
  <c r="F309" i="1"/>
  <c r="BG309" i="1"/>
  <c r="I48" i="1"/>
  <c r="D310" i="1"/>
  <c r="AW14" i="1"/>
  <c r="AX14" i="1" s="1"/>
  <c r="AP308" i="1"/>
  <c r="AN309" i="1"/>
  <c r="AE14" i="1"/>
  <c r="AF14" i="1" s="1"/>
  <c r="X308" i="1"/>
  <c r="V309" i="1"/>
  <c r="M14" i="1"/>
  <c r="F308" i="1"/>
  <c r="BG308" i="1"/>
  <c r="D309" i="1"/>
  <c r="AP307" i="1"/>
  <c r="AN308" i="1"/>
  <c r="X307" i="1"/>
  <c r="V308" i="1"/>
  <c r="F307" i="1"/>
  <c r="BG307" i="1"/>
  <c r="D308" i="1"/>
  <c r="AP306" i="1"/>
  <c r="AN307" i="1"/>
  <c r="X306" i="1"/>
  <c r="V307" i="1"/>
  <c r="F306" i="1"/>
  <c r="BG306" i="1"/>
  <c r="D307" i="1"/>
  <c r="AP305" i="1"/>
  <c r="AN306" i="1"/>
  <c r="X305" i="1"/>
  <c r="V306" i="1"/>
  <c r="BG305" i="1"/>
  <c r="F305" i="1"/>
  <c r="D306" i="1"/>
  <c r="AP304" i="1"/>
  <c r="AN305" i="1"/>
  <c r="X304" i="1"/>
  <c r="V305" i="1"/>
  <c r="F304" i="1"/>
  <c r="BG304" i="1"/>
  <c r="D305" i="1"/>
  <c r="AP303" i="1"/>
  <c r="AN304" i="1"/>
  <c r="X303" i="1"/>
  <c r="V304" i="1"/>
  <c r="BG303" i="1"/>
  <c r="F303" i="1"/>
  <c r="D304" i="1"/>
  <c r="AS47" i="1"/>
  <c r="AT47" i="1" s="1"/>
  <c r="AP302" i="1"/>
  <c r="AN303" i="1"/>
  <c r="X302" i="1"/>
  <c r="AA47" i="1"/>
  <c r="AB47" i="1" s="1"/>
  <c r="V303" i="1"/>
  <c r="F302" i="1"/>
  <c r="I47" i="1"/>
  <c r="BG302" i="1"/>
  <c r="D303" i="1"/>
  <c r="AP301" i="1"/>
  <c r="AN302" i="1"/>
  <c r="X301" i="1"/>
  <c r="V302" i="1"/>
  <c r="F301" i="1"/>
  <c r="BG301" i="1"/>
  <c r="D302" i="1"/>
  <c r="AP300" i="1"/>
  <c r="AN301" i="1"/>
  <c r="X300" i="1"/>
  <c r="V301" i="1"/>
  <c r="F300" i="1"/>
  <c r="BG300" i="1"/>
  <c r="D301" i="1"/>
  <c r="AP299" i="1"/>
  <c r="AN300" i="1"/>
  <c r="X299" i="1"/>
  <c r="V300" i="1"/>
  <c r="BG299" i="1"/>
  <c r="F299" i="1"/>
  <c r="D300" i="1"/>
  <c r="AP298" i="1"/>
  <c r="AN299" i="1"/>
  <c r="X298" i="1"/>
  <c r="V299" i="1"/>
  <c r="F298" i="1"/>
  <c r="BG298" i="1"/>
  <c r="D299" i="1"/>
  <c r="AP297" i="1"/>
  <c r="AN298" i="1"/>
  <c r="X297" i="1"/>
  <c r="V298" i="1"/>
  <c r="F297" i="1"/>
  <c r="BG297" i="1"/>
  <c r="D298" i="1"/>
  <c r="AP296" i="1"/>
  <c r="AN297" i="1"/>
  <c r="X296" i="1"/>
  <c r="V297" i="1"/>
  <c r="BG296" i="1"/>
  <c r="F296" i="1"/>
  <c r="D297" i="1"/>
  <c r="AS46" i="1"/>
  <c r="AT46" i="1" s="1"/>
  <c r="AP295" i="1"/>
  <c r="AN296" i="1"/>
  <c r="X295" i="1"/>
  <c r="AA46" i="1"/>
  <c r="AB46" i="1" s="1"/>
  <c r="V296" i="1"/>
  <c r="F295" i="1"/>
  <c r="BG295" i="1"/>
  <c r="I46" i="1"/>
  <c r="D296" i="1"/>
  <c r="AP294" i="1"/>
  <c r="AN295" i="1"/>
  <c r="X294" i="1"/>
  <c r="V295" i="1"/>
  <c r="F294" i="1"/>
  <c r="BG294" i="1"/>
  <c r="D295" i="1"/>
  <c r="AP293" i="1"/>
  <c r="AN294" i="1"/>
  <c r="X293" i="1"/>
  <c r="V294" i="1"/>
  <c r="F293" i="1"/>
  <c r="BG293" i="1"/>
  <c r="D294" i="1"/>
  <c r="AP292" i="1"/>
  <c r="AN293" i="1"/>
  <c r="X292" i="1"/>
  <c r="V293" i="1"/>
  <c r="F292" i="1"/>
  <c r="BG292" i="1"/>
  <c r="D293" i="1"/>
  <c r="AP291" i="1"/>
  <c r="AN292" i="1"/>
  <c r="X291" i="1"/>
  <c r="V292" i="1"/>
  <c r="BG291" i="1"/>
  <c r="F291" i="1"/>
  <c r="D292" i="1"/>
  <c r="AP290" i="1"/>
  <c r="AN291" i="1"/>
  <c r="X290" i="1"/>
  <c r="V291" i="1"/>
  <c r="BG290" i="1"/>
  <c r="F290" i="1"/>
  <c r="D291" i="1"/>
  <c r="AP289" i="1"/>
  <c r="AN290" i="1"/>
  <c r="X289" i="1"/>
  <c r="V290" i="1"/>
  <c r="BG289" i="1"/>
  <c r="F289" i="1"/>
  <c r="D290" i="1"/>
  <c r="AS45" i="1"/>
  <c r="AT45" i="1" s="1"/>
  <c r="AP288" i="1"/>
  <c r="AN289" i="1"/>
  <c r="X288" i="1"/>
  <c r="AA45" i="1"/>
  <c r="AB45" i="1" s="1"/>
  <c r="V289" i="1"/>
  <c r="BG288" i="1"/>
  <c r="F288" i="1"/>
  <c r="I45" i="1"/>
  <c r="D289" i="1"/>
  <c r="AP287" i="1"/>
  <c r="AN288" i="1"/>
  <c r="X287" i="1"/>
  <c r="V288" i="1"/>
  <c r="BG287" i="1"/>
  <c r="F287" i="1"/>
  <c r="D288" i="1"/>
  <c r="AP286" i="1"/>
  <c r="AN287" i="1"/>
  <c r="X286" i="1"/>
  <c r="V287" i="1"/>
  <c r="BG286" i="1"/>
  <c r="F286" i="1"/>
  <c r="D287" i="1"/>
  <c r="AP285" i="1"/>
  <c r="AN286" i="1"/>
  <c r="X285" i="1"/>
  <c r="V286" i="1"/>
  <c r="F285" i="1"/>
  <c r="BG285" i="1"/>
  <c r="D286" i="1"/>
  <c r="AP284" i="1"/>
  <c r="AN285" i="1"/>
  <c r="X284" i="1"/>
  <c r="V285" i="1"/>
  <c r="F284" i="1"/>
  <c r="BG284" i="1"/>
  <c r="D285" i="1"/>
  <c r="AP283" i="1"/>
  <c r="AN284" i="1"/>
  <c r="X283" i="1"/>
  <c r="V284" i="1"/>
  <c r="F283" i="1"/>
  <c r="BG283" i="1"/>
  <c r="D284" i="1"/>
  <c r="AP282" i="1"/>
  <c r="AN283" i="1"/>
  <c r="X282" i="1"/>
  <c r="V283" i="1"/>
  <c r="BG282" i="1"/>
  <c r="F282" i="1"/>
  <c r="D283" i="1"/>
  <c r="AP281" i="1"/>
  <c r="AS44" i="1"/>
  <c r="AT44" i="1" s="1"/>
  <c r="AN282" i="1"/>
  <c r="X281" i="1"/>
  <c r="AA44" i="1"/>
  <c r="AB44" i="1" s="1"/>
  <c r="V282" i="1"/>
  <c r="I44" i="1"/>
  <c r="BG281" i="1"/>
  <c r="F281" i="1"/>
  <c r="D282" i="1"/>
  <c r="AP280" i="1"/>
  <c r="AN281" i="1"/>
  <c r="X280" i="1"/>
  <c r="V281" i="1"/>
  <c r="BG280" i="1"/>
  <c r="F280" i="1"/>
  <c r="D281" i="1"/>
  <c r="AP279" i="1"/>
  <c r="AN280" i="1"/>
  <c r="X279" i="1"/>
  <c r="V280" i="1"/>
  <c r="F279" i="1"/>
  <c r="BG279" i="1"/>
  <c r="D280" i="1"/>
  <c r="AP278" i="1"/>
  <c r="AN279" i="1"/>
  <c r="X278" i="1"/>
  <c r="V279" i="1"/>
  <c r="BG278" i="1"/>
  <c r="F278" i="1"/>
  <c r="D279" i="1"/>
  <c r="AP277" i="1"/>
  <c r="AW13" i="1"/>
  <c r="AX13" i="1" s="1"/>
  <c r="AN278" i="1"/>
  <c r="AE13" i="1"/>
  <c r="AF13" i="1" s="1"/>
  <c r="X277" i="1"/>
  <c r="V278" i="1"/>
  <c r="M13" i="1"/>
  <c r="F277" i="1"/>
  <c r="BG277" i="1"/>
  <c r="D278" i="1"/>
  <c r="AP276" i="1"/>
  <c r="AN277" i="1"/>
  <c r="X276" i="1"/>
  <c r="V277" i="1"/>
  <c r="F276" i="1"/>
  <c r="BG276" i="1"/>
  <c r="D277" i="1"/>
  <c r="AP275" i="1"/>
  <c r="AN276" i="1"/>
  <c r="X275" i="1"/>
  <c r="V276" i="1"/>
  <c r="F275" i="1"/>
  <c r="BG275" i="1"/>
  <c r="D276" i="1"/>
  <c r="AS43" i="1"/>
  <c r="AT43" i="1" s="1"/>
  <c r="AP274" i="1"/>
  <c r="AN275" i="1"/>
  <c r="AA43" i="1"/>
  <c r="AB43" i="1" s="1"/>
  <c r="X274" i="1"/>
  <c r="V275" i="1"/>
  <c r="F274" i="1"/>
  <c r="BG274" i="1"/>
  <c r="I43" i="1"/>
  <c r="D275" i="1"/>
  <c r="AP273" i="1"/>
  <c r="AN274" i="1"/>
  <c r="X273" i="1"/>
  <c r="V274" i="1"/>
  <c r="BG273" i="1"/>
  <c r="F273" i="1"/>
  <c r="D274" i="1"/>
  <c r="AP272" i="1"/>
  <c r="AN273" i="1"/>
  <c r="X272" i="1"/>
  <c r="V273" i="1"/>
  <c r="BG272" i="1"/>
  <c r="F272" i="1"/>
  <c r="D273" i="1"/>
  <c r="AP271" i="1"/>
  <c r="AN272" i="1"/>
  <c r="X271" i="1"/>
  <c r="V272" i="1"/>
  <c r="BG271" i="1"/>
  <c r="F271" i="1"/>
  <c r="D272" i="1"/>
  <c r="AP270" i="1"/>
  <c r="AN271" i="1"/>
  <c r="X270" i="1"/>
  <c r="V271" i="1"/>
  <c r="BG270" i="1"/>
  <c r="F270" i="1"/>
  <c r="D271" i="1"/>
  <c r="AP269" i="1"/>
  <c r="AN270" i="1"/>
  <c r="X269" i="1"/>
  <c r="V270" i="1"/>
  <c r="BG269" i="1"/>
  <c r="F269" i="1"/>
  <c r="D270" i="1"/>
  <c r="AP268" i="1"/>
  <c r="AN269" i="1"/>
  <c r="X268" i="1"/>
  <c r="V269" i="1"/>
  <c r="BG268" i="1"/>
  <c r="F268" i="1"/>
  <c r="D269" i="1"/>
  <c r="AS42" i="1"/>
  <c r="AT42" i="1" s="1"/>
  <c r="AP267" i="1"/>
  <c r="AN268" i="1"/>
  <c r="X267" i="1"/>
  <c r="AA42" i="1"/>
  <c r="AB42" i="1" s="1"/>
  <c r="V268" i="1"/>
  <c r="I42" i="1"/>
  <c r="F267" i="1"/>
  <c r="BG267" i="1"/>
  <c r="D268" i="1"/>
  <c r="AP266" i="1"/>
  <c r="AN267" i="1"/>
  <c r="X266" i="1"/>
  <c r="V267" i="1"/>
  <c r="BG266" i="1"/>
  <c r="F266" i="1"/>
  <c r="D267" i="1"/>
  <c r="AP265" i="1"/>
  <c r="AN266" i="1"/>
  <c r="X265" i="1"/>
  <c r="V266" i="1"/>
  <c r="BG265" i="1"/>
  <c r="F265" i="1"/>
  <c r="D266" i="1"/>
  <c r="AP264" i="1"/>
  <c r="AN265" i="1"/>
  <c r="X264" i="1"/>
  <c r="V265" i="1"/>
  <c r="BG264" i="1"/>
  <c r="F264" i="1"/>
  <c r="D265" i="1"/>
  <c r="AP263" i="1"/>
  <c r="AN264" i="1"/>
  <c r="X263" i="1"/>
  <c r="V264" i="1"/>
  <c r="F263" i="1"/>
  <c r="BG263" i="1"/>
  <c r="D264" i="1"/>
  <c r="AP262" i="1"/>
  <c r="AN263" i="1"/>
  <c r="X262" i="1"/>
  <c r="V263" i="1"/>
  <c r="F262" i="1"/>
  <c r="BG262" i="1"/>
  <c r="D263" i="1"/>
  <c r="AP261" i="1"/>
  <c r="AN262" i="1"/>
  <c r="X261" i="1"/>
  <c r="V262" i="1"/>
  <c r="F261" i="1"/>
  <c r="BG261" i="1"/>
  <c r="D262" i="1"/>
  <c r="AS41" i="1"/>
  <c r="AT41" i="1" s="1"/>
  <c r="AP260" i="1"/>
  <c r="AN261" i="1"/>
  <c r="AA41" i="1"/>
  <c r="AB41" i="1" s="1"/>
  <c r="X260" i="1"/>
  <c r="V261" i="1"/>
  <c r="BG260" i="1"/>
  <c r="F260" i="1"/>
  <c r="I41" i="1"/>
  <c r="D261" i="1"/>
  <c r="AP259" i="1"/>
  <c r="AN260" i="1"/>
  <c r="X259" i="1"/>
  <c r="V260" i="1"/>
  <c r="F259" i="1"/>
  <c r="BG259" i="1"/>
  <c r="D260" i="1"/>
  <c r="AP258" i="1"/>
  <c r="AN259" i="1"/>
  <c r="X258" i="1"/>
  <c r="V259" i="1"/>
  <c r="BG258" i="1"/>
  <c r="F258" i="1"/>
  <c r="D259" i="1"/>
  <c r="AP257" i="1"/>
  <c r="AN258" i="1"/>
  <c r="X257" i="1"/>
  <c r="V258" i="1"/>
  <c r="BG257" i="1"/>
  <c r="F257" i="1"/>
  <c r="D258" i="1"/>
  <c r="AP256" i="1"/>
  <c r="AN257" i="1"/>
  <c r="X256" i="1"/>
  <c r="V257" i="1"/>
  <c r="BG256" i="1"/>
  <c r="F256" i="1"/>
  <c r="D257" i="1"/>
  <c r="AP255" i="1"/>
  <c r="AN256" i="1"/>
  <c r="X255" i="1"/>
  <c r="V256" i="1"/>
  <c r="F255" i="1"/>
  <c r="BG255" i="1"/>
  <c r="D256" i="1"/>
  <c r="AP254" i="1"/>
  <c r="AN255" i="1"/>
  <c r="X254" i="1"/>
  <c r="V255" i="1"/>
  <c r="F254" i="1"/>
  <c r="BG254" i="1"/>
  <c r="D255" i="1"/>
  <c r="AS40" i="1"/>
  <c r="AT40" i="1" s="1"/>
  <c r="AP253" i="1"/>
  <c r="AN254" i="1"/>
  <c r="AA40" i="1"/>
  <c r="AB40" i="1" s="1"/>
  <c r="X253" i="1"/>
  <c r="V254" i="1"/>
  <c r="F253" i="1"/>
  <c r="I40" i="1"/>
  <c r="BG253" i="1"/>
  <c r="D254" i="1"/>
  <c r="AP252" i="1"/>
  <c r="AN253" i="1"/>
  <c r="X252" i="1"/>
  <c r="V253" i="1"/>
  <c r="F252" i="1"/>
  <c r="BG252" i="1"/>
  <c r="D253" i="1"/>
  <c r="AP251" i="1"/>
  <c r="AN252" i="1"/>
  <c r="X251" i="1"/>
  <c r="V252" i="1"/>
  <c r="BG251" i="1"/>
  <c r="F251" i="1"/>
  <c r="D252" i="1"/>
  <c r="AP250" i="1"/>
  <c r="AN251" i="1"/>
  <c r="X250" i="1"/>
  <c r="V251" i="1"/>
  <c r="F250" i="1"/>
  <c r="BG250" i="1"/>
  <c r="D251" i="1"/>
  <c r="AP249" i="1"/>
  <c r="AN250" i="1"/>
  <c r="X249" i="1"/>
  <c r="V250" i="1"/>
  <c r="F249" i="1"/>
  <c r="BG249" i="1"/>
  <c r="D250" i="1"/>
  <c r="AP248" i="1"/>
  <c r="AN249" i="1"/>
  <c r="X248" i="1"/>
  <c r="V249" i="1"/>
  <c r="BG248" i="1"/>
  <c r="F248" i="1"/>
  <c r="D249" i="1"/>
  <c r="AW12" i="1"/>
  <c r="AX12" i="1" s="1"/>
  <c r="AP247" i="1"/>
  <c r="AN248" i="1"/>
  <c r="AE12" i="1"/>
  <c r="AF12" i="1" s="1"/>
  <c r="X247" i="1"/>
  <c r="V248" i="1"/>
  <c r="M12" i="1"/>
  <c r="F247" i="1"/>
  <c r="BG247" i="1"/>
  <c r="D248" i="1"/>
  <c r="AS39" i="1"/>
  <c r="AT39" i="1" s="1"/>
  <c r="AP246" i="1"/>
  <c r="AN247" i="1"/>
  <c r="X246" i="1"/>
  <c r="AA39" i="1"/>
  <c r="AB39" i="1" s="1"/>
  <c r="V247" i="1"/>
  <c r="F246" i="1"/>
  <c r="BG246" i="1"/>
  <c r="I39" i="1"/>
  <c r="D247" i="1"/>
  <c r="AP245" i="1"/>
  <c r="AN246" i="1"/>
  <c r="X245" i="1"/>
  <c r="V246" i="1"/>
  <c r="F245" i="1"/>
  <c r="BG245" i="1"/>
  <c r="D246" i="1"/>
  <c r="AP244" i="1"/>
  <c r="AN245" i="1"/>
  <c r="X244" i="1"/>
  <c r="V245" i="1"/>
  <c r="BG244" i="1"/>
  <c r="F244" i="1"/>
  <c r="D245" i="1"/>
  <c r="AP243" i="1"/>
  <c r="AN244" i="1"/>
  <c r="X243" i="1"/>
  <c r="V244" i="1"/>
  <c r="BG243" i="1"/>
  <c r="F243" i="1"/>
  <c r="D244" i="1"/>
  <c r="AP242" i="1"/>
  <c r="AN243" i="1"/>
  <c r="X242" i="1"/>
  <c r="V243" i="1"/>
  <c r="BG242" i="1"/>
  <c r="F242" i="1"/>
  <c r="D243" i="1"/>
  <c r="AP241" i="1"/>
  <c r="AN242" i="1"/>
  <c r="X241" i="1"/>
  <c r="V242" i="1"/>
  <c r="BG241" i="1"/>
  <c r="F241" i="1"/>
  <c r="D242" i="1"/>
  <c r="AP240" i="1"/>
  <c r="AN241" i="1"/>
  <c r="X240" i="1"/>
  <c r="V241" i="1"/>
  <c r="BG240" i="1"/>
  <c r="F240" i="1"/>
  <c r="D241" i="1"/>
  <c r="AS38" i="1"/>
  <c r="AT38" i="1" s="1"/>
  <c r="AP239" i="1"/>
  <c r="AN240" i="1"/>
  <c r="X239" i="1"/>
  <c r="AA38" i="1"/>
  <c r="AB38" i="1" s="1"/>
  <c r="V240" i="1"/>
  <c r="F239" i="1"/>
  <c r="I38" i="1"/>
  <c r="BG239" i="1"/>
  <c r="D240" i="1"/>
  <c r="AP238" i="1"/>
  <c r="AN239" i="1"/>
  <c r="X238" i="1"/>
  <c r="V239" i="1"/>
  <c r="F238" i="1"/>
  <c r="BG238" i="1"/>
  <c r="D239" i="1"/>
  <c r="AP237" i="1"/>
  <c r="AN238" i="1"/>
  <c r="X237" i="1"/>
  <c r="V238" i="1"/>
  <c r="F237" i="1"/>
  <c r="BG237" i="1"/>
  <c r="D238" i="1"/>
  <c r="AP236" i="1"/>
  <c r="AN237" i="1"/>
  <c r="X236" i="1"/>
  <c r="V237" i="1"/>
  <c r="F236" i="1"/>
  <c r="BG236" i="1"/>
  <c r="D237" i="1"/>
  <c r="AP235" i="1"/>
  <c r="AN236" i="1"/>
  <c r="X235" i="1"/>
  <c r="V236" i="1"/>
  <c r="BG235" i="1"/>
  <c r="F235" i="1"/>
  <c r="D236" i="1"/>
  <c r="AP234" i="1"/>
  <c r="AN235" i="1"/>
  <c r="X234" i="1"/>
  <c r="V235" i="1"/>
  <c r="BG234" i="1"/>
  <c r="F234" i="1"/>
  <c r="D235" i="1"/>
  <c r="AP233" i="1"/>
  <c r="AN234" i="1"/>
  <c r="X233" i="1"/>
  <c r="V234" i="1"/>
  <c r="BG233" i="1"/>
  <c r="F233" i="1"/>
  <c r="D234" i="1"/>
  <c r="AS37" i="1"/>
  <c r="AT37" i="1" s="1"/>
  <c r="AP232" i="1"/>
  <c r="AN233" i="1"/>
  <c r="X232" i="1"/>
  <c r="AA37" i="1"/>
  <c r="AB37" i="1" s="1"/>
  <c r="V233" i="1"/>
  <c r="BG232" i="1"/>
  <c r="F232" i="1"/>
  <c r="I37" i="1"/>
  <c r="D233" i="1"/>
  <c r="AP231" i="1"/>
  <c r="AN232" i="1"/>
  <c r="X231" i="1"/>
  <c r="V232" i="1"/>
  <c r="BG231" i="1"/>
  <c r="F231" i="1"/>
  <c r="D232" i="1"/>
  <c r="AP230" i="1"/>
  <c r="AN231" i="1"/>
  <c r="X230" i="1"/>
  <c r="V231" i="1"/>
  <c r="F230" i="1"/>
  <c r="BG230" i="1"/>
  <c r="D231" i="1"/>
  <c r="AP229" i="1"/>
  <c r="AN230" i="1"/>
  <c r="X229" i="1"/>
  <c r="V230" i="1"/>
  <c r="F229" i="1"/>
  <c r="BG229" i="1"/>
  <c r="D230" i="1"/>
  <c r="AP228" i="1"/>
  <c r="AN229" i="1"/>
  <c r="X228" i="1"/>
  <c r="V229" i="1"/>
  <c r="BG228" i="1"/>
  <c r="F228" i="1"/>
  <c r="D229" i="1"/>
  <c r="AP227" i="1"/>
  <c r="AN228" i="1"/>
  <c r="X227" i="1"/>
  <c r="V228" i="1"/>
  <c r="F227" i="1"/>
  <c r="BG227" i="1"/>
  <c r="D228" i="1"/>
  <c r="AP226" i="1"/>
  <c r="AN227" i="1"/>
  <c r="X226" i="1"/>
  <c r="V227" i="1"/>
  <c r="BG226" i="1"/>
  <c r="F226" i="1"/>
  <c r="D227" i="1"/>
  <c r="AS36" i="1"/>
  <c r="AT36" i="1" s="1"/>
  <c r="AP225" i="1"/>
  <c r="AN226" i="1"/>
  <c r="X225" i="1"/>
  <c r="AA36" i="1"/>
  <c r="AB36" i="1" s="1"/>
  <c r="V226" i="1"/>
  <c r="I36" i="1"/>
  <c r="F225" i="1"/>
  <c r="BG225" i="1"/>
  <c r="D226" i="1"/>
  <c r="AP224" i="1"/>
  <c r="AN225" i="1"/>
  <c r="X224" i="1"/>
  <c r="V225" i="1"/>
  <c r="F224" i="1"/>
  <c r="BG224" i="1"/>
  <c r="D225" i="1"/>
  <c r="AP223" i="1"/>
  <c r="AN224" i="1"/>
  <c r="X223" i="1"/>
  <c r="V224" i="1"/>
  <c r="F223" i="1"/>
  <c r="BG223" i="1"/>
  <c r="D224" i="1"/>
  <c r="AP222" i="1"/>
  <c r="AN223" i="1"/>
  <c r="X222" i="1"/>
  <c r="V223" i="1"/>
  <c r="BG222" i="1"/>
  <c r="F222" i="1"/>
  <c r="D223" i="1"/>
  <c r="AP221" i="1"/>
  <c r="AN222" i="1"/>
  <c r="X221" i="1"/>
  <c r="V222" i="1"/>
  <c r="F221" i="1"/>
  <c r="BG221" i="1"/>
  <c r="D222" i="1"/>
  <c r="AP220" i="1"/>
  <c r="AN221" i="1"/>
  <c r="X220" i="1"/>
  <c r="V221" i="1"/>
  <c r="F220" i="1"/>
  <c r="BG220" i="1"/>
  <c r="D221" i="1"/>
  <c r="AP219" i="1"/>
  <c r="AN220" i="1"/>
  <c r="X219" i="1"/>
  <c r="V220" i="1"/>
  <c r="F219" i="1"/>
  <c r="BG219" i="1"/>
  <c r="D220" i="1"/>
  <c r="AS35" i="1"/>
  <c r="AT35" i="1" s="1"/>
  <c r="AP218" i="1"/>
  <c r="AN219" i="1"/>
  <c r="X218" i="1"/>
  <c r="AA35" i="1"/>
  <c r="AB35" i="1" s="1"/>
  <c r="V219" i="1"/>
  <c r="I35" i="1"/>
  <c r="F218" i="1"/>
  <c r="BG218" i="1"/>
  <c r="D219" i="1"/>
  <c r="AP217" i="1"/>
  <c r="AN218" i="1"/>
  <c r="X217" i="1"/>
  <c r="V218" i="1"/>
  <c r="F217" i="1"/>
  <c r="BG217" i="1"/>
  <c r="D218" i="1"/>
  <c r="AP216" i="1"/>
  <c r="AW11" i="1"/>
  <c r="AX11" i="1" s="1"/>
  <c r="AN217" i="1"/>
  <c r="AE11" i="1"/>
  <c r="AF11" i="1" s="1"/>
  <c r="X216" i="1"/>
  <c r="V217" i="1"/>
  <c r="M11" i="1"/>
  <c r="F216" i="1"/>
  <c r="BG216" i="1"/>
  <c r="D217" i="1"/>
  <c r="AP215" i="1"/>
  <c r="AN216" i="1"/>
  <c r="X215" i="1"/>
  <c r="V216" i="1"/>
  <c r="BG215" i="1"/>
  <c r="F215" i="1"/>
  <c r="D216" i="1"/>
  <c r="AP214" i="1"/>
  <c r="AN215" i="1"/>
  <c r="X214" i="1"/>
  <c r="V215" i="1"/>
  <c r="BG214" i="1"/>
  <c r="F214" i="1"/>
  <c r="D215" i="1"/>
  <c r="AP213" i="1"/>
  <c r="AN214" i="1"/>
  <c r="X213" i="1"/>
  <c r="V214" i="1"/>
  <c r="F213" i="1"/>
  <c r="BG213" i="1"/>
  <c r="D214" i="1"/>
  <c r="AP212" i="1"/>
  <c r="AN213" i="1"/>
  <c r="X212" i="1"/>
  <c r="V213" i="1"/>
  <c r="BG212" i="1"/>
  <c r="F212" i="1"/>
  <c r="D213" i="1"/>
  <c r="AS34" i="1"/>
  <c r="AT34" i="1" s="1"/>
  <c r="AP211" i="1"/>
  <c r="AN212" i="1"/>
  <c r="X211" i="1"/>
  <c r="AA34" i="1"/>
  <c r="AB34" i="1" s="1"/>
  <c r="V212" i="1"/>
  <c r="F211" i="1"/>
  <c r="BG211" i="1"/>
  <c r="I34" i="1"/>
  <c r="D212" i="1"/>
  <c r="AP210" i="1"/>
  <c r="AN211" i="1"/>
  <c r="X210" i="1"/>
  <c r="V211" i="1"/>
  <c r="F210" i="1"/>
  <c r="BG210" i="1"/>
  <c r="D211" i="1"/>
  <c r="AP209" i="1"/>
  <c r="AN210" i="1"/>
  <c r="X209" i="1"/>
  <c r="V210" i="1"/>
  <c r="F209" i="1"/>
  <c r="BG209" i="1"/>
  <c r="D210" i="1"/>
  <c r="AP208" i="1"/>
  <c r="AN209" i="1"/>
  <c r="X208" i="1"/>
  <c r="V209" i="1"/>
  <c r="F208" i="1"/>
  <c r="BG208" i="1"/>
  <c r="D209" i="1"/>
  <c r="AP207" i="1"/>
  <c r="AN208" i="1"/>
  <c r="X207" i="1"/>
  <c r="V208" i="1"/>
  <c r="F207" i="1"/>
  <c r="BG207" i="1"/>
  <c r="D208" i="1"/>
  <c r="AP206" i="1"/>
  <c r="AN207" i="1"/>
  <c r="X206" i="1"/>
  <c r="V207" i="1"/>
  <c r="F206" i="1"/>
  <c r="BG206" i="1"/>
  <c r="D207" i="1"/>
  <c r="AP205" i="1"/>
  <c r="AN206" i="1"/>
  <c r="X205" i="1"/>
  <c r="V206" i="1"/>
  <c r="F205" i="1"/>
  <c r="BG205" i="1"/>
  <c r="D206" i="1"/>
  <c r="AS33" i="1"/>
  <c r="AT33" i="1" s="1"/>
  <c r="AP204" i="1"/>
  <c r="AN205" i="1"/>
  <c r="AA33" i="1"/>
  <c r="AB33" i="1" s="1"/>
  <c r="X204" i="1"/>
  <c r="V205" i="1"/>
  <c r="F204" i="1"/>
  <c r="I33" i="1"/>
  <c r="BG204" i="1"/>
  <c r="D205" i="1"/>
  <c r="AP203" i="1"/>
  <c r="AN204" i="1"/>
  <c r="X203" i="1"/>
  <c r="V204" i="1"/>
  <c r="BG203" i="1"/>
  <c r="F203" i="1"/>
  <c r="D204" i="1"/>
  <c r="AP202" i="1"/>
  <c r="AN203" i="1"/>
  <c r="X202" i="1"/>
  <c r="V203" i="1"/>
  <c r="BG202" i="1"/>
  <c r="F202" i="1"/>
  <c r="D203" i="1"/>
  <c r="AP201" i="1"/>
  <c r="AN202" i="1"/>
  <c r="X201" i="1"/>
  <c r="V202" i="1"/>
  <c r="F201" i="1"/>
  <c r="BG201" i="1"/>
  <c r="D202" i="1"/>
  <c r="AP200" i="1"/>
  <c r="AN201" i="1"/>
  <c r="X200" i="1"/>
  <c r="V201" i="1"/>
  <c r="BG200" i="1"/>
  <c r="F200" i="1"/>
  <c r="D201" i="1"/>
  <c r="AP199" i="1"/>
  <c r="AN200" i="1"/>
  <c r="X199" i="1"/>
  <c r="V200" i="1"/>
  <c r="BG199" i="1"/>
  <c r="F199" i="1"/>
  <c r="D200" i="1"/>
  <c r="AP198" i="1"/>
  <c r="AN199" i="1"/>
  <c r="X198" i="1"/>
  <c r="V199" i="1"/>
  <c r="F198" i="1"/>
  <c r="BG198" i="1"/>
  <c r="D199" i="1"/>
  <c r="AS32" i="1"/>
  <c r="AT32" i="1" s="1"/>
  <c r="AP197" i="1"/>
  <c r="AN198" i="1"/>
  <c r="X197" i="1"/>
  <c r="AA32" i="1"/>
  <c r="AB32" i="1" s="1"/>
  <c r="V198" i="1"/>
  <c r="I32" i="1"/>
  <c r="BG197" i="1"/>
  <c r="F197" i="1"/>
  <c r="D198" i="1"/>
  <c r="AP196" i="1"/>
  <c r="AN197" i="1"/>
  <c r="X196" i="1"/>
  <c r="V197" i="1"/>
  <c r="BG196" i="1"/>
  <c r="F196" i="1"/>
  <c r="D197" i="1"/>
  <c r="AP195" i="1"/>
  <c r="AN196" i="1"/>
  <c r="X195" i="1"/>
  <c r="V196" i="1"/>
  <c r="BG195" i="1"/>
  <c r="F195" i="1"/>
  <c r="D196" i="1"/>
  <c r="AP194" i="1"/>
  <c r="AN195" i="1"/>
  <c r="X194" i="1"/>
  <c r="V195" i="1"/>
  <c r="F194" i="1"/>
  <c r="BG194" i="1"/>
  <c r="D195" i="1"/>
  <c r="AP193" i="1"/>
  <c r="AN194" i="1"/>
  <c r="X193" i="1"/>
  <c r="V194" i="1"/>
  <c r="BG193" i="1"/>
  <c r="F193" i="1"/>
  <c r="D194" i="1"/>
  <c r="AP192" i="1"/>
  <c r="AN193" i="1"/>
  <c r="X192" i="1"/>
  <c r="V193" i="1"/>
  <c r="F192" i="1"/>
  <c r="BG192" i="1"/>
  <c r="D193" i="1"/>
  <c r="AP191" i="1"/>
  <c r="AN192" i="1"/>
  <c r="X191" i="1"/>
  <c r="V192" i="1"/>
  <c r="F191" i="1"/>
  <c r="BG191" i="1"/>
  <c r="D192" i="1"/>
  <c r="AS31" i="1"/>
  <c r="AT31" i="1" s="1"/>
  <c r="AP190" i="1"/>
  <c r="AN191" i="1"/>
  <c r="X190" i="1"/>
  <c r="AA31" i="1"/>
  <c r="AB31" i="1" s="1"/>
  <c r="V191" i="1"/>
  <c r="I31" i="1"/>
  <c r="F190" i="1"/>
  <c r="BG190" i="1"/>
  <c r="D191" i="1"/>
  <c r="AP189" i="1"/>
  <c r="AN190" i="1"/>
  <c r="X189" i="1"/>
  <c r="V190" i="1"/>
  <c r="BG189" i="1"/>
  <c r="F189" i="1"/>
  <c r="D190" i="1"/>
  <c r="AP188" i="1"/>
  <c r="AN189" i="1"/>
  <c r="X188" i="1"/>
  <c r="V189" i="1"/>
  <c r="BG188" i="1"/>
  <c r="F188" i="1"/>
  <c r="D189" i="1"/>
  <c r="AP187" i="1"/>
  <c r="AN188" i="1"/>
  <c r="X187" i="1"/>
  <c r="V188" i="1"/>
  <c r="F187" i="1"/>
  <c r="BG187" i="1"/>
  <c r="D188" i="1"/>
  <c r="AP186" i="1"/>
  <c r="AN187" i="1"/>
  <c r="X186" i="1"/>
  <c r="V187" i="1"/>
  <c r="F186" i="1"/>
  <c r="BG186" i="1"/>
  <c r="D187" i="1"/>
  <c r="AP185" i="1"/>
  <c r="AW10" i="1"/>
  <c r="AX10" i="1" s="1"/>
  <c r="AN186" i="1"/>
  <c r="AE10" i="1"/>
  <c r="AF10" i="1" s="1"/>
  <c r="X185" i="1"/>
  <c r="V186" i="1"/>
  <c r="M10" i="1"/>
  <c r="F185" i="1"/>
  <c r="BG185" i="1"/>
  <c r="D186" i="1"/>
  <c r="AP184" i="1"/>
  <c r="AN185" i="1"/>
  <c r="X184" i="1"/>
  <c r="V185" i="1"/>
  <c r="F184" i="1"/>
  <c r="BG184" i="1"/>
  <c r="D185" i="1"/>
  <c r="AS30" i="1"/>
  <c r="AT30" i="1" s="1"/>
  <c r="AP183" i="1"/>
  <c r="AN184" i="1"/>
  <c r="X183" i="1"/>
  <c r="AA30" i="1"/>
  <c r="AB30" i="1" s="1"/>
  <c r="V184" i="1"/>
  <c r="I30" i="1"/>
  <c r="F183" i="1"/>
  <c r="BG183" i="1"/>
  <c r="D184" i="1"/>
  <c r="AP182" i="1"/>
  <c r="AN183" i="1"/>
  <c r="X182" i="1"/>
  <c r="V183" i="1"/>
  <c r="F182" i="1"/>
  <c r="BG182" i="1"/>
  <c r="D183" i="1"/>
  <c r="AP181" i="1"/>
  <c r="AN182" i="1"/>
  <c r="X181" i="1"/>
  <c r="V182" i="1"/>
  <c r="F181" i="1"/>
  <c r="BG181" i="1"/>
  <c r="D182" i="1"/>
  <c r="AP180" i="1"/>
  <c r="AN181" i="1"/>
  <c r="X180" i="1"/>
  <c r="V181" i="1"/>
  <c r="F180" i="1"/>
  <c r="BG180" i="1"/>
  <c r="D181" i="1"/>
  <c r="AP179" i="1"/>
  <c r="AN180" i="1"/>
  <c r="X179" i="1"/>
  <c r="V180" i="1"/>
  <c r="F179" i="1"/>
  <c r="BG179" i="1"/>
  <c r="D180" i="1"/>
  <c r="AP178" i="1"/>
  <c r="AN179" i="1"/>
  <c r="X178" i="1"/>
  <c r="V179" i="1"/>
  <c r="F178" i="1"/>
  <c r="BG178" i="1"/>
  <c r="D179" i="1"/>
  <c r="AP177" i="1"/>
  <c r="AN178" i="1"/>
  <c r="X177" i="1"/>
  <c r="V178" i="1"/>
  <c r="F177" i="1"/>
  <c r="BG177" i="1"/>
  <c r="D178" i="1"/>
  <c r="AS29" i="1"/>
  <c r="AT29" i="1" s="1"/>
  <c r="AP176" i="1"/>
  <c r="AN177" i="1"/>
  <c r="AA29" i="1"/>
  <c r="AB29" i="1" s="1"/>
  <c r="X176" i="1"/>
  <c r="V177" i="1"/>
  <c r="F176" i="1"/>
  <c r="I29" i="1"/>
  <c r="BG176" i="1"/>
  <c r="D177" i="1"/>
  <c r="AP175" i="1"/>
  <c r="AN176" i="1"/>
  <c r="X175" i="1"/>
  <c r="V176" i="1"/>
  <c r="F175" i="1"/>
  <c r="BG175" i="1"/>
  <c r="D176" i="1"/>
  <c r="AP174" i="1"/>
  <c r="AN175" i="1"/>
  <c r="X174" i="1"/>
  <c r="V175" i="1"/>
  <c r="BG174" i="1"/>
  <c r="F174" i="1"/>
  <c r="D175" i="1"/>
  <c r="AP173" i="1"/>
  <c r="AN174" i="1"/>
  <c r="X173" i="1"/>
  <c r="V174" i="1"/>
  <c r="F173" i="1"/>
  <c r="BG173" i="1"/>
  <c r="D174" i="1"/>
  <c r="AP172" i="1"/>
  <c r="AN173" i="1"/>
  <c r="X172" i="1"/>
  <c r="V173" i="1"/>
  <c r="F172" i="1"/>
  <c r="BG172" i="1"/>
  <c r="D173" i="1"/>
  <c r="AP171" i="1"/>
  <c r="AN172" i="1"/>
  <c r="X171" i="1"/>
  <c r="V172" i="1"/>
  <c r="BG171" i="1"/>
  <c r="F171" i="1"/>
  <c r="D172" i="1"/>
  <c r="AP170" i="1"/>
  <c r="AN171" i="1"/>
  <c r="X170" i="1"/>
  <c r="V171" i="1"/>
  <c r="BG170" i="1"/>
  <c r="F170" i="1"/>
  <c r="D171" i="1"/>
  <c r="AN170" i="1"/>
  <c r="AP169" i="1"/>
  <c r="AS28" i="1"/>
  <c r="AT28" i="1" s="1"/>
  <c r="V170" i="1"/>
  <c r="X169" i="1"/>
  <c r="AA28" i="1"/>
  <c r="AB28" i="1" s="1"/>
  <c r="D170" i="1"/>
  <c r="F169" i="1"/>
  <c r="I28" i="1"/>
  <c r="BG169" i="1"/>
  <c r="AN169" i="1"/>
  <c r="AP168" i="1"/>
  <c r="V169" i="1"/>
  <c r="X168" i="1"/>
  <c r="D169" i="1"/>
  <c r="F168" i="1"/>
  <c r="BG168" i="1"/>
  <c r="AN168" i="1"/>
  <c r="AP167" i="1"/>
  <c r="V168" i="1"/>
  <c r="X167" i="1"/>
  <c r="D168" i="1"/>
  <c r="F167" i="1"/>
  <c r="BG167" i="1"/>
  <c r="AN167" i="1"/>
  <c r="AP166" i="1"/>
  <c r="V167" i="1"/>
  <c r="X166" i="1"/>
  <c r="D167" i="1"/>
  <c r="F166" i="1"/>
  <c r="BG166" i="1"/>
  <c r="AN166" i="1"/>
  <c r="AP165" i="1"/>
  <c r="V166" i="1"/>
  <c r="X165" i="1"/>
  <c r="D166" i="1"/>
  <c r="F165" i="1"/>
  <c r="BG165" i="1"/>
  <c r="AN165" i="1"/>
  <c r="AP164" i="1"/>
  <c r="V165" i="1"/>
  <c r="X164" i="1"/>
  <c r="D165" i="1"/>
  <c r="F164" i="1"/>
  <c r="BG164" i="1"/>
  <c r="AN164" i="1"/>
  <c r="AP163" i="1"/>
  <c r="V164" i="1"/>
  <c r="X163" i="1"/>
  <c r="D164" i="1"/>
  <c r="F163" i="1"/>
  <c r="BG163" i="1"/>
  <c r="AN163" i="1"/>
  <c r="AP162" i="1"/>
  <c r="AS27" i="1"/>
  <c r="AT27" i="1" s="1"/>
  <c r="V163" i="1"/>
  <c r="X162" i="1"/>
  <c r="AA27" i="1"/>
  <c r="AB27" i="1" s="1"/>
  <c r="D163" i="1"/>
  <c r="F162" i="1"/>
  <c r="I27" i="1"/>
  <c r="BG162" i="1"/>
  <c r="AN162" i="1"/>
  <c r="AP161" i="1"/>
  <c r="V162" i="1"/>
  <c r="X161" i="1"/>
  <c r="D162" i="1"/>
  <c r="F161" i="1"/>
  <c r="BG161" i="1"/>
  <c r="AN161" i="1"/>
  <c r="AP160" i="1"/>
  <c r="V161" i="1"/>
  <c r="X160" i="1"/>
  <c r="D161" i="1"/>
  <c r="F160" i="1"/>
  <c r="BG160" i="1"/>
  <c r="AN160" i="1"/>
  <c r="AP159" i="1"/>
  <c r="V160" i="1"/>
  <c r="X159" i="1"/>
  <c r="D160" i="1"/>
  <c r="F159" i="1"/>
  <c r="BG159" i="1"/>
  <c r="AN159" i="1"/>
  <c r="AP158" i="1"/>
  <c r="V159" i="1"/>
  <c r="X158" i="1"/>
  <c r="D159" i="1"/>
  <c r="F158" i="1"/>
  <c r="BG158" i="1"/>
  <c r="AN158" i="1"/>
  <c r="AP157" i="1"/>
  <c r="V158" i="1"/>
  <c r="X157" i="1"/>
  <c r="D158" i="1"/>
  <c r="F157" i="1"/>
  <c r="BG157" i="1"/>
  <c r="AN157" i="1"/>
  <c r="AP156" i="1"/>
  <c r="V157" i="1"/>
  <c r="X156" i="1"/>
  <c r="D157" i="1"/>
  <c r="F156" i="1"/>
  <c r="BG156" i="1"/>
  <c r="AN156" i="1"/>
  <c r="AP155" i="1"/>
  <c r="AS26" i="1"/>
  <c r="AT26" i="1" s="1"/>
  <c r="AW9" i="1"/>
  <c r="AX9" i="1" s="1"/>
  <c r="V156" i="1"/>
  <c r="X155" i="1"/>
  <c r="AA26" i="1"/>
  <c r="AB26" i="1" s="1"/>
  <c r="AE9" i="1"/>
  <c r="AF9" i="1" s="1"/>
  <c r="D156" i="1"/>
  <c r="F155" i="1"/>
  <c r="I26" i="1"/>
  <c r="BG155" i="1"/>
  <c r="M9" i="1"/>
  <c r="AN155" i="1"/>
  <c r="AP154" i="1"/>
  <c r="V155" i="1"/>
  <c r="X154" i="1"/>
  <c r="D155" i="1"/>
  <c r="F154" i="1"/>
  <c r="BG154" i="1"/>
  <c r="AN154" i="1"/>
  <c r="AP153" i="1"/>
  <c r="V154" i="1"/>
  <c r="X153" i="1"/>
  <c r="D154" i="1"/>
  <c r="F153" i="1"/>
  <c r="BG153" i="1"/>
  <c r="AN153" i="1"/>
  <c r="AP152" i="1"/>
  <c r="V153" i="1"/>
  <c r="X152" i="1"/>
  <c r="D153" i="1"/>
  <c r="F152" i="1"/>
  <c r="BG152" i="1"/>
  <c r="AN152" i="1"/>
  <c r="AP151" i="1"/>
  <c r="V152" i="1"/>
  <c r="X151" i="1"/>
  <c r="D152" i="1"/>
  <c r="F151" i="1"/>
  <c r="BG151" i="1"/>
  <c r="AN151" i="1"/>
  <c r="AP150" i="1"/>
  <c r="V151" i="1"/>
  <c r="X150" i="1"/>
  <c r="D151" i="1"/>
  <c r="F150" i="1"/>
  <c r="BG150" i="1"/>
  <c r="AN150" i="1"/>
  <c r="AP149" i="1"/>
  <c r="V150" i="1"/>
  <c r="X149" i="1"/>
  <c r="D150" i="1"/>
  <c r="F149" i="1"/>
  <c r="BG149" i="1"/>
  <c r="AN149" i="1"/>
  <c r="AP148" i="1"/>
  <c r="AS25" i="1"/>
  <c r="AT25" i="1" s="1"/>
  <c r="V149" i="1"/>
  <c r="X148" i="1"/>
  <c r="AA25" i="1"/>
  <c r="AB25" i="1" s="1"/>
  <c r="D149" i="1"/>
  <c r="F148" i="1"/>
  <c r="BG148" i="1"/>
  <c r="I25" i="1"/>
  <c r="AN148" i="1"/>
  <c r="AP147" i="1"/>
  <c r="V148" i="1"/>
  <c r="X147" i="1"/>
  <c r="D148" i="1"/>
  <c r="F147" i="1"/>
  <c r="BG147" i="1"/>
  <c r="AN147" i="1"/>
  <c r="AP146" i="1"/>
  <c r="V147" i="1"/>
  <c r="X146" i="1"/>
  <c r="D147" i="1"/>
  <c r="F146" i="1"/>
  <c r="BG146" i="1"/>
  <c r="AN146" i="1"/>
  <c r="AP145" i="1"/>
  <c r="V146" i="1"/>
  <c r="X145" i="1"/>
  <c r="D146" i="1"/>
  <c r="F145" i="1"/>
  <c r="BG145" i="1"/>
  <c r="AN145" i="1"/>
  <c r="AP144" i="1"/>
  <c r="V145" i="1"/>
  <c r="X144" i="1"/>
  <c r="D145" i="1"/>
  <c r="F144" i="1"/>
  <c r="BG144" i="1"/>
  <c r="AN144" i="1"/>
  <c r="AP143" i="1"/>
  <c r="V144" i="1"/>
  <c r="X143" i="1"/>
  <c r="D144" i="1"/>
  <c r="F143" i="1"/>
  <c r="BG143" i="1"/>
  <c r="AN143" i="1"/>
  <c r="AP142" i="1"/>
  <c r="V143" i="1"/>
  <c r="X142" i="1"/>
  <c r="D143" i="1"/>
  <c r="F142" i="1"/>
  <c r="BG142" i="1"/>
  <c r="AN142" i="1"/>
  <c r="AP141" i="1"/>
  <c r="AS24" i="1"/>
  <c r="AT24" i="1" s="1"/>
  <c r="V142" i="1"/>
  <c r="X141" i="1"/>
  <c r="AA24" i="1"/>
  <c r="AB24" i="1" s="1"/>
  <c r="D142" i="1"/>
  <c r="F141" i="1"/>
  <c r="I24" i="1"/>
  <c r="BG141" i="1"/>
  <c r="AN141" i="1"/>
  <c r="AP140" i="1"/>
  <c r="V141" i="1"/>
  <c r="X140" i="1"/>
  <c r="D141" i="1"/>
  <c r="F140" i="1"/>
  <c r="BG140" i="1"/>
  <c r="AN140" i="1"/>
  <c r="AP139" i="1"/>
  <c r="V140" i="1"/>
  <c r="X139" i="1"/>
  <c r="D140" i="1"/>
  <c r="F139" i="1"/>
  <c r="BG139" i="1"/>
  <c r="AN139" i="1"/>
  <c r="AP138" i="1"/>
  <c r="V139" i="1"/>
  <c r="X138" i="1"/>
  <c r="D139" i="1"/>
  <c r="F138" i="1"/>
  <c r="BG138" i="1"/>
  <c r="AN138" i="1"/>
  <c r="AP137" i="1"/>
  <c r="V138" i="1"/>
  <c r="X137" i="1"/>
  <c r="D138" i="1"/>
  <c r="F137" i="1"/>
  <c r="BG137" i="1"/>
  <c r="AN137" i="1"/>
  <c r="AP136" i="1"/>
  <c r="V137" i="1"/>
  <c r="X136" i="1"/>
  <c r="D137" i="1"/>
  <c r="F136" i="1"/>
  <c r="BG136" i="1"/>
  <c r="AN136" i="1"/>
  <c r="AP135" i="1"/>
  <c r="V136" i="1"/>
  <c r="X135" i="1"/>
  <c r="D136" i="1"/>
  <c r="F135" i="1"/>
  <c r="BG135" i="1"/>
  <c r="AN135" i="1"/>
  <c r="AP134" i="1"/>
  <c r="AS23" i="1"/>
  <c r="AT23" i="1" s="1"/>
  <c r="V135" i="1"/>
  <c r="X134" i="1"/>
  <c r="AA23" i="1"/>
  <c r="AB23" i="1" s="1"/>
  <c r="D135" i="1"/>
  <c r="F134" i="1"/>
  <c r="I23" i="1"/>
  <c r="BG134" i="1"/>
  <c r="AN134" i="1"/>
  <c r="AP133" i="1"/>
  <c r="V134" i="1"/>
  <c r="X133" i="1"/>
  <c r="D134" i="1"/>
  <c r="F133" i="1"/>
  <c r="BG133" i="1"/>
  <c r="AN133" i="1"/>
  <c r="AP132" i="1"/>
  <c r="V133" i="1"/>
  <c r="X132" i="1"/>
  <c r="D133" i="1"/>
  <c r="F132" i="1"/>
  <c r="BG132" i="1"/>
  <c r="AN132" i="1"/>
  <c r="AP131" i="1"/>
  <c r="V132" i="1"/>
  <c r="X131" i="1"/>
  <c r="D132" i="1"/>
  <c r="F131" i="1"/>
  <c r="BG131" i="1"/>
  <c r="AN131" i="1"/>
  <c r="AP130" i="1"/>
  <c r="V131" i="1"/>
  <c r="X130" i="1"/>
  <c r="D131" i="1"/>
  <c r="F130" i="1"/>
  <c r="BG130" i="1"/>
  <c r="AN130" i="1"/>
  <c r="AP129" i="1"/>
  <c r="V130" i="1"/>
  <c r="X129" i="1"/>
  <c r="D130" i="1"/>
  <c r="F129" i="1"/>
  <c r="BG129" i="1"/>
  <c r="AN129" i="1"/>
  <c r="AP128" i="1"/>
  <c r="V129" i="1"/>
  <c r="X128" i="1"/>
  <c r="D129" i="1"/>
  <c r="F128" i="1"/>
  <c r="BG128" i="1"/>
  <c r="AN128" i="1"/>
  <c r="AP127" i="1"/>
  <c r="AS22" i="1"/>
  <c r="AT22" i="1" s="1"/>
  <c r="V128" i="1"/>
  <c r="X127" i="1"/>
  <c r="AA22" i="1"/>
  <c r="AB22" i="1" s="1"/>
  <c r="D128" i="1"/>
  <c r="F127" i="1"/>
  <c r="I22" i="1"/>
  <c r="BG127" i="1"/>
  <c r="AN127" i="1"/>
  <c r="AP126" i="1"/>
  <c r="V127" i="1"/>
  <c r="X126" i="1"/>
  <c r="D127" i="1"/>
  <c r="F126" i="1"/>
  <c r="BG126" i="1"/>
  <c r="AN126" i="1"/>
  <c r="AP125" i="1"/>
  <c r="V126" i="1"/>
  <c r="X125" i="1"/>
  <c r="D126" i="1"/>
  <c r="F125" i="1"/>
  <c r="BG125" i="1"/>
  <c r="AN125" i="1"/>
  <c r="AP124" i="1"/>
  <c r="AW8" i="1"/>
  <c r="AX8" i="1" s="1"/>
  <c r="V125" i="1"/>
  <c r="X124" i="1"/>
  <c r="AE8" i="1"/>
  <c r="AF8" i="1" s="1"/>
  <c r="D125" i="1"/>
  <c r="F124" i="1"/>
  <c r="BG124" i="1"/>
  <c r="M8" i="1"/>
  <c r="AN124" i="1"/>
  <c r="AP123" i="1"/>
  <c r="V124" i="1"/>
  <c r="X123" i="1"/>
  <c r="D124" i="1"/>
  <c r="F123" i="1"/>
  <c r="BG123" i="1"/>
  <c r="AN123" i="1"/>
  <c r="AP122" i="1"/>
  <c r="V123" i="1"/>
  <c r="X122" i="1"/>
  <c r="D123" i="1"/>
  <c r="F122" i="1"/>
  <c r="BG122" i="1"/>
  <c r="AN122" i="1"/>
  <c r="AP121" i="1"/>
  <c r="V122" i="1"/>
  <c r="X121" i="1"/>
  <c r="D122" i="1"/>
  <c r="F121" i="1"/>
  <c r="BG121" i="1"/>
  <c r="AN121" i="1"/>
  <c r="AP120" i="1"/>
  <c r="AS21" i="1"/>
  <c r="AT21" i="1" s="1"/>
  <c r="V121" i="1"/>
  <c r="X120" i="1"/>
  <c r="AA21" i="1"/>
  <c r="AB21" i="1" s="1"/>
  <c r="D121" i="1"/>
  <c r="F120" i="1"/>
  <c r="BG120" i="1"/>
  <c r="I21" i="1"/>
  <c r="AN120" i="1"/>
  <c r="AP119" i="1"/>
  <c r="V120" i="1"/>
  <c r="X119" i="1"/>
  <c r="D120" i="1"/>
  <c r="F119" i="1"/>
  <c r="BG119" i="1"/>
  <c r="AN119" i="1"/>
  <c r="AP118" i="1"/>
  <c r="V119" i="1"/>
  <c r="X118" i="1"/>
  <c r="D119" i="1"/>
  <c r="F118" i="1"/>
  <c r="BG118" i="1"/>
  <c r="AN118" i="1"/>
  <c r="AP117" i="1"/>
  <c r="V118" i="1"/>
  <c r="X117" i="1"/>
  <c r="D118" i="1"/>
  <c r="F117" i="1"/>
  <c r="BG117" i="1"/>
  <c r="AN117" i="1"/>
  <c r="AP116" i="1"/>
  <c r="V117" i="1"/>
  <c r="X116" i="1"/>
  <c r="D117" i="1"/>
  <c r="F116" i="1"/>
  <c r="BG116" i="1"/>
  <c r="AN116" i="1"/>
  <c r="AP115" i="1"/>
  <c r="V116" i="1"/>
  <c r="X115" i="1"/>
  <c r="D116" i="1"/>
  <c r="F115" i="1"/>
  <c r="BG115" i="1"/>
  <c r="AN115" i="1"/>
  <c r="AP114" i="1"/>
  <c r="V115" i="1"/>
  <c r="X114" i="1"/>
  <c r="D115" i="1"/>
  <c r="F114" i="1"/>
  <c r="BG114" i="1"/>
  <c r="AN114" i="1"/>
  <c r="AP113" i="1"/>
  <c r="AS20" i="1"/>
  <c r="AT20" i="1" s="1"/>
  <c r="V114" i="1"/>
  <c r="X113" i="1"/>
  <c r="AA20" i="1"/>
  <c r="AB20" i="1" s="1"/>
  <c r="D114" i="1"/>
  <c r="F113" i="1"/>
  <c r="BG113" i="1"/>
  <c r="I20" i="1"/>
  <c r="AN113" i="1"/>
  <c r="AP112" i="1"/>
  <c r="V113" i="1"/>
  <c r="X112" i="1"/>
  <c r="D113" i="1"/>
  <c r="F112" i="1"/>
  <c r="BG112" i="1"/>
  <c r="AN112" i="1"/>
  <c r="AP111" i="1"/>
  <c r="V112" i="1"/>
  <c r="X111" i="1"/>
  <c r="D112" i="1"/>
  <c r="F111" i="1"/>
  <c r="BG111" i="1"/>
  <c r="AN111" i="1"/>
  <c r="AP110" i="1"/>
  <c r="V111" i="1"/>
  <c r="X110" i="1"/>
  <c r="D111" i="1"/>
  <c r="F110" i="1"/>
  <c r="BG110" i="1"/>
  <c r="AN110" i="1"/>
  <c r="AP109" i="1"/>
  <c r="V110" i="1"/>
  <c r="X109" i="1"/>
  <c r="D110" i="1"/>
  <c r="F109" i="1"/>
  <c r="BG109" i="1"/>
  <c r="AN109" i="1"/>
  <c r="AP108" i="1"/>
  <c r="V109" i="1"/>
  <c r="X108" i="1"/>
  <c r="D109" i="1"/>
  <c r="F108" i="1"/>
  <c r="BG108" i="1"/>
  <c r="AN108" i="1"/>
  <c r="AP107" i="1"/>
  <c r="V108" i="1"/>
  <c r="X107" i="1"/>
  <c r="D108" i="1"/>
  <c r="F107" i="1"/>
  <c r="BG107" i="1"/>
  <c r="AN107" i="1"/>
  <c r="AP106" i="1"/>
  <c r="AS19" i="1"/>
  <c r="AT19" i="1" s="1"/>
  <c r="V107" i="1"/>
  <c r="X106" i="1"/>
  <c r="AA19" i="1"/>
  <c r="AB19" i="1" s="1"/>
  <c r="D107" i="1"/>
  <c r="F106" i="1"/>
  <c r="I19" i="1"/>
  <c r="BG106" i="1"/>
  <c r="AN106" i="1"/>
  <c r="AP105" i="1"/>
  <c r="V106" i="1"/>
  <c r="X105" i="1"/>
  <c r="D106" i="1"/>
  <c r="F105" i="1"/>
  <c r="BG105" i="1"/>
  <c r="AN105" i="1"/>
  <c r="AP104" i="1"/>
  <c r="V105" i="1"/>
  <c r="X104" i="1"/>
  <c r="D105" i="1"/>
  <c r="F104" i="1"/>
  <c r="BG104" i="1"/>
  <c r="AN104" i="1"/>
  <c r="AP103" i="1"/>
  <c r="V104" i="1"/>
  <c r="X103" i="1"/>
  <c r="D104" i="1"/>
  <c r="F103" i="1"/>
  <c r="BG103" i="1"/>
  <c r="AN103" i="1"/>
  <c r="AP102" i="1"/>
  <c r="V103" i="1"/>
  <c r="X102" i="1"/>
  <c r="D103" i="1"/>
  <c r="F102" i="1"/>
  <c r="BG102" i="1"/>
  <c r="AN102" i="1"/>
  <c r="AP101" i="1"/>
  <c r="V102" i="1"/>
  <c r="X101" i="1"/>
  <c r="D102" i="1"/>
  <c r="F101" i="1"/>
  <c r="BG101" i="1"/>
  <c r="AN101" i="1"/>
  <c r="AP100" i="1"/>
  <c r="V101" i="1"/>
  <c r="X100" i="1"/>
  <c r="D101" i="1"/>
  <c r="F100" i="1"/>
  <c r="BG100" i="1"/>
  <c r="AN100" i="1"/>
  <c r="AP99" i="1"/>
  <c r="AS18" i="1"/>
  <c r="AT18" i="1" s="1"/>
  <c r="V100" i="1"/>
  <c r="X99" i="1"/>
  <c r="AA18" i="1"/>
  <c r="AB18" i="1" s="1"/>
  <c r="D100" i="1"/>
  <c r="F99" i="1"/>
  <c r="BG99" i="1"/>
  <c r="I18" i="1"/>
  <c r="AN99" i="1"/>
  <c r="AP98" i="1"/>
  <c r="V99" i="1"/>
  <c r="X98" i="1"/>
  <c r="D99" i="1"/>
  <c r="F98" i="1"/>
  <c r="BG98" i="1"/>
  <c r="AN98" i="1"/>
  <c r="AP97" i="1"/>
  <c r="V98" i="1"/>
  <c r="X97" i="1"/>
  <c r="D98" i="1"/>
  <c r="F97" i="1"/>
  <c r="BG97" i="1"/>
  <c r="AN97" i="1"/>
  <c r="AP96" i="1"/>
  <c r="V97" i="1"/>
  <c r="X96" i="1"/>
  <c r="D97" i="1"/>
  <c r="F96" i="1"/>
  <c r="BG96" i="1"/>
  <c r="AN96" i="1"/>
  <c r="AP95" i="1"/>
  <c r="V96" i="1"/>
  <c r="X95" i="1"/>
  <c r="D96" i="1"/>
  <c r="F95" i="1"/>
  <c r="BG95" i="1"/>
  <c r="AN95" i="1"/>
  <c r="AP94" i="1"/>
  <c r="AW7" i="1"/>
  <c r="AX7" i="1" s="1"/>
  <c r="V95" i="1"/>
  <c r="X94" i="1"/>
  <c r="AE7" i="1"/>
  <c r="AF7" i="1" s="1"/>
  <c r="D95" i="1"/>
  <c r="F94" i="1"/>
  <c r="BG94" i="1"/>
  <c r="M7" i="1"/>
  <c r="AN94" i="1"/>
  <c r="AP93" i="1"/>
  <c r="X93" i="1"/>
  <c r="V94" i="1"/>
  <c r="D94" i="1"/>
  <c r="F93" i="1"/>
  <c r="BG93" i="1"/>
  <c r="AN93" i="1"/>
  <c r="AP92" i="1"/>
  <c r="AS17" i="1"/>
  <c r="AT17" i="1" s="1"/>
  <c r="V93" i="1"/>
  <c r="X92" i="1"/>
  <c r="AA17" i="1"/>
  <c r="AB17" i="1" s="1"/>
  <c r="D93" i="1"/>
  <c r="F92" i="1"/>
  <c r="I17" i="1"/>
  <c r="BG92" i="1"/>
  <c r="AP91" i="1"/>
  <c r="AN92" i="1"/>
  <c r="X91" i="1"/>
  <c r="V92" i="1"/>
  <c r="D92" i="1"/>
  <c r="F91" i="1"/>
  <c r="BG91" i="1"/>
  <c r="AN91" i="1"/>
  <c r="AP90" i="1"/>
  <c r="X90" i="1"/>
  <c r="V91" i="1"/>
  <c r="D91" i="1"/>
  <c r="F90" i="1"/>
  <c r="BG90" i="1"/>
  <c r="AN90" i="1"/>
  <c r="AP89" i="1"/>
  <c r="V90" i="1"/>
  <c r="X89" i="1"/>
  <c r="D90" i="1"/>
  <c r="F89" i="1"/>
  <c r="BG89" i="1"/>
  <c r="AP88" i="1"/>
  <c r="AN89" i="1"/>
  <c r="V89" i="1"/>
  <c r="X88" i="1"/>
  <c r="D89" i="1"/>
  <c r="F88" i="1"/>
  <c r="BG88" i="1"/>
  <c r="AN88" i="1"/>
  <c r="AP87" i="1"/>
  <c r="V88" i="1"/>
  <c r="X87" i="1"/>
  <c r="D88" i="1"/>
  <c r="F87" i="1"/>
  <c r="BG87" i="1"/>
  <c r="AN87" i="1"/>
  <c r="AP86" i="1"/>
  <c r="V87" i="1"/>
  <c r="X86" i="1"/>
  <c r="D87" i="1"/>
  <c r="F86" i="1"/>
  <c r="BG86" i="1"/>
  <c r="AN86" i="1"/>
  <c r="AP85" i="1"/>
  <c r="AS16" i="1"/>
  <c r="AT16" i="1" s="1"/>
  <c r="X85" i="1"/>
  <c r="V86" i="1"/>
  <c r="AA16" i="1"/>
  <c r="AB16" i="1" s="1"/>
  <c r="D86" i="1"/>
  <c r="F85" i="1"/>
  <c r="BG85" i="1"/>
  <c r="I16" i="1"/>
  <c r="AN85" i="1"/>
  <c r="AP84" i="1"/>
  <c r="V85" i="1"/>
  <c r="X84" i="1"/>
  <c r="D85" i="1"/>
  <c r="F84" i="1"/>
  <c r="BG84" i="1"/>
  <c r="AN84" i="1"/>
  <c r="AP83" i="1"/>
  <c r="V84" i="1"/>
  <c r="X83" i="1"/>
  <c r="D84" i="1"/>
  <c r="F83" i="1"/>
  <c r="BG83" i="1"/>
  <c r="AN83" i="1"/>
  <c r="AP82" i="1"/>
  <c r="V83" i="1"/>
  <c r="X82" i="1"/>
  <c r="F82" i="1"/>
  <c r="D83" i="1"/>
  <c r="BG82" i="1"/>
  <c r="AP81" i="1"/>
  <c r="AN82" i="1"/>
  <c r="V82" i="1"/>
  <c r="X81" i="1"/>
  <c r="D82" i="1"/>
  <c r="F81" i="1"/>
  <c r="BG81" i="1"/>
  <c r="AN81" i="1"/>
  <c r="AP80" i="1"/>
  <c r="X80" i="1"/>
  <c r="V81" i="1"/>
  <c r="D81" i="1"/>
  <c r="F80" i="1"/>
  <c r="BG80" i="1"/>
  <c r="AP79" i="1"/>
  <c r="AN80" i="1"/>
  <c r="X79" i="1"/>
  <c r="V80" i="1"/>
  <c r="F79" i="1"/>
  <c r="D80" i="1"/>
  <c r="BG79" i="1"/>
  <c r="AN79" i="1"/>
  <c r="AP78" i="1"/>
  <c r="AS15" i="1"/>
  <c r="AT15" i="1" s="1"/>
  <c r="V79" i="1"/>
  <c r="X78" i="1"/>
  <c r="AA15" i="1"/>
  <c r="AB15" i="1" s="1"/>
  <c r="D79" i="1"/>
  <c r="F78" i="1"/>
  <c r="BG78" i="1"/>
  <c r="I15" i="1"/>
  <c r="AN78" i="1"/>
  <c r="AP77" i="1"/>
  <c r="X77" i="1"/>
  <c r="V78" i="1"/>
  <c r="F77" i="1"/>
  <c r="D78" i="1"/>
  <c r="BG77" i="1"/>
  <c r="AN77" i="1"/>
  <c r="AP76" i="1"/>
  <c r="V77" i="1"/>
  <c r="X76" i="1"/>
  <c r="D77" i="1"/>
  <c r="F76" i="1"/>
  <c r="BG76" i="1"/>
  <c r="AN76" i="1"/>
  <c r="AP75" i="1"/>
  <c r="V76" i="1"/>
  <c r="X75" i="1"/>
  <c r="D76" i="1"/>
  <c r="F75" i="1"/>
  <c r="BG75" i="1"/>
  <c r="AP74" i="1"/>
  <c r="AN75" i="1"/>
  <c r="V75" i="1"/>
  <c r="X74" i="1"/>
  <c r="D75" i="1"/>
  <c r="F74" i="1"/>
  <c r="BG74" i="1"/>
  <c r="AN74" i="1"/>
  <c r="AP73" i="1"/>
  <c r="X73" i="1"/>
  <c r="V74" i="1"/>
  <c r="D74" i="1"/>
  <c r="F73" i="1"/>
  <c r="BG73" i="1"/>
  <c r="AN73" i="1"/>
  <c r="AP72" i="1"/>
  <c r="V73" i="1"/>
  <c r="X72" i="1"/>
  <c r="F72" i="1"/>
  <c r="D73" i="1"/>
  <c r="BG72" i="1"/>
  <c r="AP71" i="1"/>
  <c r="AN72" i="1"/>
  <c r="AS14" i="1"/>
  <c r="AT14" i="1" s="1"/>
  <c r="V72" i="1"/>
  <c r="X71" i="1"/>
  <c r="AA14" i="1"/>
  <c r="AB14" i="1" s="1"/>
  <c r="D72" i="1"/>
  <c r="F71" i="1"/>
  <c r="I14" i="1"/>
  <c r="BG71" i="1"/>
  <c r="AN71" i="1"/>
  <c r="AP70" i="1"/>
  <c r="V71" i="1"/>
  <c r="X70" i="1"/>
  <c r="D71" i="1"/>
  <c r="F70" i="1"/>
  <c r="BG70" i="1"/>
  <c r="AN70" i="1"/>
  <c r="AP69" i="1"/>
  <c r="V70" i="1"/>
  <c r="X69" i="1"/>
  <c r="D70" i="1"/>
  <c r="F69" i="1"/>
  <c r="BG69" i="1"/>
  <c r="AN69" i="1"/>
  <c r="AP68" i="1"/>
  <c r="V69" i="1"/>
  <c r="X68" i="1"/>
  <c r="F68" i="1"/>
  <c r="D69" i="1"/>
  <c r="BG68" i="1"/>
  <c r="AP67" i="1"/>
  <c r="AN68" i="1"/>
  <c r="X67" i="1"/>
  <c r="V68" i="1"/>
  <c r="D68" i="1"/>
  <c r="F67" i="1"/>
  <c r="BG67" i="1"/>
  <c r="AP66" i="1"/>
  <c r="AN67" i="1"/>
  <c r="V67" i="1"/>
  <c r="X66" i="1"/>
  <c r="D67" i="1"/>
  <c r="F66" i="1"/>
  <c r="BG66" i="1"/>
  <c r="AN66" i="1"/>
  <c r="AP65" i="1"/>
  <c r="V66" i="1"/>
  <c r="X65" i="1"/>
  <c r="D66" i="1"/>
  <c r="F65" i="1"/>
  <c r="BG65" i="1"/>
  <c r="AN65" i="1"/>
  <c r="AP64" i="1"/>
  <c r="AS13" i="1"/>
  <c r="AT13" i="1" s="1"/>
  <c r="V65" i="1"/>
  <c r="X64" i="1"/>
  <c r="AA13" i="1"/>
  <c r="AB13" i="1" s="1"/>
  <c r="D65" i="1"/>
  <c r="F64" i="1"/>
  <c r="I13" i="1"/>
  <c r="BG64" i="1"/>
  <c r="AN64" i="1"/>
  <c r="AP63" i="1"/>
  <c r="AW6" i="1"/>
  <c r="AX6" i="1" s="1"/>
  <c r="V64" i="1"/>
  <c r="X63" i="1"/>
  <c r="AE6" i="1"/>
  <c r="AF6" i="1" s="1"/>
  <c r="D64" i="1"/>
  <c r="F63" i="1"/>
  <c r="M6" i="1"/>
  <c r="BG63" i="1"/>
  <c r="AP62" i="1"/>
  <c r="AN63" i="1"/>
  <c r="X62" i="1"/>
  <c r="V63" i="1"/>
  <c r="D63" i="1"/>
  <c r="F62" i="1"/>
  <c r="BG62" i="1"/>
  <c r="AN62" i="1"/>
  <c r="AP61" i="1"/>
  <c r="V62" i="1"/>
  <c r="X61" i="1"/>
  <c r="D62" i="1"/>
  <c r="F61" i="1"/>
  <c r="BG61" i="1"/>
  <c r="AP60" i="1"/>
  <c r="AN61" i="1"/>
  <c r="V61" i="1"/>
  <c r="X60" i="1"/>
  <c r="D61" i="1"/>
  <c r="F60" i="1"/>
  <c r="BG60" i="1"/>
  <c r="AP59" i="1"/>
  <c r="AN60" i="1"/>
  <c r="V60" i="1"/>
  <c r="X59" i="1"/>
  <c r="D60" i="1"/>
  <c r="F59" i="1"/>
  <c r="BG59" i="1"/>
  <c r="AN59" i="1"/>
  <c r="AP58" i="1"/>
  <c r="X58" i="1"/>
  <c r="V59" i="1"/>
  <c r="D59" i="1"/>
  <c r="F58" i="1"/>
  <c r="BG58" i="1"/>
  <c r="AN58" i="1"/>
  <c r="AP57" i="1"/>
  <c r="AS12" i="1"/>
  <c r="AT12" i="1" s="1"/>
  <c r="V58" i="1"/>
  <c r="X57" i="1"/>
  <c r="AA12" i="1"/>
  <c r="AB12" i="1" s="1"/>
  <c r="D58" i="1"/>
  <c r="F57" i="1"/>
  <c r="BG57" i="1"/>
  <c r="I12" i="1"/>
  <c r="AN57" i="1"/>
  <c r="AP56" i="1"/>
  <c r="V57" i="1"/>
  <c r="X56" i="1"/>
  <c r="F56" i="1"/>
  <c r="D57" i="1"/>
  <c r="BG56" i="1"/>
  <c r="AN56" i="1"/>
  <c r="AP55" i="1"/>
  <c r="X55" i="1"/>
  <c r="V56" i="1"/>
  <c r="F55" i="1"/>
  <c r="D56" i="1"/>
  <c r="BG55" i="1"/>
  <c r="AP54" i="1"/>
  <c r="AN55" i="1"/>
  <c r="V55" i="1"/>
  <c r="X54" i="1"/>
  <c r="D55" i="1"/>
  <c r="F54" i="1"/>
  <c r="BG54" i="1"/>
  <c r="AN54" i="1"/>
  <c r="AP53" i="1"/>
  <c r="X53" i="1"/>
  <c r="V54" i="1"/>
  <c r="D54" i="1"/>
  <c r="F53" i="1"/>
  <c r="BG53" i="1"/>
  <c r="AN53" i="1"/>
  <c r="AP52" i="1"/>
  <c r="V53" i="1"/>
  <c r="X52" i="1"/>
  <c r="F52" i="1"/>
  <c r="D53" i="1"/>
  <c r="BG52" i="1"/>
  <c r="AP51" i="1"/>
  <c r="AN52" i="1"/>
  <c r="X51" i="1"/>
  <c r="V52" i="1"/>
  <c r="F51" i="1"/>
  <c r="D52" i="1"/>
  <c r="BG51" i="1"/>
  <c r="AN51" i="1"/>
  <c r="AP50" i="1"/>
  <c r="AS11" i="1"/>
  <c r="AT11" i="1" s="1"/>
  <c r="V51" i="1"/>
  <c r="X50" i="1"/>
  <c r="AA11" i="1"/>
  <c r="AB11" i="1" s="1"/>
  <c r="D51" i="1"/>
  <c r="F50" i="1"/>
  <c r="I11" i="1"/>
  <c r="BG50" i="1"/>
  <c r="AN50" i="1"/>
  <c r="AP49" i="1"/>
  <c r="V50" i="1"/>
  <c r="X49" i="1"/>
  <c r="D50" i="1"/>
  <c r="F49" i="1"/>
  <c r="BG49" i="1"/>
  <c r="AP48" i="1"/>
  <c r="AN49" i="1"/>
  <c r="V49" i="1"/>
  <c r="X48" i="1"/>
  <c r="F48" i="1"/>
  <c r="D49" i="1"/>
  <c r="BG48" i="1"/>
  <c r="AP47" i="1"/>
  <c r="AN48" i="1"/>
  <c r="X47" i="1"/>
  <c r="V48" i="1"/>
  <c r="D48" i="1"/>
  <c r="F47" i="1"/>
  <c r="BG47" i="1"/>
  <c r="AN47" i="1"/>
  <c r="AP46" i="1"/>
  <c r="X46" i="1"/>
  <c r="V47" i="1"/>
  <c r="D47" i="1"/>
  <c r="F46" i="1"/>
  <c r="BG46" i="1"/>
  <c r="AN46" i="1"/>
  <c r="AP45" i="1"/>
  <c r="X45" i="1"/>
  <c r="V46" i="1"/>
  <c r="F45" i="1"/>
  <c r="D46" i="1"/>
  <c r="BG45" i="1"/>
  <c r="AP44" i="1"/>
  <c r="AN45" i="1"/>
  <c r="X44" i="1"/>
  <c r="V45" i="1"/>
  <c r="D45" i="1"/>
  <c r="F44" i="1"/>
  <c r="BG44" i="1"/>
  <c r="AN44" i="1"/>
  <c r="AP43" i="1"/>
  <c r="AS10" i="1"/>
  <c r="AT10" i="1" s="1"/>
  <c r="V44" i="1"/>
  <c r="X43" i="1"/>
  <c r="AA10" i="1"/>
  <c r="AB10" i="1" s="1"/>
  <c r="D44" i="1"/>
  <c r="F43" i="1"/>
  <c r="I10" i="1"/>
  <c r="BG43" i="1"/>
  <c r="AN43" i="1"/>
  <c r="AP42" i="1"/>
  <c r="V43" i="1"/>
  <c r="X42" i="1"/>
  <c r="D43" i="1"/>
  <c r="F42" i="1"/>
  <c r="BG42" i="1"/>
  <c r="AN42" i="1"/>
  <c r="AP41" i="1"/>
  <c r="V42" i="1"/>
  <c r="X41" i="1"/>
  <c r="D42" i="1"/>
  <c r="F41" i="1"/>
  <c r="BG41" i="1"/>
  <c r="AN41" i="1"/>
  <c r="AP40" i="1"/>
  <c r="V41" i="1"/>
  <c r="X40" i="1"/>
  <c r="D41" i="1"/>
  <c r="F40" i="1"/>
  <c r="BG40" i="1"/>
  <c r="AN40" i="1"/>
  <c r="AP39" i="1"/>
  <c r="V40" i="1"/>
  <c r="X39" i="1"/>
  <c r="D40" i="1"/>
  <c r="F39" i="1"/>
  <c r="BG39" i="1"/>
  <c r="AP38" i="1"/>
  <c r="AN39" i="1"/>
  <c r="X38" i="1"/>
  <c r="V39" i="1"/>
  <c r="F38" i="1"/>
  <c r="D39" i="1"/>
  <c r="BG38" i="1"/>
  <c r="AN38" i="1"/>
  <c r="AP37" i="1"/>
  <c r="V38" i="1"/>
  <c r="X37" i="1"/>
  <c r="D38" i="1"/>
  <c r="F37" i="1"/>
  <c r="BG37" i="1"/>
  <c r="AN37" i="1"/>
  <c r="AP36" i="1"/>
  <c r="AS9" i="1"/>
  <c r="AT9" i="1" s="1"/>
  <c r="V37" i="1"/>
  <c r="X36" i="1"/>
  <c r="AA9" i="1"/>
  <c r="AB9" i="1" s="1"/>
  <c r="D37" i="1"/>
  <c r="F36" i="1"/>
  <c r="I9" i="1"/>
  <c r="BG36" i="1"/>
  <c r="AP35" i="1"/>
  <c r="AN36" i="1"/>
  <c r="AW5" i="1"/>
  <c r="AX5" i="1" s="1"/>
  <c r="V36" i="1"/>
  <c r="X35" i="1"/>
  <c r="AE5" i="1"/>
  <c r="AF5" i="1" s="1"/>
  <c r="D36" i="1"/>
  <c r="F35" i="1"/>
  <c r="BG35" i="1"/>
  <c r="M5" i="1"/>
  <c r="AN35" i="1"/>
  <c r="AP34" i="1"/>
  <c r="V35" i="1"/>
  <c r="X34" i="1"/>
  <c r="D35" i="1"/>
  <c r="F34" i="1"/>
  <c r="BG34" i="1"/>
  <c r="AN34" i="1"/>
  <c r="AP33" i="1"/>
  <c r="V34" i="1"/>
  <c r="X33" i="1"/>
  <c r="D34" i="1"/>
  <c r="F33" i="1"/>
  <c r="BG33" i="1"/>
  <c r="AN33" i="1"/>
  <c r="AP32" i="1"/>
  <c r="V33" i="1"/>
  <c r="X32" i="1"/>
  <c r="D33" i="1"/>
  <c r="F32" i="1"/>
  <c r="BG32" i="1"/>
  <c r="AN32" i="1"/>
  <c r="AP31" i="1"/>
  <c r="V32" i="1"/>
  <c r="X31" i="1"/>
  <c r="D32" i="1"/>
  <c r="F31" i="1"/>
  <c r="BG31" i="1"/>
  <c r="AN31" i="1"/>
  <c r="AP30" i="1"/>
  <c r="V31" i="1"/>
  <c r="X30" i="1"/>
  <c r="D31" i="1"/>
  <c r="F30" i="1"/>
  <c r="BG30" i="1"/>
  <c r="AN30" i="1"/>
  <c r="AP29" i="1"/>
  <c r="AS8" i="1"/>
  <c r="AT8" i="1" s="1"/>
  <c r="V30" i="1"/>
  <c r="X29" i="1"/>
  <c r="AA8" i="1"/>
  <c r="AB8" i="1" s="1"/>
  <c r="D30" i="1"/>
  <c r="F29" i="1"/>
  <c r="BG29" i="1"/>
  <c r="I8" i="1"/>
  <c r="AN29" i="1"/>
  <c r="AP28" i="1"/>
  <c r="V29" i="1"/>
  <c r="X28" i="1"/>
  <c r="D29" i="1"/>
  <c r="F28" i="1"/>
  <c r="BG28" i="1"/>
  <c r="AN28" i="1"/>
  <c r="AP27" i="1"/>
  <c r="V28" i="1"/>
  <c r="X27" i="1"/>
  <c r="D28" i="1"/>
  <c r="F27" i="1"/>
  <c r="BG27" i="1"/>
  <c r="AN27" i="1"/>
  <c r="AP26" i="1"/>
  <c r="V27" i="1"/>
  <c r="X26" i="1"/>
  <c r="D27" i="1"/>
  <c r="F26" i="1"/>
  <c r="BG26" i="1"/>
  <c r="AN26" i="1"/>
  <c r="AP25" i="1"/>
  <c r="V26" i="1"/>
  <c r="X25" i="1"/>
  <c r="D26" i="1"/>
  <c r="F25" i="1"/>
  <c r="BG25" i="1"/>
  <c r="AN25" i="1"/>
  <c r="AP24" i="1"/>
  <c r="V25" i="1"/>
  <c r="X24" i="1"/>
  <c r="D25" i="1"/>
  <c r="F24" i="1"/>
  <c r="BG24" i="1"/>
  <c r="AN24" i="1"/>
  <c r="AP23" i="1"/>
  <c r="V24" i="1"/>
  <c r="X23" i="1"/>
  <c r="D24" i="1"/>
  <c r="F23" i="1"/>
  <c r="BG23" i="1"/>
  <c r="AN23" i="1"/>
  <c r="AP22" i="1"/>
  <c r="AS7" i="1"/>
  <c r="AT7" i="1" s="1"/>
  <c r="V23" i="1"/>
  <c r="X22" i="1"/>
  <c r="AA7" i="1"/>
  <c r="AB7" i="1" s="1"/>
  <c r="D23" i="1"/>
  <c r="F22" i="1"/>
  <c r="I7" i="1"/>
  <c r="BG22" i="1"/>
  <c r="AN22" i="1"/>
  <c r="AP21" i="1"/>
  <c r="V22" i="1"/>
  <c r="X21" i="1"/>
  <c r="D22" i="1"/>
  <c r="F21" i="1"/>
  <c r="BG21" i="1"/>
  <c r="AN21" i="1"/>
  <c r="AP20" i="1"/>
  <c r="V21" i="1"/>
  <c r="X20" i="1"/>
  <c r="D21" i="1"/>
  <c r="F20" i="1"/>
  <c r="BG20" i="1"/>
  <c r="AN20" i="1"/>
  <c r="AP19" i="1"/>
  <c r="V20" i="1"/>
  <c r="X19" i="1"/>
  <c r="D20" i="1"/>
  <c r="F19" i="1"/>
  <c r="BG19" i="1"/>
  <c r="AN19" i="1"/>
  <c r="AP18" i="1"/>
  <c r="V19" i="1"/>
  <c r="X18" i="1"/>
  <c r="D19" i="1"/>
  <c r="F18" i="1"/>
  <c r="BG18" i="1"/>
  <c r="AN18" i="1"/>
  <c r="AP17" i="1"/>
  <c r="V18" i="1"/>
  <c r="X17" i="1"/>
  <c r="D18" i="1"/>
  <c r="F17" i="1"/>
  <c r="BG17" i="1"/>
  <c r="AN17" i="1"/>
  <c r="AP16" i="1"/>
  <c r="V17" i="1"/>
  <c r="X16" i="1"/>
  <c r="D17" i="1"/>
  <c r="F16" i="1"/>
  <c r="BG16" i="1"/>
  <c r="AN16" i="1"/>
  <c r="AP15" i="1"/>
  <c r="AS6" i="1"/>
  <c r="AT6" i="1" s="1"/>
  <c r="V16" i="1"/>
  <c r="X15" i="1"/>
  <c r="AA6" i="1"/>
  <c r="AB6" i="1" s="1"/>
  <c r="D16" i="1"/>
  <c r="F15" i="1"/>
  <c r="I6" i="1"/>
  <c r="BG15" i="1"/>
  <c r="AN15" i="1"/>
  <c r="AP14" i="1"/>
  <c r="V15" i="1"/>
  <c r="X14" i="1"/>
  <c r="D15" i="1"/>
  <c r="F14" i="1"/>
  <c r="BG14" i="1"/>
  <c r="AN14" i="1"/>
  <c r="AP13" i="1"/>
  <c r="V14" i="1"/>
  <c r="X13" i="1"/>
  <c r="D14" i="1"/>
  <c r="F13" i="1"/>
  <c r="BG13" i="1"/>
  <c r="AN13" i="1"/>
  <c r="AP12" i="1"/>
  <c r="V13" i="1"/>
  <c r="X12" i="1"/>
  <c r="D13" i="1"/>
  <c r="F12" i="1"/>
  <c r="BG12" i="1"/>
  <c r="AN12" i="1"/>
  <c r="AP11" i="1"/>
  <c r="V12" i="1"/>
  <c r="X11" i="1"/>
  <c r="D12" i="1"/>
  <c r="F11" i="1"/>
  <c r="BG11" i="1"/>
  <c r="AN11" i="1"/>
  <c r="AP10" i="1"/>
  <c r="V11" i="1"/>
  <c r="X10" i="1"/>
  <c r="D11" i="1"/>
  <c r="F10" i="1"/>
  <c r="BG10" i="1"/>
  <c r="AN10" i="1"/>
  <c r="AP9" i="1"/>
  <c r="V10" i="1"/>
  <c r="X9" i="1"/>
  <c r="D10" i="1"/>
  <c r="F9" i="1"/>
  <c r="BG9" i="1"/>
  <c r="AN9" i="1"/>
  <c r="AP8" i="1"/>
  <c r="AS5" i="1"/>
  <c r="AT5" i="1" s="1"/>
  <c r="V9" i="1"/>
  <c r="X8" i="1"/>
  <c r="AA5" i="1"/>
  <c r="AB5" i="1" s="1"/>
  <c r="D9" i="1"/>
  <c r="F8" i="1"/>
  <c r="BG8" i="1"/>
  <c r="I5" i="1"/>
  <c r="AN8" i="1"/>
  <c r="AP7" i="1"/>
  <c r="V8" i="1"/>
  <c r="X7" i="1"/>
  <c r="D8" i="1"/>
  <c r="F7" i="1"/>
  <c r="BG7" i="1"/>
  <c r="AN7" i="1"/>
  <c r="AP6" i="1"/>
  <c r="V7" i="1"/>
  <c r="X6" i="1"/>
  <c r="D7" i="1"/>
  <c r="F6" i="1"/>
  <c r="BG6" i="1"/>
  <c r="AN6" i="1"/>
  <c r="AP5" i="1"/>
  <c r="V6" i="1"/>
  <c r="X5" i="1"/>
  <c r="D6" i="1"/>
  <c r="F5" i="1"/>
  <c r="BG5" i="1"/>
  <c r="AN5" i="1"/>
  <c r="AP4" i="1"/>
  <c r="AW4" i="1"/>
  <c r="AX4" i="1" s="1"/>
  <c r="AS4" i="1"/>
  <c r="AT4" i="1" s="1"/>
  <c r="BA4" i="1"/>
  <c r="V5" i="1"/>
  <c r="X4" i="1"/>
  <c r="AA4" i="1"/>
  <c r="AB4" i="1" s="1"/>
  <c r="AE4" i="1"/>
  <c r="AF4" i="1" s="1"/>
  <c r="AI4" i="1"/>
  <c r="D5" i="1"/>
  <c r="F4" i="1"/>
  <c r="M4" i="1"/>
  <c r="BG4" i="1"/>
  <c r="Q4" i="1"/>
  <c r="I4" i="1"/>
  <c r="AN368" i="2"/>
  <c r="AP367" i="2"/>
  <c r="V368" i="2"/>
  <c r="X367" i="2"/>
  <c r="E367" i="2"/>
  <c r="AN367" i="2"/>
  <c r="AP366" i="2"/>
  <c r="X366" i="2"/>
  <c r="V367" i="2"/>
  <c r="E366" i="2"/>
  <c r="AN366" i="2"/>
  <c r="AP365" i="2"/>
  <c r="AS56" i="2"/>
  <c r="AT56" i="2" s="1"/>
  <c r="V366" i="2"/>
  <c r="X365" i="2"/>
  <c r="AA56" i="2"/>
  <c r="AB56" i="2" s="1"/>
  <c r="E365" i="2"/>
  <c r="AN365" i="2"/>
  <c r="AP364" i="2"/>
  <c r="V365" i="2"/>
  <c r="X364" i="2"/>
  <c r="E364" i="2"/>
  <c r="AN364" i="2"/>
  <c r="AP363" i="2"/>
  <c r="V364" i="2"/>
  <c r="X363" i="2"/>
  <c r="E363" i="2"/>
  <c r="AN363" i="2"/>
  <c r="AP362" i="2"/>
  <c r="X362" i="2"/>
  <c r="V363" i="2"/>
  <c r="E362" i="2"/>
  <c r="AN362" i="2"/>
  <c r="AP361" i="2"/>
  <c r="V362" i="2"/>
  <c r="X361" i="2"/>
  <c r="E361" i="2"/>
  <c r="AN361" i="2"/>
  <c r="AP360" i="2"/>
  <c r="V361" i="2"/>
  <c r="X360" i="2"/>
  <c r="E360" i="2"/>
  <c r="AN360" i="2"/>
  <c r="AP359" i="2"/>
  <c r="V360" i="2"/>
  <c r="X359" i="2"/>
  <c r="E359" i="2"/>
  <c r="AN359" i="2"/>
  <c r="AP358" i="2"/>
  <c r="AS55" i="2"/>
  <c r="AT55" i="2" s="1"/>
  <c r="X358" i="2"/>
  <c r="V359" i="2"/>
  <c r="AA55" i="2"/>
  <c r="AB55" i="2" s="1"/>
  <c r="E358" i="2"/>
  <c r="AN358" i="2"/>
  <c r="AP357" i="2"/>
  <c r="V358" i="2"/>
  <c r="X357" i="2"/>
  <c r="E357" i="2"/>
  <c r="AN357" i="2"/>
  <c r="AP356" i="2"/>
  <c r="V357" i="2"/>
  <c r="X356" i="2"/>
  <c r="E356" i="2"/>
  <c r="AN356" i="2"/>
  <c r="AP355" i="2"/>
  <c r="X355" i="2"/>
  <c r="V356" i="2"/>
  <c r="E355" i="2"/>
  <c r="AN355" i="2"/>
  <c r="AP354" i="2"/>
  <c r="V355" i="2"/>
  <c r="X354" i="2"/>
  <c r="E354" i="2"/>
  <c r="AN354" i="2"/>
  <c r="AP353" i="2"/>
  <c r="X353" i="2"/>
  <c r="V354" i="2"/>
  <c r="E353" i="2"/>
  <c r="AN353" i="2"/>
  <c r="AP352" i="2"/>
  <c r="V353" i="2"/>
  <c r="X352" i="2"/>
  <c r="E352" i="2"/>
  <c r="AN352" i="2"/>
  <c r="AP351" i="2"/>
  <c r="AS54" i="2"/>
  <c r="AT54" i="2" s="1"/>
  <c r="V352" i="2"/>
  <c r="X351" i="2"/>
  <c r="AA54" i="2"/>
  <c r="AB54" i="2" s="1"/>
  <c r="E351" i="2"/>
  <c r="AN351" i="2"/>
  <c r="AP350" i="2"/>
  <c r="X350" i="2"/>
  <c r="V351" i="2"/>
  <c r="E350" i="2"/>
  <c r="AN350" i="2"/>
  <c r="AP349" i="2"/>
  <c r="V350" i="2"/>
  <c r="X349" i="2"/>
  <c r="E349" i="2"/>
  <c r="AN349" i="2"/>
  <c r="AP348" i="2"/>
  <c r="X348" i="2"/>
  <c r="V349" i="2"/>
  <c r="E348" i="2"/>
  <c r="AN348" i="2"/>
  <c r="AP347" i="2"/>
  <c r="X347" i="2"/>
  <c r="V348" i="2"/>
  <c r="E347" i="2"/>
  <c r="AN347" i="2"/>
  <c r="AP346" i="2"/>
  <c r="V347" i="2"/>
  <c r="X346" i="2"/>
  <c r="E346" i="2"/>
  <c r="AN346" i="2"/>
  <c r="AP345" i="2"/>
  <c r="X345" i="2"/>
  <c r="V346" i="2"/>
  <c r="E345" i="2"/>
  <c r="AN345" i="2"/>
  <c r="AP344" i="2"/>
  <c r="AS53" i="2"/>
  <c r="AT53" i="2" s="1"/>
  <c r="V345" i="2"/>
  <c r="X344" i="2"/>
  <c r="AA53" i="2"/>
  <c r="AB53" i="2" s="1"/>
  <c r="E344" i="2"/>
  <c r="AP343" i="2"/>
  <c r="AN344" i="2"/>
  <c r="X343" i="2"/>
  <c r="V344" i="2"/>
  <c r="E343" i="2"/>
  <c r="AN343" i="2"/>
  <c r="AP342" i="2"/>
  <c r="V343" i="2"/>
  <c r="X342" i="2"/>
  <c r="E342" i="2"/>
  <c r="AN342" i="2"/>
  <c r="AP341" i="2"/>
  <c r="X341" i="2"/>
  <c r="V342" i="2"/>
  <c r="E341" i="2"/>
  <c r="AN341" i="2"/>
  <c r="AP340" i="2"/>
  <c r="X340" i="2"/>
  <c r="V341" i="2"/>
  <c r="E340" i="2"/>
  <c r="AN340" i="2"/>
  <c r="AP339" i="2"/>
  <c r="V340" i="2"/>
  <c r="X339" i="2"/>
  <c r="E339" i="2"/>
  <c r="AN339" i="2"/>
  <c r="AP338" i="2"/>
  <c r="AW15" i="2"/>
  <c r="AX15" i="2" s="1"/>
  <c r="X338" i="2"/>
  <c r="V339" i="2"/>
  <c r="AE15" i="2"/>
  <c r="AF15" i="2" s="1"/>
  <c r="BG338" i="2"/>
  <c r="F338" i="2"/>
  <c r="D339" i="2"/>
  <c r="M15" i="2"/>
  <c r="AP337" i="2"/>
  <c r="AN338" i="2"/>
  <c r="AS52" i="2"/>
  <c r="AT52" i="2" s="1"/>
  <c r="V338" i="2"/>
  <c r="X337" i="2"/>
  <c r="AA52" i="2"/>
  <c r="AB52" i="2" s="1"/>
  <c r="E337" i="2"/>
  <c r="AP336" i="2"/>
  <c r="AN337" i="2"/>
  <c r="X336" i="2"/>
  <c r="V337" i="2"/>
  <c r="E336" i="2"/>
  <c r="AN336" i="2"/>
  <c r="AP335" i="2"/>
  <c r="V336" i="2"/>
  <c r="X335" i="2"/>
  <c r="E335" i="2"/>
  <c r="AN335" i="2"/>
  <c r="AP334" i="2"/>
  <c r="X334" i="2"/>
  <c r="V335" i="2"/>
  <c r="E334" i="2"/>
  <c r="AP333" i="2"/>
  <c r="AN334" i="2"/>
  <c r="V334" i="2"/>
  <c r="X333" i="2"/>
  <c r="E333" i="2"/>
  <c r="AN333" i="2"/>
  <c r="AP332" i="2"/>
  <c r="X332" i="2"/>
  <c r="V333" i="2"/>
  <c r="E332" i="2"/>
  <c r="AN332" i="2"/>
  <c r="AP331" i="2"/>
  <c r="X331" i="2"/>
  <c r="V332" i="2"/>
  <c r="E331" i="2"/>
  <c r="AN331" i="2"/>
  <c r="AP330" i="2"/>
  <c r="AS51" i="2"/>
  <c r="AT51" i="2" s="1"/>
  <c r="V331" i="2"/>
  <c r="X330" i="2"/>
  <c r="AA51" i="2"/>
  <c r="AB51" i="2" s="1"/>
  <c r="E330" i="2"/>
  <c r="AN330" i="2"/>
  <c r="AP329" i="2"/>
  <c r="X329" i="2"/>
  <c r="V330" i="2"/>
  <c r="E329" i="2"/>
  <c r="AN329" i="2"/>
  <c r="AP328" i="2"/>
  <c r="V329" i="2"/>
  <c r="X328" i="2"/>
  <c r="E328" i="2"/>
  <c r="AN328" i="2"/>
  <c r="AP327" i="2"/>
  <c r="V328" i="2"/>
  <c r="X327" i="2"/>
  <c r="E327" i="2"/>
  <c r="AN327" i="2"/>
  <c r="AP326" i="2"/>
  <c r="X326" i="2"/>
  <c r="V327" i="2"/>
  <c r="E326" i="2"/>
  <c r="AN326" i="2"/>
  <c r="AP325" i="2"/>
  <c r="V326" i="2"/>
  <c r="X325" i="2"/>
  <c r="E325" i="2"/>
  <c r="AN325" i="2"/>
  <c r="AP324" i="2"/>
  <c r="V325" i="2"/>
  <c r="X324" i="2"/>
  <c r="E324" i="2"/>
  <c r="AN324" i="2"/>
  <c r="AP323" i="2"/>
  <c r="AS50" i="2"/>
  <c r="AT50" i="2" s="1"/>
  <c r="X323" i="2"/>
  <c r="V324" i="2"/>
  <c r="AA50" i="2"/>
  <c r="AB50" i="2" s="1"/>
  <c r="E323" i="2"/>
  <c r="AN323" i="2"/>
  <c r="AP322" i="2"/>
  <c r="V323" i="2"/>
  <c r="X322" i="2"/>
  <c r="E322" i="2"/>
  <c r="AN322" i="2"/>
  <c r="AP321" i="2"/>
  <c r="X321" i="2"/>
  <c r="V322" i="2"/>
  <c r="E321" i="2"/>
  <c r="AN321" i="2"/>
  <c r="AP320" i="2"/>
  <c r="V321" i="2"/>
  <c r="X320" i="2"/>
  <c r="E320" i="2"/>
  <c r="AN320" i="2"/>
  <c r="AP319" i="2"/>
  <c r="V320" i="2"/>
  <c r="X319" i="2"/>
  <c r="E319" i="2"/>
  <c r="AP318" i="2"/>
  <c r="AN319" i="2"/>
  <c r="X318" i="2"/>
  <c r="V319" i="2"/>
  <c r="E318" i="2"/>
  <c r="AP317" i="2"/>
  <c r="AN318" i="2"/>
  <c r="V318" i="2"/>
  <c r="X317" i="2"/>
  <c r="E317" i="2"/>
  <c r="AN317" i="2"/>
  <c r="AP316" i="2"/>
  <c r="AS49" i="2"/>
  <c r="AT49" i="2" s="1"/>
  <c r="V317" i="2"/>
  <c r="X316" i="2"/>
  <c r="AA49" i="2"/>
  <c r="AB49" i="2" s="1"/>
  <c r="E316" i="2"/>
  <c r="AN316" i="2"/>
  <c r="AP315" i="2"/>
  <c r="V316" i="2"/>
  <c r="X315" i="2"/>
  <c r="E315" i="2"/>
  <c r="AN315" i="2"/>
  <c r="AP314" i="2"/>
  <c r="X314" i="2"/>
  <c r="V315" i="2"/>
  <c r="E314" i="2"/>
  <c r="AN314" i="2"/>
  <c r="AP313" i="2"/>
  <c r="V314" i="2"/>
  <c r="X313" i="2"/>
  <c r="E313" i="2"/>
  <c r="AN313" i="2"/>
  <c r="AP312" i="2"/>
  <c r="X312" i="2"/>
  <c r="V313" i="2"/>
  <c r="E312" i="2"/>
  <c r="AN312" i="2"/>
  <c r="AP311" i="2"/>
  <c r="V312" i="2"/>
  <c r="X311" i="2"/>
  <c r="E311" i="2"/>
  <c r="AN311" i="2"/>
  <c r="AP310" i="2"/>
  <c r="X310" i="2"/>
  <c r="V311" i="2"/>
  <c r="E310" i="2"/>
  <c r="AN310" i="2"/>
  <c r="AP309" i="2"/>
  <c r="AS48" i="2"/>
  <c r="AT48" i="2" s="1"/>
  <c r="V310" i="2"/>
  <c r="X309" i="2"/>
  <c r="AA48" i="2"/>
  <c r="AB48" i="2" s="1"/>
  <c r="E309" i="2"/>
  <c r="AN309" i="2"/>
  <c r="AP308" i="2"/>
  <c r="AW14" i="2"/>
  <c r="AX14" i="2" s="1"/>
  <c r="X308" i="2"/>
  <c r="V309" i="2"/>
  <c r="AE14" i="2"/>
  <c r="AF14" i="2" s="1"/>
  <c r="BG308" i="2"/>
  <c r="D309" i="2"/>
  <c r="F308" i="2"/>
  <c r="M14" i="2"/>
  <c r="AP307" i="2"/>
  <c r="AN308" i="2"/>
  <c r="V308" i="2"/>
  <c r="X307" i="2"/>
  <c r="E307" i="2"/>
  <c r="AN307" i="2"/>
  <c r="AP306" i="2"/>
  <c r="X306" i="2"/>
  <c r="V307" i="2"/>
  <c r="E306" i="2"/>
  <c r="AP305" i="2"/>
  <c r="AN306" i="2"/>
  <c r="V306" i="2"/>
  <c r="X305" i="2"/>
  <c r="E305" i="2"/>
  <c r="AN305" i="2"/>
  <c r="AP304" i="2"/>
  <c r="X304" i="2"/>
  <c r="V305" i="2"/>
  <c r="E304" i="2"/>
  <c r="AN304" i="2"/>
  <c r="AP303" i="2"/>
  <c r="V304" i="2"/>
  <c r="X303" i="2"/>
  <c r="E303" i="2"/>
  <c r="AN303" i="2"/>
  <c r="AP302" i="2"/>
  <c r="AS47" i="2"/>
  <c r="AT47" i="2" s="1"/>
  <c r="X302" i="2"/>
  <c r="V303" i="2"/>
  <c r="AA47" i="2"/>
  <c r="AB47" i="2" s="1"/>
  <c r="E302" i="2"/>
  <c r="AP301" i="2"/>
  <c r="AN302" i="2"/>
  <c r="V302" i="2"/>
  <c r="X301" i="2"/>
  <c r="E301" i="2"/>
  <c r="AN301" i="2"/>
  <c r="AP300" i="2"/>
  <c r="V301" i="2"/>
  <c r="X300" i="2"/>
  <c r="E300" i="2"/>
  <c r="AN300" i="2"/>
  <c r="AP299" i="2"/>
  <c r="X299" i="2"/>
  <c r="V300" i="2"/>
  <c r="E299" i="2"/>
  <c r="AP298" i="2"/>
  <c r="AN299" i="2"/>
  <c r="V299" i="2"/>
  <c r="X298" i="2"/>
  <c r="E298" i="2"/>
  <c r="AN298" i="2"/>
  <c r="AP297" i="2"/>
  <c r="X297" i="2"/>
  <c r="V298" i="2"/>
  <c r="E297" i="2"/>
  <c r="AN297" i="2"/>
  <c r="AP296" i="2"/>
  <c r="V297" i="2"/>
  <c r="X296" i="2"/>
  <c r="E296" i="2"/>
  <c r="AP295" i="2"/>
  <c r="AN296" i="2"/>
  <c r="AS46" i="2"/>
  <c r="AT46" i="2" s="1"/>
  <c r="X295" i="2"/>
  <c r="V296" i="2"/>
  <c r="AA46" i="2"/>
  <c r="AB46" i="2" s="1"/>
  <c r="E295" i="2"/>
  <c r="AN295" i="2"/>
  <c r="AP294" i="2"/>
  <c r="X294" i="2"/>
  <c r="V295" i="2"/>
  <c r="E294" i="2"/>
  <c r="AN294" i="2"/>
  <c r="AP293" i="2"/>
  <c r="X293" i="2"/>
  <c r="V294" i="2"/>
  <c r="E293" i="2"/>
  <c r="AN293" i="2"/>
  <c r="AP292" i="2"/>
  <c r="X292" i="2"/>
  <c r="V293" i="2"/>
  <c r="E292" i="2"/>
  <c r="AN292" i="2"/>
  <c r="AP291" i="2"/>
  <c r="X291" i="2"/>
  <c r="V292" i="2"/>
  <c r="E291" i="2"/>
  <c r="AN291" i="2"/>
  <c r="AP290" i="2"/>
  <c r="X290" i="2"/>
  <c r="V291" i="2"/>
  <c r="E290" i="2"/>
  <c r="AP289" i="2"/>
  <c r="AN290" i="2"/>
  <c r="X289" i="2"/>
  <c r="V290" i="2"/>
  <c r="E289" i="2"/>
  <c r="AP288" i="2"/>
  <c r="AN289" i="2"/>
  <c r="AS45" i="2"/>
  <c r="AT45" i="2" s="1"/>
  <c r="X288" i="2"/>
  <c r="V289" i="2"/>
  <c r="AA45" i="2"/>
  <c r="AB45" i="2" s="1"/>
  <c r="E288" i="2"/>
  <c r="AN288" i="2"/>
  <c r="AP287" i="2"/>
  <c r="X287" i="2"/>
  <c r="V288" i="2"/>
  <c r="E287" i="2"/>
  <c r="AN287" i="2"/>
  <c r="AP286" i="2"/>
  <c r="X286" i="2"/>
  <c r="V287" i="2"/>
  <c r="E286" i="2"/>
  <c r="AP285" i="2"/>
  <c r="AN286" i="2"/>
  <c r="X285" i="2"/>
  <c r="V286" i="2"/>
  <c r="E285" i="2"/>
  <c r="AN285" i="2"/>
  <c r="AP284" i="2"/>
  <c r="X284" i="2"/>
  <c r="V285" i="2"/>
  <c r="E284" i="2"/>
  <c r="AP283" i="2"/>
  <c r="AN284" i="2"/>
  <c r="X283" i="2"/>
  <c r="V284" i="2"/>
  <c r="E283" i="2"/>
  <c r="AP282" i="2"/>
  <c r="AN283" i="2"/>
  <c r="X282" i="2"/>
  <c r="V283" i="2"/>
  <c r="E282" i="2"/>
  <c r="AP281" i="2"/>
  <c r="AN282" i="2"/>
  <c r="AS44" i="2"/>
  <c r="AT44" i="2" s="1"/>
  <c r="X281" i="2"/>
  <c r="V282" i="2"/>
  <c r="AA44" i="2"/>
  <c r="AB44" i="2" s="1"/>
  <c r="E281" i="2"/>
  <c r="AN281" i="2"/>
  <c r="AP280" i="2"/>
  <c r="X280" i="2"/>
  <c r="V281" i="2"/>
  <c r="E280" i="2"/>
  <c r="AN280" i="2"/>
  <c r="AP279" i="2"/>
  <c r="X279" i="2"/>
  <c r="V280" i="2"/>
  <c r="E279" i="2"/>
  <c r="AN279" i="2"/>
  <c r="AP278" i="2"/>
  <c r="X278" i="2"/>
  <c r="V279" i="2"/>
  <c r="E278" i="2"/>
  <c r="AP277" i="2"/>
  <c r="AN278" i="2"/>
  <c r="AW13" i="2"/>
  <c r="AX13" i="2" s="1"/>
  <c r="X277" i="2"/>
  <c r="V278" i="2"/>
  <c r="AE13" i="2"/>
  <c r="AF13" i="2" s="1"/>
  <c r="D278" i="2"/>
  <c r="F277" i="2"/>
  <c r="BG277" i="2"/>
  <c r="M13" i="2"/>
  <c r="AN277" i="2"/>
  <c r="AP276" i="2"/>
  <c r="X276" i="2"/>
  <c r="V277" i="2"/>
  <c r="E276" i="2"/>
  <c r="AP275" i="2"/>
  <c r="AN276" i="2"/>
  <c r="X275" i="2"/>
  <c r="V276" i="2"/>
  <c r="E275" i="2"/>
  <c r="AN275" i="2"/>
  <c r="AP274" i="2"/>
  <c r="AS43" i="2"/>
  <c r="AT43" i="2" s="1"/>
  <c r="X274" i="2"/>
  <c r="V275" i="2"/>
  <c r="AA43" i="2"/>
  <c r="AB43" i="2" s="1"/>
  <c r="E274" i="2"/>
  <c r="AP273" i="2"/>
  <c r="AN274" i="2"/>
  <c r="X273" i="2"/>
  <c r="V274" i="2"/>
  <c r="E273" i="2"/>
  <c r="AN273" i="2"/>
  <c r="AP272" i="2"/>
  <c r="X272" i="2"/>
  <c r="V273" i="2"/>
  <c r="E272" i="2"/>
  <c r="AP271" i="2"/>
  <c r="AN272" i="2"/>
  <c r="X271" i="2"/>
  <c r="V272" i="2"/>
  <c r="E271" i="2"/>
  <c r="AN271" i="2"/>
  <c r="AP270" i="2"/>
  <c r="X270" i="2"/>
  <c r="V271" i="2"/>
  <c r="E270" i="2"/>
  <c r="AP269" i="2"/>
  <c r="AN270" i="2"/>
  <c r="X269" i="2"/>
  <c r="V270" i="2"/>
  <c r="E269" i="2"/>
  <c r="AP268" i="2"/>
  <c r="AN269" i="2"/>
  <c r="X268" i="2"/>
  <c r="V269" i="2"/>
  <c r="E268" i="2"/>
  <c r="AN268" i="2"/>
  <c r="AP267" i="2"/>
  <c r="AS42" i="2"/>
  <c r="AT42" i="2" s="1"/>
  <c r="X267" i="2"/>
  <c r="V268" i="2"/>
  <c r="AA42" i="2"/>
  <c r="AB42" i="2" s="1"/>
  <c r="E267" i="2"/>
  <c r="AP266" i="2"/>
  <c r="AN267" i="2"/>
  <c r="X266" i="2"/>
  <c r="V267" i="2"/>
  <c r="E266" i="2"/>
  <c r="AN266" i="2"/>
  <c r="AP265" i="2"/>
  <c r="X265" i="2"/>
  <c r="V266" i="2"/>
  <c r="E265" i="2"/>
  <c r="AP264" i="2"/>
  <c r="AN265" i="2"/>
  <c r="X264" i="2"/>
  <c r="V265" i="2"/>
  <c r="E264" i="2"/>
  <c r="AN264" i="2"/>
  <c r="AP263" i="2"/>
  <c r="X263" i="2"/>
  <c r="V264" i="2"/>
  <c r="E263" i="2"/>
  <c r="AP262" i="2"/>
  <c r="AN263" i="2"/>
  <c r="X262" i="2"/>
  <c r="V263" i="2"/>
  <c r="E262" i="2"/>
  <c r="AP261" i="2"/>
  <c r="AN262" i="2"/>
  <c r="X261" i="2"/>
  <c r="V262" i="2"/>
  <c r="E261" i="2"/>
  <c r="AN261" i="2"/>
  <c r="AP260" i="2"/>
  <c r="AS41" i="2"/>
  <c r="AT41" i="2" s="1"/>
  <c r="X260" i="2"/>
  <c r="V261" i="2"/>
  <c r="AA41" i="2"/>
  <c r="AB41" i="2" s="1"/>
  <c r="E260" i="2"/>
  <c r="AP259" i="2"/>
  <c r="AN260" i="2"/>
  <c r="X259" i="2"/>
  <c r="V260" i="2"/>
  <c r="E259" i="2"/>
  <c r="AN259" i="2"/>
  <c r="AP258" i="2"/>
  <c r="X258" i="2"/>
  <c r="V259" i="2"/>
  <c r="E258" i="2"/>
  <c r="AN258" i="2"/>
  <c r="AP257" i="2"/>
  <c r="X257" i="2"/>
  <c r="V258" i="2"/>
  <c r="E257" i="2"/>
  <c r="AN257" i="2"/>
  <c r="AP256" i="2"/>
  <c r="X256" i="2"/>
  <c r="V257" i="2"/>
  <c r="E256" i="2"/>
  <c r="AP255" i="2"/>
  <c r="AN256" i="2"/>
  <c r="X255" i="2"/>
  <c r="V256" i="2"/>
  <c r="E255" i="2"/>
  <c r="AN255" i="2"/>
  <c r="AP254" i="2"/>
  <c r="X254" i="2"/>
  <c r="V255" i="2"/>
  <c r="E254" i="2"/>
  <c r="AP253" i="2"/>
  <c r="AN254" i="2"/>
  <c r="AS40" i="2"/>
  <c r="AT40" i="2" s="1"/>
  <c r="X253" i="2"/>
  <c r="V254" i="2"/>
  <c r="AA40" i="2"/>
  <c r="AB40" i="2" s="1"/>
  <c r="E253" i="2"/>
  <c r="AP252" i="2"/>
  <c r="AN253" i="2"/>
  <c r="X252" i="2"/>
  <c r="V253" i="2"/>
  <c r="E252" i="2"/>
  <c r="AN252" i="2"/>
  <c r="AP251" i="2"/>
  <c r="X251" i="2"/>
  <c r="V252" i="2"/>
  <c r="E251" i="2"/>
  <c r="AP250" i="2"/>
  <c r="AN251" i="2"/>
  <c r="X250" i="2"/>
  <c r="V251" i="2"/>
  <c r="E250" i="2"/>
  <c r="AN250" i="2"/>
  <c r="AP249" i="2"/>
  <c r="X249" i="2"/>
  <c r="V250" i="2"/>
  <c r="E249" i="2"/>
  <c r="AP248" i="2"/>
  <c r="AN249" i="2"/>
  <c r="X248" i="2"/>
  <c r="V249" i="2"/>
  <c r="E248" i="2"/>
  <c r="AN248" i="2"/>
  <c r="AP247" i="2"/>
  <c r="AW12" i="2"/>
  <c r="AX12" i="2" s="1"/>
  <c r="X247" i="2"/>
  <c r="V248" i="2"/>
  <c r="AE12" i="2"/>
  <c r="AF12" i="2" s="1"/>
  <c r="D248" i="2"/>
  <c r="F247" i="2"/>
  <c r="BG247" i="2"/>
  <c r="AP246" i="2"/>
  <c r="AN247" i="2"/>
  <c r="AS39" i="2"/>
  <c r="AT39" i="2" s="1"/>
  <c r="X246" i="2"/>
  <c r="V247" i="2"/>
  <c r="AA39" i="2"/>
  <c r="AB39" i="2" s="1"/>
  <c r="E246" i="2"/>
  <c r="AN246" i="2"/>
  <c r="AP245" i="2"/>
  <c r="X245" i="2"/>
  <c r="V246" i="2"/>
  <c r="E245" i="2"/>
  <c r="AN245" i="2"/>
  <c r="AP244" i="2"/>
  <c r="X244" i="2"/>
  <c r="V245" i="2"/>
  <c r="E244" i="2"/>
  <c r="AN244" i="2"/>
  <c r="AP243" i="2"/>
  <c r="X243" i="2"/>
  <c r="V244" i="2"/>
  <c r="E243" i="2"/>
  <c r="AP242" i="2"/>
  <c r="AN243" i="2"/>
  <c r="X242" i="2"/>
  <c r="V243" i="2"/>
  <c r="E242" i="2"/>
  <c r="AP241" i="2"/>
  <c r="AN242" i="2"/>
  <c r="X241" i="2"/>
  <c r="V242" i="2"/>
  <c r="E241" i="2"/>
  <c r="AP240" i="2"/>
  <c r="AN241" i="2"/>
  <c r="X240" i="2"/>
  <c r="V241" i="2"/>
  <c r="E240" i="2"/>
  <c r="AN240" i="2"/>
  <c r="AP239" i="2"/>
  <c r="AS38" i="2"/>
  <c r="AT38" i="2" s="1"/>
  <c r="X239" i="2"/>
  <c r="V240" i="2"/>
  <c r="AA38" i="2"/>
  <c r="AB38" i="2" s="1"/>
  <c r="E239" i="2"/>
  <c r="AP238" i="2"/>
  <c r="AN239" i="2"/>
  <c r="X238" i="2"/>
  <c r="V239" i="2"/>
  <c r="E238" i="2"/>
  <c r="AN238" i="2"/>
  <c r="AP237" i="2"/>
  <c r="X237" i="2"/>
  <c r="V238" i="2"/>
  <c r="E237" i="2"/>
  <c r="AN237" i="2"/>
  <c r="AP236" i="2"/>
  <c r="X236" i="2"/>
  <c r="V237" i="2"/>
  <c r="E236" i="2"/>
  <c r="AP235" i="2"/>
  <c r="AN236" i="2"/>
  <c r="X235" i="2"/>
  <c r="V236" i="2"/>
  <c r="E235" i="2"/>
  <c r="AN235" i="2"/>
  <c r="AP234" i="2"/>
  <c r="X234" i="2"/>
  <c r="V235" i="2"/>
  <c r="E234" i="2"/>
  <c r="AP233" i="2"/>
  <c r="AN234" i="2"/>
  <c r="X233" i="2"/>
  <c r="V234" i="2"/>
  <c r="E233" i="2"/>
  <c r="AN233" i="2"/>
  <c r="AP232" i="2"/>
  <c r="AS37" i="2"/>
  <c r="AT37" i="2" s="1"/>
  <c r="X232" i="2"/>
  <c r="V233" i="2"/>
  <c r="AA37" i="2"/>
  <c r="AB37" i="2" s="1"/>
  <c r="E232" i="2"/>
  <c r="AP231" i="2"/>
  <c r="AN232" i="2"/>
  <c r="X231" i="2"/>
  <c r="V232" i="2"/>
  <c r="E231" i="2"/>
  <c r="AN231" i="2"/>
  <c r="AP230" i="2"/>
  <c r="X230" i="2"/>
  <c r="V231" i="2"/>
  <c r="E230" i="2"/>
  <c r="AP229" i="2"/>
  <c r="AN230" i="2"/>
  <c r="X229" i="2"/>
  <c r="V230" i="2"/>
  <c r="E229" i="2"/>
  <c r="AP228" i="2"/>
  <c r="AN229" i="2"/>
  <c r="X228" i="2"/>
  <c r="V229" i="2"/>
  <c r="E228" i="2"/>
  <c r="AN228" i="2"/>
  <c r="AP227" i="2"/>
  <c r="X227" i="2"/>
  <c r="V228" i="2"/>
  <c r="E227" i="2"/>
  <c r="AP226" i="2"/>
  <c r="AN227" i="2"/>
  <c r="X226" i="2"/>
  <c r="V227" i="2"/>
  <c r="E226" i="2"/>
  <c r="AP225" i="2"/>
  <c r="AN226" i="2"/>
  <c r="AS36" i="2"/>
  <c r="AT36" i="2" s="1"/>
  <c r="X225" i="2"/>
  <c r="V226" i="2"/>
  <c r="AA36" i="2"/>
  <c r="AB36" i="2" s="1"/>
  <c r="E225" i="2"/>
  <c r="AP224" i="2"/>
  <c r="AN225" i="2"/>
  <c r="X224" i="2"/>
  <c r="V225" i="2"/>
  <c r="E224" i="2"/>
  <c r="AN224" i="2"/>
  <c r="AP223" i="2"/>
  <c r="X223" i="2"/>
  <c r="V224" i="2"/>
  <c r="E223" i="2"/>
  <c r="AP222" i="2"/>
  <c r="AN223" i="2"/>
  <c r="X222" i="2"/>
  <c r="V223" i="2"/>
  <c r="E222" i="2"/>
  <c r="AP221" i="2"/>
  <c r="AN222" i="2"/>
  <c r="X221" i="2"/>
  <c r="V222" i="2"/>
  <c r="E221" i="2"/>
  <c r="AN221" i="2"/>
  <c r="AP220" i="2"/>
  <c r="X220" i="2"/>
  <c r="V221" i="2"/>
  <c r="E220" i="2"/>
  <c r="AP219" i="2"/>
  <c r="AN220" i="2"/>
  <c r="X219" i="2"/>
  <c r="V220" i="2"/>
  <c r="E219" i="2"/>
  <c r="AN219" i="2"/>
  <c r="AP218" i="2"/>
  <c r="AS35" i="2"/>
  <c r="AT35" i="2" s="1"/>
  <c r="X218" i="2"/>
  <c r="V219" i="2"/>
  <c r="AA35" i="2"/>
  <c r="AB35" i="2" s="1"/>
  <c r="E218" i="2"/>
  <c r="AP217" i="2"/>
  <c r="AN218" i="2"/>
  <c r="X217" i="2"/>
  <c r="V218" i="2"/>
  <c r="E217" i="2"/>
  <c r="AN217" i="2"/>
  <c r="AP216" i="2"/>
  <c r="AW11" i="2"/>
  <c r="AX11" i="2" s="1"/>
  <c r="X216" i="2"/>
  <c r="V217" i="2"/>
  <c r="AE11" i="2"/>
  <c r="AF11" i="2" s="1"/>
  <c r="D217" i="2"/>
  <c r="F216" i="2"/>
  <c r="BG216" i="2"/>
  <c r="M11" i="2"/>
  <c r="AP215" i="2"/>
  <c r="AN216" i="2"/>
  <c r="X215" i="2"/>
  <c r="V216" i="2"/>
  <c r="E215" i="2"/>
  <c r="AN215" i="2"/>
  <c r="AP214" i="2"/>
  <c r="X214" i="2"/>
  <c r="V215" i="2"/>
  <c r="E214" i="2"/>
  <c r="AN214" i="2"/>
  <c r="AP213" i="2"/>
  <c r="X213" i="2"/>
  <c r="V214" i="2"/>
  <c r="E213" i="2"/>
  <c r="AN213" i="2"/>
  <c r="AP212" i="2"/>
  <c r="X212" i="2"/>
  <c r="V213" i="2"/>
  <c r="E212" i="2"/>
  <c r="AP211" i="2"/>
  <c r="AN212" i="2"/>
  <c r="AS34" i="2"/>
  <c r="AT34" i="2" s="1"/>
  <c r="X211" i="2"/>
  <c r="V212" i="2"/>
  <c r="AA34" i="2"/>
  <c r="AB34" i="2" s="1"/>
  <c r="E211" i="2"/>
  <c r="AN211" i="2"/>
  <c r="AP210" i="2"/>
  <c r="X210" i="2"/>
  <c r="V211" i="2"/>
  <c r="E210" i="2"/>
  <c r="AP209" i="2"/>
  <c r="AN210" i="2"/>
  <c r="X209" i="2"/>
  <c r="V210" i="2"/>
  <c r="E209" i="2"/>
  <c r="AN209" i="2"/>
  <c r="AP208" i="2"/>
  <c r="X208" i="2"/>
  <c r="V209" i="2"/>
  <c r="E208" i="2"/>
  <c r="AP207" i="2"/>
  <c r="AN208" i="2"/>
  <c r="X207" i="2"/>
  <c r="V208" i="2"/>
  <c r="E207" i="2"/>
  <c r="AN207" i="2"/>
  <c r="AP206" i="2"/>
  <c r="X206" i="2"/>
  <c r="V207" i="2"/>
  <c r="E206" i="2"/>
  <c r="AN206" i="2"/>
  <c r="AP205" i="2"/>
  <c r="X205" i="2"/>
  <c r="V206" i="2"/>
  <c r="E205" i="2"/>
  <c r="AP204" i="2"/>
  <c r="AN205" i="2"/>
  <c r="AS33" i="2"/>
  <c r="AT33" i="2" s="1"/>
  <c r="X204" i="2"/>
  <c r="V205" i="2"/>
  <c r="AA33" i="2"/>
  <c r="AB33" i="2" s="1"/>
  <c r="E204" i="2"/>
  <c r="AN204" i="2"/>
  <c r="AP203" i="2"/>
  <c r="X203" i="2"/>
  <c r="V204" i="2"/>
  <c r="E203" i="2"/>
  <c r="AP202" i="2"/>
  <c r="AN203" i="2"/>
  <c r="X202" i="2"/>
  <c r="V203" i="2"/>
  <c r="E202" i="2"/>
  <c r="AN202" i="2"/>
  <c r="AP201" i="2"/>
  <c r="X201" i="2"/>
  <c r="V202" i="2"/>
  <c r="E201" i="2"/>
  <c r="AP200" i="2"/>
  <c r="AN201" i="2"/>
  <c r="X200" i="2"/>
  <c r="V201" i="2"/>
  <c r="E200" i="2"/>
  <c r="AN200" i="2"/>
  <c r="AP199" i="2"/>
  <c r="X199" i="2"/>
  <c r="V200" i="2"/>
  <c r="E199" i="2"/>
  <c r="AN199" i="2"/>
  <c r="AP198" i="2"/>
  <c r="X198" i="2"/>
  <c r="V199" i="2"/>
  <c r="E198" i="2"/>
  <c r="AS32" i="2"/>
  <c r="AT32" i="2" s="1"/>
  <c r="AP197" i="2"/>
  <c r="AN198" i="2"/>
  <c r="AA32" i="2"/>
  <c r="AB32" i="2" s="1"/>
  <c r="X197" i="2"/>
  <c r="V198" i="2"/>
  <c r="E197" i="2"/>
  <c r="AP196" i="2"/>
  <c r="AN197" i="2"/>
  <c r="X196" i="2"/>
  <c r="V197" i="2"/>
  <c r="E196" i="2"/>
  <c r="AN196" i="2"/>
  <c r="AP195" i="2"/>
  <c r="X195" i="2"/>
  <c r="V196" i="2"/>
  <c r="E195" i="2"/>
  <c r="AP194" i="2"/>
  <c r="AN195" i="2"/>
  <c r="X194" i="2"/>
  <c r="V195" i="2"/>
  <c r="E194" i="2"/>
  <c r="AN194" i="2"/>
  <c r="AP193" i="2"/>
  <c r="X193" i="2"/>
  <c r="V194" i="2"/>
  <c r="E193" i="2"/>
  <c r="AN193" i="2"/>
  <c r="AP192" i="2"/>
  <c r="X192" i="2"/>
  <c r="V193" i="2"/>
  <c r="E192" i="2"/>
  <c r="AP191" i="2"/>
  <c r="AN192" i="2"/>
  <c r="X191" i="2"/>
  <c r="V192" i="2"/>
  <c r="E191" i="2"/>
  <c r="AN191" i="2"/>
  <c r="AP190" i="2"/>
  <c r="AS31" i="2"/>
  <c r="AT31" i="2" s="1"/>
  <c r="X190" i="2"/>
  <c r="AA31" i="2"/>
  <c r="AB31" i="2" s="1"/>
  <c r="V191" i="2"/>
  <c r="E190" i="2"/>
  <c r="AP189" i="2"/>
  <c r="AN190" i="2"/>
  <c r="X189" i="2"/>
  <c r="V190" i="2"/>
  <c r="E189" i="2"/>
  <c r="AP188" i="2"/>
  <c r="AN189" i="2"/>
  <c r="X188" i="2"/>
  <c r="V189" i="2"/>
  <c r="E188" i="2"/>
  <c r="AP187" i="2"/>
  <c r="AN188" i="2"/>
  <c r="X187" i="2"/>
  <c r="V188" i="2"/>
  <c r="E187" i="2"/>
  <c r="AN187" i="2"/>
  <c r="AP186" i="2"/>
  <c r="X186" i="2"/>
  <c r="V187" i="2"/>
  <c r="E186" i="2"/>
  <c r="AP185" i="2"/>
  <c r="AN186" i="2"/>
  <c r="AW10" i="2"/>
  <c r="AX10" i="2" s="1"/>
  <c r="X185" i="2"/>
  <c r="V186" i="2"/>
  <c r="AE10" i="2"/>
  <c r="AF10" i="2" s="1"/>
  <c r="F185" i="2"/>
  <c r="BG185" i="2"/>
  <c r="D186" i="2"/>
  <c r="M10" i="2"/>
  <c r="AP184" i="2"/>
  <c r="AN185" i="2"/>
  <c r="X184" i="2"/>
  <c r="V185" i="2"/>
  <c r="E184" i="2"/>
  <c r="AN184" i="2"/>
  <c r="AP183" i="2"/>
  <c r="AS30" i="2"/>
  <c r="AT30" i="2" s="1"/>
  <c r="X183" i="2"/>
  <c r="AA30" i="2"/>
  <c r="AB30" i="2" s="1"/>
  <c r="V184" i="2"/>
  <c r="E183" i="2"/>
  <c r="AP182" i="2"/>
  <c r="AN183" i="2"/>
  <c r="X182" i="2"/>
  <c r="V183" i="2"/>
  <c r="E182" i="2"/>
  <c r="AP181" i="2"/>
  <c r="AN182" i="2"/>
  <c r="X181" i="2"/>
  <c r="V182" i="2"/>
  <c r="E181" i="2"/>
  <c r="AP180" i="2"/>
  <c r="AN181" i="2"/>
  <c r="X180" i="2"/>
  <c r="V181" i="2"/>
  <c r="E180" i="2"/>
  <c r="AN180" i="2"/>
  <c r="AP179" i="2"/>
  <c r="X179" i="2"/>
  <c r="V180" i="2"/>
  <c r="E179" i="2"/>
  <c r="AP178" i="2"/>
  <c r="AN179" i="2"/>
  <c r="X178" i="2"/>
  <c r="V179" i="2"/>
  <c r="E178" i="2"/>
  <c r="AN178" i="2"/>
  <c r="AP177" i="2"/>
  <c r="X177" i="2"/>
  <c r="V178" i="2"/>
  <c r="E177" i="2"/>
  <c r="AP176" i="2"/>
  <c r="AS29" i="2"/>
  <c r="AT29" i="2" s="1"/>
  <c r="AN177" i="2"/>
  <c r="AA29" i="2"/>
  <c r="AB29" i="2" s="1"/>
  <c r="X176" i="2"/>
  <c r="V177" i="2"/>
  <c r="E176" i="2"/>
  <c r="AN176" i="2"/>
  <c r="AP175" i="2"/>
  <c r="X175" i="2"/>
  <c r="V176" i="2"/>
  <c r="E175" i="2"/>
  <c r="AP174" i="2"/>
  <c r="AN175" i="2"/>
  <c r="X174" i="2"/>
  <c r="V175" i="2"/>
  <c r="E174" i="2"/>
  <c r="AN174" i="2"/>
  <c r="AP173" i="2"/>
  <c r="X173" i="2"/>
  <c r="V174" i="2"/>
  <c r="E173" i="2"/>
  <c r="AP172" i="2"/>
  <c r="AN173" i="2"/>
  <c r="X172" i="2"/>
  <c r="V173" i="2"/>
  <c r="E172" i="2"/>
  <c r="AN172" i="2"/>
  <c r="AP171" i="2"/>
  <c r="X171" i="2"/>
  <c r="V172" i="2"/>
  <c r="E171" i="2"/>
  <c r="AP170" i="2"/>
  <c r="AN171" i="2"/>
  <c r="X170" i="2"/>
  <c r="V171" i="2"/>
  <c r="E170" i="2"/>
  <c r="AP169" i="2"/>
  <c r="AN170" i="2"/>
  <c r="AS28" i="2"/>
  <c r="AT28" i="2" s="1"/>
  <c r="AA28" i="2"/>
  <c r="AB28" i="2" s="1"/>
  <c r="X169" i="2"/>
  <c r="V170" i="2"/>
  <c r="E169" i="2"/>
  <c r="AN169" i="2"/>
  <c r="AP168" i="2"/>
  <c r="X168" i="2"/>
  <c r="V169" i="2"/>
  <c r="E168" i="2"/>
  <c r="AN168" i="2"/>
  <c r="AP167" i="2"/>
  <c r="V168" i="2"/>
  <c r="X167" i="2"/>
  <c r="E167" i="2"/>
  <c r="AN167" i="2"/>
  <c r="AP166" i="2"/>
  <c r="X166" i="2"/>
  <c r="V167" i="2"/>
  <c r="E166" i="2"/>
  <c r="AN166" i="2"/>
  <c r="AP165" i="2"/>
  <c r="X165" i="2"/>
  <c r="V166" i="2"/>
  <c r="E165" i="2"/>
  <c r="AN165" i="2"/>
  <c r="AP164" i="2"/>
  <c r="V165" i="2"/>
  <c r="X164" i="2"/>
  <c r="E164" i="2"/>
  <c r="AN164" i="2"/>
  <c r="AP163" i="2"/>
  <c r="V164" i="2"/>
  <c r="X163" i="2"/>
  <c r="E163" i="2"/>
  <c r="AN163" i="2"/>
  <c r="AP162" i="2"/>
  <c r="AS27" i="2"/>
  <c r="AT27" i="2" s="1"/>
  <c r="X162" i="2"/>
  <c r="V163" i="2"/>
  <c r="AA27" i="2"/>
  <c r="AB27" i="2" s="1"/>
  <c r="E162" i="2"/>
  <c r="AN162" i="2"/>
  <c r="AP161" i="2"/>
  <c r="V162" i="2"/>
  <c r="X161" i="2"/>
  <c r="E161" i="2"/>
  <c r="AN161" i="2"/>
  <c r="AP160" i="2"/>
  <c r="X160" i="2"/>
  <c r="V161" i="2"/>
  <c r="E160" i="2"/>
  <c r="AN160" i="2"/>
  <c r="AP159" i="2"/>
  <c r="V160" i="2"/>
  <c r="X159" i="2"/>
  <c r="E159" i="2"/>
  <c r="AN159" i="2"/>
  <c r="AP158" i="2"/>
  <c r="X158" i="2"/>
  <c r="V159" i="2"/>
  <c r="E158" i="2"/>
  <c r="AN158" i="2"/>
  <c r="AP157" i="2"/>
  <c r="V158" i="2"/>
  <c r="X157" i="2"/>
  <c r="E157" i="2"/>
  <c r="AN157" i="2"/>
  <c r="AP156" i="2"/>
  <c r="V157" i="2"/>
  <c r="X156" i="2"/>
  <c r="E156" i="2"/>
  <c r="AN156" i="2"/>
  <c r="AP155" i="2"/>
  <c r="AS26" i="2"/>
  <c r="AT26" i="2" s="1"/>
  <c r="AW9" i="2"/>
  <c r="AX9" i="2" s="1"/>
  <c r="X155" i="2"/>
  <c r="V156" i="2"/>
  <c r="AA26" i="2"/>
  <c r="AB26" i="2" s="1"/>
  <c r="AE9" i="2"/>
  <c r="AF9" i="2" s="1"/>
  <c r="D156" i="2"/>
  <c r="F155" i="2"/>
  <c r="BG155" i="2"/>
  <c r="I26" i="2"/>
  <c r="M9" i="2"/>
  <c r="AN155" i="2"/>
  <c r="AP154" i="2"/>
  <c r="X154" i="2"/>
  <c r="V155" i="2"/>
  <c r="E154" i="2"/>
  <c r="AN154" i="2"/>
  <c r="AP153" i="2"/>
  <c r="V154" i="2"/>
  <c r="X153" i="2"/>
  <c r="E153" i="2"/>
  <c r="AN153" i="2"/>
  <c r="AP152" i="2"/>
  <c r="V153" i="2"/>
  <c r="X152" i="2"/>
  <c r="E152" i="2"/>
  <c r="AN152" i="2"/>
  <c r="AP151" i="2"/>
  <c r="V152" i="2"/>
  <c r="X151" i="2"/>
  <c r="E151" i="2"/>
  <c r="AN151" i="2"/>
  <c r="AP150" i="2"/>
  <c r="V151" i="2"/>
  <c r="X150" i="2"/>
  <c r="E150" i="2"/>
  <c r="AN150" i="2"/>
  <c r="AP149" i="2"/>
  <c r="X149" i="2"/>
  <c r="V150" i="2"/>
  <c r="E149" i="2"/>
  <c r="AN149" i="2"/>
  <c r="AP148" i="2"/>
  <c r="AS25" i="2"/>
  <c r="AT25" i="2" s="1"/>
  <c r="V149" i="2"/>
  <c r="X148" i="2"/>
  <c r="AA25" i="2"/>
  <c r="AB25" i="2" s="1"/>
  <c r="E148" i="2"/>
  <c r="AN148" i="2"/>
  <c r="AP147" i="2"/>
  <c r="V148" i="2"/>
  <c r="X147" i="2"/>
  <c r="E147" i="2"/>
  <c r="AN147" i="2"/>
  <c r="AP146" i="2"/>
  <c r="X146" i="2"/>
  <c r="V147" i="2"/>
  <c r="E146" i="2"/>
  <c r="AN146" i="2"/>
  <c r="AP145" i="2"/>
  <c r="V146" i="2"/>
  <c r="X145" i="2"/>
  <c r="E145" i="2"/>
  <c r="AN145" i="2"/>
  <c r="AP144" i="2"/>
  <c r="V145" i="2"/>
  <c r="X144" i="2"/>
  <c r="E144" i="2"/>
  <c r="AN144" i="2"/>
  <c r="AP143" i="2"/>
  <c r="V144" i="2"/>
  <c r="X143" i="2"/>
  <c r="E143" i="2"/>
  <c r="AN143" i="2"/>
  <c r="AP142" i="2"/>
  <c r="V143" i="2"/>
  <c r="X142" i="2"/>
  <c r="E142" i="2"/>
  <c r="AN142" i="2"/>
  <c r="AP141" i="2"/>
  <c r="AS24" i="2"/>
  <c r="AT24" i="2" s="1"/>
  <c r="V142" i="2"/>
  <c r="X141" i="2"/>
  <c r="AA24" i="2"/>
  <c r="AB24" i="2" s="1"/>
  <c r="E141" i="2"/>
  <c r="AN141" i="2"/>
  <c r="AP140" i="2"/>
  <c r="V141" i="2"/>
  <c r="X140" i="2"/>
  <c r="E140" i="2"/>
  <c r="AN140" i="2"/>
  <c r="AP139" i="2"/>
  <c r="V140" i="2"/>
  <c r="X139" i="2"/>
  <c r="E139" i="2"/>
  <c r="AN139" i="2"/>
  <c r="AP138" i="2"/>
  <c r="V139" i="2"/>
  <c r="X138" i="2"/>
  <c r="E138" i="2"/>
  <c r="AN138" i="2"/>
  <c r="AP137" i="2"/>
  <c r="V138" i="2"/>
  <c r="X137" i="2"/>
  <c r="E137" i="2"/>
  <c r="AN137" i="2"/>
  <c r="AP136" i="2"/>
  <c r="V137" i="2"/>
  <c r="X136" i="2"/>
  <c r="E136" i="2"/>
  <c r="AN136" i="2"/>
  <c r="AP135" i="2"/>
  <c r="V136" i="2"/>
  <c r="X135" i="2"/>
  <c r="E135" i="2"/>
  <c r="AN135" i="2"/>
  <c r="AP134" i="2"/>
  <c r="AS23" i="2"/>
  <c r="AT23" i="2" s="1"/>
  <c r="V135" i="2"/>
  <c r="X134" i="2"/>
  <c r="AA23" i="2"/>
  <c r="AB23" i="2" s="1"/>
  <c r="E134" i="2"/>
  <c r="AN134" i="2"/>
  <c r="AP133" i="2"/>
  <c r="V134" i="2"/>
  <c r="X133" i="2"/>
  <c r="E133" i="2"/>
  <c r="AN133" i="2"/>
  <c r="AP132" i="2"/>
  <c r="V133" i="2"/>
  <c r="X132" i="2"/>
  <c r="E132" i="2"/>
  <c r="AN132" i="2"/>
  <c r="AP131" i="2"/>
  <c r="V132" i="2"/>
  <c r="X131" i="2"/>
  <c r="E131" i="2"/>
  <c r="AN131" i="2"/>
  <c r="AP130" i="2"/>
  <c r="V131" i="2"/>
  <c r="X130" i="2"/>
  <c r="E130" i="2"/>
  <c r="AN130" i="2"/>
  <c r="AP129" i="2"/>
  <c r="V130" i="2"/>
  <c r="X129" i="2"/>
  <c r="E129" i="2"/>
  <c r="AN129" i="2"/>
  <c r="AP128" i="2"/>
  <c r="V129" i="2"/>
  <c r="X128" i="2"/>
  <c r="E128" i="2"/>
  <c r="AN128" i="2"/>
  <c r="AP127" i="2"/>
  <c r="AS22" i="2"/>
  <c r="AT22" i="2" s="1"/>
  <c r="V128" i="2"/>
  <c r="X127" i="2"/>
  <c r="AA22" i="2"/>
  <c r="AB22" i="2" s="1"/>
  <c r="E127" i="2"/>
  <c r="AN127" i="2"/>
  <c r="AP126" i="2"/>
  <c r="V127" i="2"/>
  <c r="X126" i="2"/>
  <c r="E126" i="2"/>
  <c r="AN126" i="2"/>
  <c r="AP125" i="2"/>
  <c r="V126" i="2"/>
  <c r="X125" i="2"/>
  <c r="E125" i="2"/>
  <c r="AN125" i="2"/>
  <c r="AP124" i="2"/>
  <c r="AW8" i="2"/>
  <c r="AX8" i="2" s="1"/>
  <c r="V125" i="2"/>
  <c r="X124" i="2"/>
  <c r="AE8" i="2"/>
  <c r="AF8" i="2" s="1"/>
  <c r="D125" i="2"/>
  <c r="F124" i="2"/>
  <c r="BG124" i="2"/>
  <c r="M8" i="2"/>
  <c r="AN124" i="2"/>
  <c r="AP123" i="2"/>
  <c r="V124" i="2"/>
  <c r="X123" i="2"/>
  <c r="E123" i="2"/>
  <c r="AN123" i="2"/>
  <c r="AP122" i="2"/>
  <c r="V123" i="2"/>
  <c r="X122" i="2"/>
  <c r="E122" i="2"/>
  <c r="AN122" i="2"/>
  <c r="AP121" i="2"/>
  <c r="V122" i="2"/>
  <c r="X121" i="2"/>
  <c r="E121" i="2"/>
  <c r="AN121" i="2"/>
  <c r="AP120" i="2"/>
  <c r="AS21" i="2"/>
  <c r="AT21" i="2" s="1"/>
  <c r="V121" i="2"/>
  <c r="X120" i="2"/>
  <c r="AA21" i="2"/>
  <c r="AB21" i="2" s="1"/>
  <c r="E120" i="2"/>
  <c r="AN120" i="2"/>
  <c r="AP119" i="2"/>
  <c r="V120" i="2"/>
  <c r="X119" i="2"/>
  <c r="E119" i="2"/>
  <c r="AN119" i="2"/>
  <c r="AP118" i="2"/>
  <c r="V119" i="2"/>
  <c r="X118" i="2"/>
  <c r="E118" i="2"/>
  <c r="AN118" i="2"/>
  <c r="AP117" i="2"/>
  <c r="V118" i="2"/>
  <c r="X117" i="2"/>
  <c r="E117" i="2"/>
  <c r="AN117" i="2"/>
  <c r="AP116" i="2"/>
  <c r="V117" i="2"/>
  <c r="X116" i="2"/>
  <c r="E116" i="2"/>
  <c r="AN116" i="2"/>
  <c r="AP115" i="2"/>
  <c r="V116" i="2"/>
  <c r="X115" i="2"/>
  <c r="E115" i="2"/>
  <c r="AN115" i="2"/>
  <c r="AP114" i="2"/>
  <c r="V115" i="2"/>
  <c r="X114" i="2"/>
  <c r="E114" i="2"/>
  <c r="AN114" i="2"/>
  <c r="AP113" i="2"/>
  <c r="AS20" i="2"/>
  <c r="AT20" i="2" s="1"/>
  <c r="V114" i="2"/>
  <c r="X113" i="2"/>
  <c r="AA20" i="2"/>
  <c r="AB20" i="2" s="1"/>
  <c r="E113" i="2"/>
  <c r="AN113" i="2"/>
  <c r="AP112" i="2"/>
  <c r="V113" i="2"/>
  <c r="X112" i="2"/>
  <c r="E112" i="2"/>
  <c r="AN112" i="2"/>
  <c r="AP111" i="2"/>
  <c r="V112" i="2"/>
  <c r="X111" i="2"/>
  <c r="E111" i="2"/>
  <c r="AN111" i="2"/>
  <c r="AP110" i="2"/>
  <c r="V111" i="2"/>
  <c r="X110" i="2"/>
  <c r="E110" i="2"/>
  <c r="AN110" i="2"/>
  <c r="AP109" i="2"/>
  <c r="V110" i="2"/>
  <c r="X109" i="2"/>
  <c r="E109" i="2"/>
  <c r="AN109" i="2"/>
  <c r="AP108" i="2"/>
  <c r="V109" i="2"/>
  <c r="X108" i="2"/>
  <c r="E108" i="2"/>
  <c r="AN108" i="2"/>
  <c r="AP107" i="2"/>
  <c r="V108" i="2"/>
  <c r="X107" i="2"/>
  <c r="E107" i="2"/>
  <c r="AN107" i="2"/>
  <c r="AP106" i="2"/>
  <c r="AS19" i="2"/>
  <c r="AT19" i="2" s="1"/>
  <c r="V107" i="2"/>
  <c r="X106" i="2"/>
  <c r="AA19" i="2"/>
  <c r="AB19" i="2" s="1"/>
  <c r="E106" i="2"/>
  <c r="AP105" i="2"/>
  <c r="AN106" i="2"/>
  <c r="X105" i="2"/>
  <c r="V106" i="2"/>
  <c r="E105" i="2"/>
  <c r="AP104" i="2"/>
  <c r="AN105" i="2"/>
  <c r="X104" i="2"/>
  <c r="V105" i="2"/>
  <c r="E104" i="2"/>
  <c r="AP103" i="2"/>
  <c r="AN104" i="2"/>
  <c r="X103" i="2"/>
  <c r="V104" i="2"/>
  <c r="E103" i="2"/>
  <c r="AP102" i="2"/>
  <c r="AN103" i="2"/>
  <c r="V103" i="2"/>
  <c r="X102" i="2"/>
  <c r="E102" i="2"/>
  <c r="AN102" i="2"/>
  <c r="AP101" i="2"/>
  <c r="X101" i="2"/>
  <c r="V102" i="2"/>
  <c r="E101" i="2"/>
  <c r="AP100" i="2"/>
  <c r="AN101" i="2"/>
  <c r="V101" i="2"/>
  <c r="X100" i="2"/>
  <c r="E100" i="2"/>
  <c r="AP99" i="2"/>
  <c r="AN100" i="2"/>
  <c r="AS18" i="2"/>
  <c r="AT18" i="2" s="1"/>
  <c r="V100" i="2"/>
  <c r="X99" i="2"/>
  <c r="AA18" i="2"/>
  <c r="AB18" i="2" s="1"/>
  <c r="E99" i="2"/>
  <c r="AP98" i="2"/>
  <c r="AN99" i="2"/>
  <c r="V99" i="2"/>
  <c r="X98" i="2"/>
  <c r="E98" i="2"/>
  <c r="AN98" i="2"/>
  <c r="AP97" i="2"/>
  <c r="V98" i="2"/>
  <c r="X97" i="2"/>
  <c r="E97" i="2"/>
  <c r="AN97" i="2"/>
  <c r="AP96" i="2"/>
  <c r="X96" i="2"/>
  <c r="V97" i="2"/>
  <c r="E96" i="2"/>
  <c r="AN96" i="2"/>
  <c r="AP95" i="2"/>
  <c r="V96" i="2"/>
  <c r="X95" i="2"/>
  <c r="E95" i="2"/>
  <c r="AN95" i="2"/>
  <c r="AP94" i="2"/>
  <c r="AW7" i="2"/>
  <c r="AX7" i="2" s="1"/>
  <c r="V95" i="2"/>
  <c r="X94" i="2"/>
  <c r="AE7" i="2"/>
  <c r="AF7" i="2" s="1"/>
  <c r="F94" i="2"/>
  <c r="D95" i="2"/>
  <c r="BG94" i="2"/>
  <c r="AN94" i="2"/>
  <c r="AP93" i="2"/>
  <c r="V94" i="2"/>
  <c r="X93" i="2"/>
  <c r="E93" i="2"/>
  <c r="AN93" i="2"/>
  <c r="AP92" i="2"/>
  <c r="AS17" i="2"/>
  <c r="AT17" i="2" s="1"/>
  <c r="V93" i="2"/>
  <c r="X92" i="2"/>
  <c r="AA17" i="2"/>
  <c r="AB17" i="2" s="1"/>
  <c r="E92" i="2"/>
  <c r="AP91" i="2"/>
  <c r="AN92" i="2"/>
  <c r="X91" i="2"/>
  <c r="V92" i="2"/>
  <c r="E91" i="2"/>
  <c r="AN91" i="2"/>
  <c r="AP90" i="2"/>
  <c r="X90" i="2"/>
  <c r="V91" i="2"/>
  <c r="E90" i="2"/>
  <c r="AN90" i="2"/>
  <c r="AP89" i="2"/>
  <c r="V90" i="2"/>
  <c r="X89" i="2"/>
  <c r="E89" i="2"/>
  <c r="AN89" i="2"/>
  <c r="AP88" i="2"/>
  <c r="V89" i="2"/>
  <c r="X88" i="2"/>
  <c r="E88" i="2"/>
  <c r="AN88" i="2"/>
  <c r="AP87" i="2"/>
  <c r="X87" i="2"/>
  <c r="V88" i="2"/>
  <c r="E87" i="2"/>
  <c r="AP86" i="2"/>
  <c r="AN87" i="2"/>
  <c r="X86" i="2"/>
  <c r="V87" i="2"/>
  <c r="E86" i="2"/>
  <c r="AP85" i="2"/>
  <c r="AN86" i="2"/>
  <c r="AS16" i="2"/>
  <c r="AT16" i="2" s="1"/>
  <c r="V86" i="2"/>
  <c r="X85" i="2"/>
  <c r="AA16" i="2"/>
  <c r="AB16" i="2" s="1"/>
  <c r="E85" i="2"/>
  <c r="AN85" i="2"/>
  <c r="AP84" i="2"/>
  <c r="V85" i="2"/>
  <c r="X84" i="2"/>
  <c r="E84" i="2"/>
  <c r="AN84" i="2"/>
  <c r="AP83" i="2"/>
  <c r="V84" i="2"/>
  <c r="X83" i="2"/>
  <c r="E83" i="2"/>
  <c r="AN83" i="2"/>
  <c r="AP82" i="2"/>
  <c r="V83" i="2"/>
  <c r="X82" i="2"/>
  <c r="E82" i="2"/>
  <c r="AN82" i="2"/>
  <c r="AP81" i="2"/>
  <c r="X81" i="2"/>
  <c r="V82" i="2"/>
  <c r="E81" i="2"/>
  <c r="AP80" i="2"/>
  <c r="AN81" i="2"/>
  <c r="V81" i="2"/>
  <c r="X80" i="2"/>
  <c r="E80" i="2"/>
  <c r="AN80" i="2"/>
  <c r="AP79" i="2"/>
  <c r="V80" i="2"/>
  <c r="X79" i="2"/>
  <c r="E79" i="2"/>
  <c r="AN79" i="2"/>
  <c r="AP78" i="2"/>
  <c r="AS15" i="2"/>
  <c r="AT15" i="2" s="1"/>
  <c r="V79" i="2"/>
  <c r="X78" i="2"/>
  <c r="AA15" i="2"/>
  <c r="AB15" i="2" s="1"/>
  <c r="E78" i="2"/>
  <c r="AN78" i="2"/>
  <c r="AP77" i="2"/>
  <c r="X77" i="2"/>
  <c r="V78" i="2"/>
  <c r="E77" i="2"/>
  <c r="AP76" i="2"/>
  <c r="AN77" i="2"/>
  <c r="X76" i="2"/>
  <c r="V77" i="2"/>
  <c r="E76" i="2"/>
  <c r="AN76" i="2"/>
  <c r="AP75" i="2"/>
  <c r="V76" i="2"/>
  <c r="X75" i="2"/>
  <c r="E75" i="2"/>
  <c r="AN75" i="2"/>
  <c r="AP74" i="2"/>
  <c r="X74" i="2"/>
  <c r="V75" i="2"/>
  <c r="E74" i="2"/>
  <c r="AN74" i="2"/>
  <c r="AP73" i="2"/>
  <c r="X73" i="2"/>
  <c r="V74" i="2"/>
  <c r="E73" i="2"/>
  <c r="AN73" i="2"/>
  <c r="AP72" i="2"/>
  <c r="X72" i="2"/>
  <c r="V73" i="2"/>
  <c r="E72" i="2"/>
  <c r="AN72" i="2"/>
  <c r="AP71" i="2"/>
  <c r="AS14" i="2"/>
  <c r="AT14" i="2" s="1"/>
  <c r="V72" i="2"/>
  <c r="X71" i="2"/>
  <c r="AA14" i="2"/>
  <c r="AB14" i="2" s="1"/>
  <c r="E71" i="2"/>
  <c r="AN71" i="2"/>
  <c r="AP70" i="2"/>
  <c r="X70" i="2"/>
  <c r="V71" i="2"/>
  <c r="E70" i="2"/>
  <c r="AP69" i="2"/>
  <c r="AN70" i="2"/>
  <c r="X69" i="2"/>
  <c r="V70" i="2"/>
  <c r="E69" i="2"/>
  <c r="AP68" i="2"/>
  <c r="AN69" i="2"/>
  <c r="X68" i="2"/>
  <c r="V69" i="2"/>
  <c r="E68" i="2"/>
  <c r="AN68" i="2"/>
  <c r="AP67" i="2"/>
  <c r="X67" i="2"/>
  <c r="V68" i="2"/>
  <c r="E67" i="2"/>
  <c r="AN67" i="2"/>
  <c r="AP66" i="2"/>
  <c r="V67" i="2"/>
  <c r="X66" i="2"/>
  <c r="E66" i="2"/>
  <c r="AP65" i="2"/>
  <c r="AN66" i="2"/>
  <c r="V66" i="2"/>
  <c r="X65" i="2"/>
  <c r="E65" i="2"/>
  <c r="AN65" i="2"/>
  <c r="AP64" i="2"/>
  <c r="AS13" i="2"/>
  <c r="AT13" i="2" s="1"/>
  <c r="V65" i="2"/>
  <c r="X64" i="2"/>
  <c r="AA13" i="2"/>
  <c r="AB13" i="2" s="1"/>
  <c r="E64" i="2"/>
  <c r="AN64" i="2"/>
  <c r="AP63" i="2"/>
  <c r="AW6" i="2"/>
  <c r="AX6" i="2" s="1"/>
  <c r="V64" i="2"/>
  <c r="X63" i="2"/>
  <c r="AE6" i="2"/>
  <c r="AF6" i="2" s="1"/>
  <c r="D64" i="2"/>
  <c r="F63" i="2"/>
  <c r="BG63" i="2"/>
  <c r="M6" i="2"/>
  <c r="AN63" i="2"/>
  <c r="AP62" i="2"/>
  <c r="X62" i="2"/>
  <c r="V63" i="2"/>
  <c r="E62" i="2"/>
  <c r="AN62" i="2"/>
  <c r="AP61" i="2"/>
  <c r="V62" i="2"/>
  <c r="X61" i="2"/>
  <c r="E61" i="2"/>
  <c r="AN61" i="2"/>
  <c r="AP60" i="2"/>
  <c r="V61" i="2"/>
  <c r="X60" i="2"/>
  <c r="E60" i="2"/>
  <c r="AP59" i="2"/>
  <c r="AN60" i="2"/>
  <c r="X59" i="2"/>
  <c r="V60" i="2"/>
  <c r="E59" i="2"/>
  <c r="AP58" i="2"/>
  <c r="AN59" i="2"/>
  <c r="X58" i="2"/>
  <c r="V59" i="2"/>
  <c r="E58" i="2"/>
  <c r="AP57" i="2"/>
  <c r="AN58" i="2"/>
  <c r="AS12" i="2"/>
  <c r="AT12" i="2" s="1"/>
  <c r="V58" i="2"/>
  <c r="X57" i="2"/>
  <c r="AA12" i="2"/>
  <c r="AB12" i="2" s="1"/>
  <c r="E57" i="2"/>
  <c r="AN57" i="2"/>
  <c r="AP56" i="2"/>
  <c r="V57" i="2"/>
  <c r="X56" i="2"/>
  <c r="E56" i="2"/>
  <c r="AN56" i="2"/>
  <c r="AP55" i="2"/>
  <c r="V56" i="2"/>
  <c r="X55" i="2"/>
  <c r="E55" i="2"/>
  <c r="AN55" i="2"/>
  <c r="AP54" i="2"/>
  <c r="X54" i="2"/>
  <c r="V55" i="2"/>
  <c r="E54" i="2"/>
  <c r="AP53" i="2"/>
  <c r="AN54" i="2"/>
  <c r="X53" i="2"/>
  <c r="V54" i="2"/>
  <c r="E53" i="2"/>
  <c r="AN53" i="2"/>
  <c r="AP52" i="2"/>
  <c r="X52" i="2"/>
  <c r="V53" i="2"/>
  <c r="E52" i="2"/>
  <c r="AN52" i="2"/>
  <c r="AP51" i="2"/>
  <c r="X51" i="2"/>
  <c r="V52" i="2"/>
  <c r="E51" i="2"/>
  <c r="AN51" i="2"/>
  <c r="AP50" i="2"/>
  <c r="AS11" i="2"/>
  <c r="AT11" i="2" s="1"/>
  <c r="V51" i="2"/>
  <c r="X50" i="2"/>
  <c r="AA11" i="2"/>
  <c r="AB11" i="2" s="1"/>
  <c r="E50" i="2"/>
  <c r="AN50" i="2"/>
  <c r="AP49" i="2"/>
  <c r="V50" i="2"/>
  <c r="X49" i="2"/>
  <c r="E49" i="2"/>
  <c r="AN49" i="2"/>
  <c r="AP48" i="2"/>
  <c r="V49" i="2"/>
  <c r="X48" i="2"/>
  <c r="E48" i="2"/>
  <c r="AN48" i="2"/>
  <c r="AP47" i="2"/>
  <c r="V48" i="2"/>
  <c r="X47" i="2"/>
  <c r="E47" i="2"/>
  <c r="AN47" i="2"/>
  <c r="AP46" i="2"/>
  <c r="V47" i="2"/>
  <c r="X46" i="2"/>
  <c r="E46" i="2"/>
  <c r="AN46" i="2"/>
  <c r="AP45" i="2"/>
  <c r="V46" i="2"/>
  <c r="X45" i="2"/>
  <c r="E45" i="2"/>
  <c r="AN45" i="2"/>
  <c r="AP44" i="2"/>
  <c r="V45" i="2"/>
  <c r="X44" i="2"/>
  <c r="E44" i="2"/>
  <c r="AN44" i="2"/>
  <c r="AP43" i="2"/>
  <c r="AS10" i="2"/>
  <c r="AT10" i="2" s="1"/>
  <c r="V44" i="2"/>
  <c r="X43" i="2"/>
  <c r="AA10" i="2"/>
  <c r="AB10" i="2" s="1"/>
  <c r="E43" i="2"/>
  <c r="AN43" i="2"/>
  <c r="AP42" i="2"/>
  <c r="V43" i="2"/>
  <c r="X42" i="2"/>
  <c r="E42" i="2"/>
  <c r="AN42" i="2"/>
  <c r="AP41" i="2"/>
  <c r="V42" i="2"/>
  <c r="X41" i="2"/>
  <c r="E41" i="2"/>
  <c r="AN41" i="2"/>
  <c r="AP40" i="2"/>
  <c r="V41" i="2"/>
  <c r="X40" i="2"/>
  <c r="E40" i="2"/>
  <c r="AN40" i="2"/>
  <c r="AP39" i="2"/>
  <c r="V40" i="2"/>
  <c r="X39" i="2"/>
  <c r="E39" i="2"/>
  <c r="AN39" i="2"/>
  <c r="AP38" i="2"/>
  <c r="V39" i="2"/>
  <c r="X38" i="2"/>
  <c r="E38" i="2"/>
  <c r="AN38" i="2"/>
  <c r="AP37" i="2"/>
  <c r="V38" i="2"/>
  <c r="X37" i="2"/>
  <c r="E37" i="2"/>
  <c r="AN37" i="2"/>
  <c r="AP36" i="2"/>
  <c r="AS9" i="2"/>
  <c r="AT9" i="2" s="1"/>
  <c r="V37" i="2"/>
  <c r="X36" i="2"/>
  <c r="AA9" i="2"/>
  <c r="AB9" i="2" s="1"/>
  <c r="E36" i="2"/>
  <c r="AN36" i="2"/>
  <c r="AP35" i="2"/>
  <c r="AW5" i="2"/>
  <c r="AX5" i="2" s="1"/>
  <c r="V36" i="2"/>
  <c r="X35" i="2"/>
  <c r="AE5" i="2"/>
  <c r="AF5" i="2" s="1"/>
  <c r="D36" i="2"/>
  <c r="F35" i="2"/>
  <c r="BG35" i="2"/>
  <c r="M5" i="2"/>
  <c r="AN35" i="2"/>
  <c r="AP34" i="2"/>
  <c r="V35" i="2"/>
  <c r="X34" i="2"/>
  <c r="E34" i="2"/>
  <c r="AN34" i="2"/>
  <c r="AP33" i="2"/>
  <c r="V34" i="2"/>
  <c r="X33" i="2"/>
  <c r="E33" i="2"/>
  <c r="AN33" i="2"/>
  <c r="AP32" i="2"/>
  <c r="V33" i="2"/>
  <c r="X32" i="2"/>
  <c r="E32" i="2"/>
  <c r="AN32" i="2"/>
  <c r="AP31" i="2"/>
  <c r="V32" i="2"/>
  <c r="X31" i="2"/>
  <c r="E31" i="2"/>
  <c r="AN31" i="2"/>
  <c r="AP30" i="2"/>
  <c r="V31" i="2"/>
  <c r="X30" i="2"/>
  <c r="E30" i="2"/>
  <c r="AN30" i="2"/>
  <c r="AP29" i="2"/>
  <c r="AS8" i="2"/>
  <c r="AT8" i="2" s="1"/>
  <c r="V30" i="2"/>
  <c r="X29" i="2"/>
  <c r="AA8" i="2"/>
  <c r="AB8" i="2" s="1"/>
  <c r="E29" i="2"/>
  <c r="AN29" i="2"/>
  <c r="AP28" i="2"/>
  <c r="V29" i="2"/>
  <c r="X28" i="2"/>
  <c r="E28" i="2"/>
  <c r="AN28" i="2"/>
  <c r="AP27" i="2"/>
  <c r="V28" i="2"/>
  <c r="X27" i="2"/>
  <c r="E27" i="2"/>
  <c r="AN27" i="2"/>
  <c r="AP26" i="2"/>
  <c r="V27" i="2"/>
  <c r="X26" i="2"/>
  <c r="E26" i="2"/>
  <c r="AN26" i="2"/>
  <c r="AP25" i="2"/>
  <c r="V26" i="2"/>
  <c r="X25" i="2"/>
  <c r="E25" i="2"/>
  <c r="AN25" i="2"/>
  <c r="AP24" i="2"/>
  <c r="V25" i="2"/>
  <c r="X24" i="2"/>
  <c r="E24" i="2"/>
  <c r="AN24" i="2"/>
  <c r="AP23" i="2"/>
  <c r="V24" i="2"/>
  <c r="X23" i="2"/>
  <c r="E23" i="2"/>
  <c r="AN23" i="2"/>
  <c r="AP22" i="2"/>
  <c r="AS7" i="2"/>
  <c r="AT7" i="2" s="1"/>
  <c r="V23" i="2"/>
  <c r="X22" i="2"/>
  <c r="AA7" i="2"/>
  <c r="AB7" i="2" s="1"/>
  <c r="E22" i="2"/>
  <c r="AN22" i="2"/>
  <c r="AP21" i="2"/>
  <c r="V22" i="2"/>
  <c r="X21" i="2"/>
  <c r="E21" i="2"/>
  <c r="AN21" i="2"/>
  <c r="AP20" i="2"/>
  <c r="V21" i="2"/>
  <c r="X20" i="2"/>
  <c r="E20" i="2"/>
  <c r="AP19" i="2"/>
  <c r="AN20" i="2"/>
  <c r="V20" i="2"/>
  <c r="X19" i="2"/>
  <c r="E19" i="2"/>
  <c r="AN19" i="2"/>
  <c r="AP18" i="2"/>
  <c r="V19" i="2"/>
  <c r="X18" i="2"/>
  <c r="E18" i="2"/>
  <c r="AN18" i="2"/>
  <c r="AP17" i="2"/>
  <c r="V18" i="2"/>
  <c r="X17" i="2"/>
  <c r="E17" i="2"/>
  <c r="AN17" i="2"/>
  <c r="AP16" i="2"/>
  <c r="V17" i="2"/>
  <c r="X16" i="2"/>
  <c r="E16" i="2"/>
  <c r="AP15" i="2"/>
  <c r="AN16" i="2"/>
  <c r="AS6" i="2"/>
  <c r="AT6" i="2" s="1"/>
  <c r="V16" i="2"/>
  <c r="X15" i="2"/>
  <c r="AA6" i="2"/>
  <c r="AB6" i="2" s="1"/>
  <c r="E15" i="2"/>
  <c r="AN15" i="2"/>
  <c r="AP14" i="2"/>
  <c r="V15" i="2"/>
  <c r="X14" i="2"/>
  <c r="E14" i="2"/>
  <c r="AP13" i="2"/>
  <c r="AN14" i="2"/>
  <c r="V14" i="2"/>
  <c r="X13" i="2"/>
  <c r="E13" i="2"/>
  <c r="AN13" i="2"/>
  <c r="AP12" i="2"/>
  <c r="V13" i="2"/>
  <c r="X12" i="2"/>
  <c r="E12" i="2"/>
  <c r="AP11" i="2"/>
  <c r="AN12" i="2"/>
  <c r="V12" i="2"/>
  <c r="X11" i="2"/>
  <c r="E11" i="2"/>
  <c r="AN11" i="2"/>
  <c r="AP10" i="2"/>
  <c r="V11" i="2"/>
  <c r="X10" i="2"/>
  <c r="E10" i="2"/>
  <c r="AP9" i="2"/>
  <c r="AN10" i="2"/>
  <c r="V10" i="2"/>
  <c r="X9" i="2"/>
  <c r="E9" i="2"/>
  <c r="AP8" i="2"/>
  <c r="AN9" i="2"/>
  <c r="AS5" i="2"/>
  <c r="AT5" i="2" s="1"/>
  <c r="V9" i="2"/>
  <c r="X8" i="2"/>
  <c r="AA5" i="2"/>
  <c r="AB5" i="2" s="1"/>
  <c r="E8" i="2"/>
  <c r="AN8" i="2"/>
  <c r="AP7" i="2"/>
  <c r="V8" i="2"/>
  <c r="X7" i="2"/>
  <c r="E7" i="2"/>
  <c r="AP6" i="2"/>
  <c r="AN7" i="2"/>
  <c r="V7" i="2"/>
  <c r="X6" i="2"/>
  <c r="E6" i="2"/>
  <c r="AN6" i="2"/>
  <c r="AP5" i="2"/>
  <c r="V6" i="2"/>
  <c r="X5" i="2"/>
  <c r="E5" i="2"/>
  <c r="AP4" i="2"/>
  <c r="AN5" i="2"/>
  <c r="AS4" i="2"/>
  <c r="AT4" i="2" s="1"/>
  <c r="BA4" i="2"/>
  <c r="AW4" i="2"/>
  <c r="AX4" i="2" s="1"/>
  <c r="V5" i="2"/>
  <c r="X4" i="2"/>
  <c r="AE4" i="2"/>
  <c r="AF4" i="2" s="1"/>
  <c r="AA4" i="2"/>
  <c r="AB4" i="2" s="1"/>
  <c r="AI4" i="2"/>
  <c r="D5" i="2"/>
  <c r="F4" i="2"/>
  <c r="BG4" i="2"/>
  <c r="I4" i="2"/>
  <c r="M4" i="2"/>
  <c r="BH367" i="1" l="1"/>
  <c r="BF368" i="1"/>
  <c r="BH366" i="1"/>
  <c r="BF367" i="1"/>
  <c r="BH365" i="1"/>
  <c r="BF366" i="1"/>
  <c r="BK56" i="1"/>
  <c r="BL56" i="1" s="1"/>
  <c r="J56" i="1"/>
  <c r="BH364" i="1"/>
  <c r="BF365" i="1"/>
  <c r="BH363" i="1"/>
  <c r="BF364" i="1"/>
  <c r="BH362" i="1"/>
  <c r="BF363" i="1"/>
  <c r="BH361" i="1"/>
  <c r="BF362" i="1"/>
  <c r="BH360" i="1"/>
  <c r="BF361" i="1"/>
  <c r="BH359" i="1"/>
  <c r="BF360" i="1"/>
  <c r="BH358" i="1"/>
  <c r="BF359" i="1"/>
  <c r="BK55" i="1"/>
  <c r="BL55" i="1" s="1"/>
  <c r="J55" i="1"/>
  <c r="BH357" i="1"/>
  <c r="BF358" i="1"/>
  <c r="BH356" i="1"/>
  <c r="BF357" i="1"/>
  <c r="BH355" i="1"/>
  <c r="BF356" i="1"/>
  <c r="BH354" i="1"/>
  <c r="BF355" i="1"/>
  <c r="BH353" i="1"/>
  <c r="BF354" i="1"/>
  <c r="BH352" i="1"/>
  <c r="BF353" i="1"/>
  <c r="BK54" i="1"/>
  <c r="BL54" i="1" s="1"/>
  <c r="J54" i="1"/>
  <c r="BH351" i="1"/>
  <c r="BF352" i="1"/>
  <c r="BH350" i="1"/>
  <c r="BF351" i="1"/>
  <c r="BH349" i="1"/>
  <c r="BF350" i="1"/>
  <c r="BH348" i="1"/>
  <c r="BF349" i="1"/>
  <c r="BH347" i="1"/>
  <c r="BF348" i="1"/>
  <c r="BH346" i="1"/>
  <c r="BF347" i="1"/>
  <c r="BH345" i="1"/>
  <c r="BF346" i="1"/>
  <c r="BK53" i="1"/>
  <c r="BL53" i="1" s="1"/>
  <c r="J53" i="1"/>
  <c r="BH344" i="1"/>
  <c r="BF345" i="1"/>
  <c r="BH343" i="1"/>
  <c r="BF344" i="1"/>
  <c r="BH342" i="1"/>
  <c r="BF343" i="1"/>
  <c r="BH341" i="1"/>
  <c r="BF342" i="1"/>
  <c r="BH340" i="1"/>
  <c r="BF341" i="1"/>
  <c r="BH339" i="1"/>
  <c r="BF340" i="1"/>
  <c r="BO15" i="1"/>
  <c r="BP15" i="1" s="1"/>
  <c r="N15" i="1"/>
  <c r="BH338" i="1"/>
  <c r="BF339" i="1"/>
  <c r="BH337" i="1"/>
  <c r="BF338" i="1"/>
  <c r="BK52" i="1"/>
  <c r="BL52" i="1" s="1"/>
  <c r="J52" i="1"/>
  <c r="BH336" i="1"/>
  <c r="BF337" i="1"/>
  <c r="BH335" i="1"/>
  <c r="BF336" i="1"/>
  <c r="BH334" i="1"/>
  <c r="BF335" i="1"/>
  <c r="BH333" i="1"/>
  <c r="BF334" i="1"/>
  <c r="BH332" i="1"/>
  <c r="BF333" i="1"/>
  <c r="BH331" i="1"/>
  <c r="BF332" i="1"/>
  <c r="BK51" i="1"/>
  <c r="BL51" i="1" s="1"/>
  <c r="J51" i="1"/>
  <c r="BH330" i="1"/>
  <c r="BF331" i="1"/>
  <c r="BH329" i="1"/>
  <c r="BF330" i="1"/>
  <c r="BH328" i="1"/>
  <c r="BF329" i="1"/>
  <c r="BH327" i="1"/>
  <c r="BF328" i="1"/>
  <c r="BH326" i="1"/>
  <c r="BF327" i="1"/>
  <c r="BH325" i="1"/>
  <c r="BF326" i="1"/>
  <c r="BH324" i="1"/>
  <c r="BF325" i="1"/>
  <c r="BH323" i="1"/>
  <c r="BF324" i="1"/>
  <c r="BK50" i="1"/>
  <c r="BL50" i="1" s="1"/>
  <c r="J50" i="1"/>
  <c r="BH322" i="1"/>
  <c r="BF323" i="1"/>
  <c r="BH321" i="1"/>
  <c r="BF322" i="1"/>
  <c r="BH320" i="1"/>
  <c r="BF321" i="1"/>
  <c r="BH319" i="1"/>
  <c r="BF320" i="1"/>
  <c r="BH318" i="1"/>
  <c r="BF319" i="1"/>
  <c r="BH317" i="1"/>
  <c r="BF318" i="1"/>
  <c r="BK49" i="1"/>
  <c r="BL49" i="1" s="1"/>
  <c r="J49" i="1"/>
  <c r="BH316" i="1"/>
  <c r="BF317" i="1"/>
  <c r="BH315" i="1"/>
  <c r="BF316" i="1"/>
  <c r="BH314" i="1"/>
  <c r="BF315" i="1"/>
  <c r="BH313" i="1"/>
  <c r="BF314" i="1"/>
  <c r="BH312" i="1"/>
  <c r="BF313" i="1"/>
  <c r="BH311" i="1"/>
  <c r="BF312" i="1"/>
  <c r="BH310" i="1"/>
  <c r="BF311" i="1"/>
  <c r="BH309" i="1"/>
  <c r="BF310" i="1"/>
  <c r="BK48" i="1"/>
  <c r="BL48" i="1" s="1"/>
  <c r="J48" i="1"/>
  <c r="BO14" i="1"/>
  <c r="BP14" i="1" s="1"/>
  <c r="N14" i="1"/>
  <c r="BH308" i="1"/>
  <c r="BF309" i="1"/>
  <c r="BH307" i="1"/>
  <c r="BF308" i="1"/>
  <c r="BH306" i="1"/>
  <c r="BF307" i="1"/>
  <c r="BH305" i="1"/>
  <c r="BF306" i="1"/>
  <c r="BH304" i="1"/>
  <c r="BF305" i="1"/>
  <c r="BH303" i="1"/>
  <c r="BF304" i="1"/>
  <c r="BK47" i="1"/>
  <c r="BL47" i="1" s="1"/>
  <c r="J47" i="1"/>
  <c r="BH302" i="1"/>
  <c r="BF303" i="1"/>
  <c r="BH301" i="1"/>
  <c r="BF302" i="1"/>
  <c r="BH300" i="1"/>
  <c r="BF301" i="1"/>
  <c r="BH299" i="1"/>
  <c r="BF300" i="1"/>
  <c r="BH298" i="1"/>
  <c r="BF299" i="1"/>
  <c r="BH297" i="1"/>
  <c r="BF298" i="1"/>
  <c r="BH296" i="1"/>
  <c r="BF297" i="1"/>
  <c r="BH295" i="1"/>
  <c r="BF296" i="1"/>
  <c r="BK46" i="1"/>
  <c r="BL46" i="1" s="1"/>
  <c r="J46" i="1"/>
  <c r="BH294" i="1"/>
  <c r="BF295" i="1"/>
  <c r="BH293" i="1"/>
  <c r="BF294" i="1"/>
  <c r="BH292" i="1"/>
  <c r="BF293" i="1"/>
  <c r="BH291" i="1"/>
  <c r="BF292" i="1"/>
  <c r="BH290" i="1"/>
  <c r="BF291" i="1"/>
  <c r="BH289" i="1"/>
  <c r="BF290" i="1"/>
  <c r="BH288" i="1"/>
  <c r="BF289" i="1"/>
  <c r="BK45" i="1"/>
  <c r="BL45" i="1" s="1"/>
  <c r="J45" i="1"/>
  <c r="BH287" i="1"/>
  <c r="BF288" i="1"/>
  <c r="BH286" i="1"/>
  <c r="BF287" i="1"/>
  <c r="BH285" i="1"/>
  <c r="BF286" i="1"/>
  <c r="BH284" i="1"/>
  <c r="BF285" i="1"/>
  <c r="BH283" i="1"/>
  <c r="BF284" i="1"/>
  <c r="BH282" i="1"/>
  <c r="BF283" i="1"/>
  <c r="BK44" i="1"/>
  <c r="BL44" i="1" s="1"/>
  <c r="J44" i="1"/>
  <c r="BH281" i="1"/>
  <c r="BF282" i="1"/>
  <c r="BH280" i="1"/>
  <c r="BF281" i="1"/>
  <c r="BH279" i="1"/>
  <c r="BF280" i="1"/>
  <c r="BH278" i="1"/>
  <c r="BF279" i="1"/>
  <c r="BO13" i="1"/>
  <c r="BP13" i="1" s="1"/>
  <c r="N13" i="1"/>
  <c r="BH277" i="1"/>
  <c r="BF278" i="1"/>
  <c r="BH276" i="1"/>
  <c r="BF277" i="1"/>
  <c r="BH275" i="1"/>
  <c r="BF276" i="1"/>
  <c r="BH274" i="1"/>
  <c r="BF275" i="1"/>
  <c r="BK43" i="1"/>
  <c r="BL43" i="1" s="1"/>
  <c r="J43" i="1"/>
  <c r="BH273" i="1"/>
  <c r="BF274" i="1"/>
  <c r="BH272" i="1"/>
  <c r="BF273" i="1"/>
  <c r="BH271" i="1"/>
  <c r="BF272" i="1"/>
  <c r="BH270" i="1"/>
  <c r="BF271" i="1"/>
  <c r="BH269" i="1"/>
  <c r="BF270" i="1"/>
  <c r="BH268" i="1"/>
  <c r="BF269" i="1"/>
  <c r="BK42" i="1"/>
  <c r="BL42" i="1" s="1"/>
  <c r="J42" i="1"/>
  <c r="BH267" i="1"/>
  <c r="BF268" i="1"/>
  <c r="BH266" i="1"/>
  <c r="BF267" i="1"/>
  <c r="BH265" i="1"/>
  <c r="BF266" i="1"/>
  <c r="BH264" i="1"/>
  <c r="BF265" i="1"/>
  <c r="BH263" i="1"/>
  <c r="BF264" i="1"/>
  <c r="BH262" i="1"/>
  <c r="BF263" i="1"/>
  <c r="BH261" i="1"/>
  <c r="BF262" i="1"/>
  <c r="BH260" i="1"/>
  <c r="BF261" i="1"/>
  <c r="BK41" i="1"/>
  <c r="BL41" i="1" s="1"/>
  <c r="J41" i="1"/>
  <c r="BH259" i="1"/>
  <c r="BF260" i="1"/>
  <c r="BH258" i="1"/>
  <c r="BF259" i="1"/>
  <c r="BH257" i="1"/>
  <c r="BF258" i="1"/>
  <c r="BH256" i="1"/>
  <c r="BF257" i="1"/>
  <c r="BH255" i="1"/>
  <c r="BF256" i="1"/>
  <c r="BH254" i="1"/>
  <c r="BF255" i="1"/>
  <c r="BK40" i="1"/>
  <c r="BL40" i="1" s="1"/>
  <c r="J40" i="1"/>
  <c r="BH253" i="1"/>
  <c r="BF254" i="1"/>
  <c r="BH252" i="1"/>
  <c r="BF253" i="1"/>
  <c r="BH251" i="1"/>
  <c r="BF252" i="1"/>
  <c r="BH250" i="1"/>
  <c r="BF251" i="1"/>
  <c r="BH249" i="1"/>
  <c r="BF250" i="1"/>
  <c r="BH248" i="1"/>
  <c r="BF249" i="1"/>
  <c r="BO12" i="1"/>
  <c r="BP12" i="1" s="1"/>
  <c r="N12" i="1"/>
  <c r="BH247" i="1"/>
  <c r="BF248" i="1"/>
  <c r="BH246" i="1"/>
  <c r="BF247" i="1"/>
  <c r="BK39" i="1"/>
  <c r="BL39" i="1" s="1"/>
  <c r="J39" i="1"/>
  <c r="BH245" i="1"/>
  <c r="BF246" i="1"/>
  <c r="BH244" i="1"/>
  <c r="BF245" i="1"/>
  <c r="BH243" i="1"/>
  <c r="BF244" i="1"/>
  <c r="BH242" i="1"/>
  <c r="BF243" i="1"/>
  <c r="BH241" i="1"/>
  <c r="BF242" i="1"/>
  <c r="BH240" i="1"/>
  <c r="BF241" i="1"/>
  <c r="BK38" i="1"/>
  <c r="BL38" i="1" s="1"/>
  <c r="J38" i="1"/>
  <c r="BH239" i="1"/>
  <c r="BF240" i="1"/>
  <c r="BH238" i="1"/>
  <c r="BF239" i="1"/>
  <c r="BH237" i="1"/>
  <c r="BF238" i="1"/>
  <c r="BH236" i="1"/>
  <c r="BF237" i="1"/>
  <c r="BH235" i="1"/>
  <c r="BF236" i="1"/>
  <c r="BH234" i="1"/>
  <c r="BF235" i="1"/>
  <c r="BH233" i="1"/>
  <c r="BF234" i="1"/>
  <c r="BH232" i="1"/>
  <c r="BF233" i="1"/>
  <c r="BK37" i="1"/>
  <c r="BL37" i="1" s="1"/>
  <c r="J37" i="1"/>
  <c r="BH231" i="1"/>
  <c r="BF232" i="1"/>
  <c r="BH230" i="1"/>
  <c r="BF231" i="1"/>
  <c r="BH229" i="1"/>
  <c r="BF230" i="1"/>
  <c r="BH228" i="1"/>
  <c r="BF229" i="1"/>
  <c r="BH227" i="1"/>
  <c r="BF228" i="1"/>
  <c r="BH226" i="1"/>
  <c r="BF227" i="1"/>
  <c r="BK36" i="1"/>
  <c r="BL36" i="1" s="1"/>
  <c r="J36" i="1"/>
  <c r="BH225" i="1"/>
  <c r="BF226" i="1"/>
  <c r="BH224" i="1"/>
  <c r="BF225" i="1"/>
  <c r="BH223" i="1"/>
  <c r="BF224" i="1"/>
  <c r="BH222" i="1"/>
  <c r="BF223" i="1"/>
  <c r="BH221" i="1"/>
  <c r="BF222" i="1"/>
  <c r="BH220" i="1"/>
  <c r="BF221" i="1"/>
  <c r="BH219" i="1"/>
  <c r="BF220" i="1"/>
  <c r="J35" i="1"/>
  <c r="BK35" i="1"/>
  <c r="BL35" i="1" s="1"/>
  <c r="BH218" i="1"/>
  <c r="BF219" i="1"/>
  <c r="BH217" i="1"/>
  <c r="BF218" i="1"/>
  <c r="BO11" i="1"/>
  <c r="BP11" i="1" s="1"/>
  <c r="N11" i="1"/>
  <c r="BH216" i="1"/>
  <c r="BF217" i="1"/>
  <c r="BH215" i="1"/>
  <c r="BF216" i="1"/>
  <c r="BH214" i="1"/>
  <c r="BF215" i="1"/>
  <c r="BH213" i="1"/>
  <c r="BF214" i="1"/>
  <c r="BH212" i="1"/>
  <c r="BF213" i="1"/>
  <c r="BH211" i="1"/>
  <c r="BF212" i="1"/>
  <c r="J34" i="1"/>
  <c r="BK34" i="1"/>
  <c r="BL34" i="1" s="1"/>
  <c r="BH210" i="1"/>
  <c r="BF211" i="1"/>
  <c r="BH209" i="1"/>
  <c r="BF210" i="1"/>
  <c r="BH208" i="1"/>
  <c r="BF209" i="1"/>
  <c r="BH207" i="1"/>
  <c r="BF208" i="1"/>
  <c r="BH206" i="1"/>
  <c r="BF207" i="1"/>
  <c r="BH205" i="1"/>
  <c r="BF206" i="1"/>
  <c r="J33" i="1"/>
  <c r="BK33" i="1"/>
  <c r="BL33" i="1" s="1"/>
  <c r="BH204" i="1"/>
  <c r="BF205" i="1"/>
  <c r="BH203" i="1"/>
  <c r="BF204" i="1"/>
  <c r="BH202" i="1"/>
  <c r="BF203" i="1"/>
  <c r="BH201" i="1"/>
  <c r="BF202" i="1"/>
  <c r="BH200" i="1"/>
  <c r="BF201" i="1"/>
  <c r="BH199" i="1"/>
  <c r="BF200" i="1"/>
  <c r="BH198" i="1"/>
  <c r="BF199" i="1"/>
  <c r="J32" i="1"/>
  <c r="BK32" i="1"/>
  <c r="BL32" i="1" s="1"/>
  <c r="BH197" i="1"/>
  <c r="BF198" i="1"/>
  <c r="BH196" i="1"/>
  <c r="BF197" i="1"/>
  <c r="BH195" i="1"/>
  <c r="BF196" i="1"/>
  <c r="BH194" i="1"/>
  <c r="BF195" i="1"/>
  <c r="BH193" i="1"/>
  <c r="BF194" i="1"/>
  <c r="BH192" i="1"/>
  <c r="BF193" i="1"/>
  <c r="BH191" i="1"/>
  <c r="BF192" i="1"/>
  <c r="J31" i="1"/>
  <c r="BK31" i="1"/>
  <c r="BL31" i="1" s="1"/>
  <c r="BH190" i="1"/>
  <c r="BF191" i="1"/>
  <c r="BH189" i="1"/>
  <c r="BF190" i="1"/>
  <c r="BH188" i="1"/>
  <c r="BF189" i="1"/>
  <c r="BH187" i="1"/>
  <c r="BF188" i="1"/>
  <c r="BH186" i="1"/>
  <c r="BF187" i="1"/>
  <c r="BO10" i="1"/>
  <c r="BP10" i="1" s="1"/>
  <c r="N10" i="1"/>
  <c r="BH185" i="1"/>
  <c r="BF186" i="1"/>
  <c r="BH184" i="1"/>
  <c r="BF185" i="1"/>
  <c r="J30" i="1"/>
  <c r="BK30" i="1"/>
  <c r="BL30" i="1" s="1"/>
  <c r="BH183" i="1"/>
  <c r="BF184" i="1"/>
  <c r="BH182" i="1"/>
  <c r="BF183" i="1"/>
  <c r="BH181" i="1"/>
  <c r="BF182" i="1"/>
  <c r="BH180" i="1"/>
  <c r="BF181" i="1"/>
  <c r="BH179" i="1"/>
  <c r="BF180" i="1"/>
  <c r="BH178" i="1"/>
  <c r="BF179" i="1"/>
  <c r="BH177" i="1"/>
  <c r="BF178" i="1"/>
  <c r="J29" i="1"/>
  <c r="BK29" i="1"/>
  <c r="BL29" i="1" s="1"/>
  <c r="BH176" i="1"/>
  <c r="BF177" i="1"/>
  <c r="BH175" i="1"/>
  <c r="BF176" i="1"/>
  <c r="BH174" i="1"/>
  <c r="BF175" i="1"/>
  <c r="BH173" i="1"/>
  <c r="BF174" i="1"/>
  <c r="BH172" i="1"/>
  <c r="BF173" i="1"/>
  <c r="BH171" i="1"/>
  <c r="BF172" i="1"/>
  <c r="BH170" i="1"/>
  <c r="BF171" i="1"/>
  <c r="J28" i="1"/>
  <c r="BK28" i="1"/>
  <c r="BL28" i="1" s="1"/>
  <c r="BH169" i="1"/>
  <c r="BF170" i="1"/>
  <c r="BH168" i="1"/>
  <c r="BF169" i="1"/>
  <c r="BH167" i="1"/>
  <c r="BF168" i="1"/>
  <c r="BH166" i="1"/>
  <c r="BF167" i="1"/>
  <c r="BH165" i="1"/>
  <c r="BF166" i="1"/>
  <c r="BH164" i="1"/>
  <c r="BF165" i="1"/>
  <c r="BH163" i="1"/>
  <c r="BF164" i="1"/>
  <c r="J27" i="1"/>
  <c r="BK27" i="1"/>
  <c r="BL27" i="1" s="1"/>
  <c r="BH162" i="1"/>
  <c r="BF163" i="1"/>
  <c r="BH161" i="1"/>
  <c r="BF162" i="1"/>
  <c r="BH160" i="1"/>
  <c r="BF161" i="1"/>
  <c r="BH159" i="1"/>
  <c r="BF160" i="1"/>
  <c r="BH158" i="1"/>
  <c r="BF159" i="1"/>
  <c r="BH157" i="1"/>
  <c r="BF158" i="1"/>
  <c r="BH156" i="1"/>
  <c r="BF157" i="1"/>
  <c r="J26" i="1"/>
  <c r="BK26" i="1"/>
  <c r="BL26" i="1" s="1"/>
  <c r="BH155" i="1"/>
  <c r="BF156" i="1"/>
  <c r="N9" i="1"/>
  <c r="BO9" i="1"/>
  <c r="BP9" i="1" s="1"/>
  <c r="BH154" i="1"/>
  <c r="BF155" i="1"/>
  <c r="BH153" i="1"/>
  <c r="BF154" i="1"/>
  <c r="BH152" i="1"/>
  <c r="BF153" i="1"/>
  <c r="BH151" i="1"/>
  <c r="BF152" i="1"/>
  <c r="BH150" i="1"/>
  <c r="BF151" i="1"/>
  <c r="BH149" i="1"/>
  <c r="BF150" i="1"/>
  <c r="BH148" i="1"/>
  <c r="BF149" i="1"/>
  <c r="J25" i="1"/>
  <c r="BK25" i="1"/>
  <c r="BL25" i="1" s="1"/>
  <c r="BH147" i="1"/>
  <c r="BF148" i="1"/>
  <c r="BH146" i="1"/>
  <c r="BF147" i="1"/>
  <c r="BH145" i="1"/>
  <c r="BF146" i="1"/>
  <c r="BH144" i="1"/>
  <c r="BF145" i="1"/>
  <c r="BH143" i="1"/>
  <c r="BF144" i="1"/>
  <c r="BH142" i="1"/>
  <c r="BF143" i="1"/>
  <c r="J24" i="1"/>
  <c r="BK24" i="1"/>
  <c r="BL24" i="1" s="1"/>
  <c r="BH141" i="1"/>
  <c r="BF142" i="1"/>
  <c r="BH140" i="1"/>
  <c r="BF141" i="1"/>
  <c r="BH139" i="1"/>
  <c r="BF140" i="1"/>
  <c r="BH138" i="1"/>
  <c r="BF139" i="1"/>
  <c r="BH137" i="1"/>
  <c r="BF138" i="1"/>
  <c r="BH136" i="1"/>
  <c r="BF137" i="1"/>
  <c r="BH135" i="1"/>
  <c r="BF136" i="1"/>
  <c r="J23" i="1"/>
  <c r="BK23" i="1"/>
  <c r="BL23" i="1" s="1"/>
  <c r="BH134" i="1"/>
  <c r="BF135" i="1"/>
  <c r="BH133" i="1"/>
  <c r="BF134" i="1"/>
  <c r="BH132" i="1"/>
  <c r="BF133" i="1"/>
  <c r="BH131" i="1"/>
  <c r="BF132" i="1"/>
  <c r="BH130" i="1"/>
  <c r="BF131" i="1"/>
  <c r="BH129" i="1"/>
  <c r="BF130" i="1"/>
  <c r="BH128" i="1"/>
  <c r="BF129" i="1"/>
  <c r="J22" i="1"/>
  <c r="BK22" i="1"/>
  <c r="BL22" i="1" s="1"/>
  <c r="BH127" i="1"/>
  <c r="BF128" i="1"/>
  <c r="BH126" i="1"/>
  <c r="BF127" i="1"/>
  <c r="BH125" i="1"/>
  <c r="BF126" i="1"/>
  <c r="BH124" i="1"/>
  <c r="BF125" i="1"/>
  <c r="N8" i="1"/>
  <c r="BO8" i="1"/>
  <c r="BP8" i="1" s="1"/>
  <c r="BH123" i="1"/>
  <c r="BF124" i="1"/>
  <c r="BH122" i="1"/>
  <c r="BF123" i="1"/>
  <c r="BH121" i="1"/>
  <c r="BF122" i="1"/>
  <c r="BH120" i="1"/>
  <c r="BF121" i="1"/>
  <c r="J21" i="1"/>
  <c r="BK21" i="1"/>
  <c r="BL21" i="1" s="1"/>
  <c r="BH119" i="1"/>
  <c r="BF120" i="1"/>
  <c r="BH118" i="1"/>
  <c r="BF119" i="1"/>
  <c r="BH117" i="1"/>
  <c r="BF118" i="1"/>
  <c r="BH116" i="1"/>
  <c r="BF117" i="1"/>
  <c r="BH115" i="1"/>
  <c r="BF116" i="1"/>
  <c r="BH114" i="1"/>
  <c r="BF115" i="1"/>
  <c r="BH113" i="1"/>
  <c r="BF114" i="1"/>
  <c r="J20" i="1"/>
  <c r="BK20" i="1"/>
  <c r="BL20" i="1" s="1"/>
  <c r="BH112" i="1"/>
  <c r="BF113" i="1"/>
  <c r="BH111" i="1"/>
  <c r="BF112" i="1"/>
  <c r="BH110" i="1"/>
  <c r="BF111" i="1"/>
  <c r="BH109" i="1"/>
  <c r="BF110" i="1"/>
  <c r="BH108" i="1"/>
  <c r="BF109" i="1"/>
  <c r="BH107" i="1"/>
  <c r="BF108" i="1"/>
  <c r="J19" i="1"/>
  <c r="BK19" i="1"/>
  <c r="BL19" i="1" s="1"/>
  <c r="BH106" i="1"/>
  <c r="BF107" i="1"/>
  <c r="BH105" i="1"/>
  <c r="BF106" i="1"/>
  <c r="BH104" i="1"/>
  <c r="BF105" i="1"/>
  <c r="BH103" i="1"/>
  <c r="BF104" i="1"/>
  <c r="BH102" i="1"/>
  <c r="BF103" i="1"/>
  <c r="BH101" i="1"/>
  <c r="BF102" i="1"/>
  <c r="BH100" i="1"/>
  <c r="BF101" i="1"/>
  <c r="BH99" i="1"/>
  <c r="BF100" i="1"/>
  <c r="J18" i="1"/>
  <c r="BK18" i="1"/>
  <c r="BL18" i="1" s="1"/>
  <c r="BH98" i="1"/>
  <c r="BF99" i="1"/>
  <c r="BH97" i="1"/>
  <c r="BF98" i="1"/>
  <c r="BH96" i="1"/>
  <c r="BF97" i="1"/>
  <c r="BH95" i="1"/>
  <c r="BF96" i="1"/>
  <c r="BH94" i="1"/>
  <c r="BF95" i="1"/>
  <c r="N7" i="1"/>
  <c r="BO7" i="1"/>
  <c r="BP7" i="1" s="1"/>
  <c r="BH93" i="1"/>
  <c r="BF94" i="1"/>
  <c r="J17" i="1"/>
  <c r="BK17" i="1"/>
  <c r="BL17" i="1" s="1"/>
  <c r="BH92" i="1"/>
  <c r="BF93" i="1"/>
  <c r="BH91" i="1"/>
  <c r="BF92" i="1"/>
  <c r="BH90" i="1"/>
  <c r="BF91" i="1"/>
  <c r="BH89" i="1"/>
  <c r="BF90" i="1"/>
  <c r="BH88" i="1"/>
  <c r="BF89" i="1"/>
  <c r="BH87" i="1"/>
  <c r="BF88" i="1"/>
  <c r="BH86" i="1"/>
  <c r="BF87" i="1"/>
  <c r="BH85" i="1"/>
  <c r="BF86" i="1"/>
  <c r="J16" i="1"/>
  <c r="BK16" i="1"/>
  <c r="BL16" i="1" s="1"/>
  <c r="BH84" i="1"/>
  <c r="BF85" i="1"/>
  <c r="BH83" i="1"/>
  <c r="BF84" i="1"/>
  <c r="BH82" i="1"/>
  <c r="BF83" i="1"/>
  <c r="BH81" i="1"/>
  <c r="BF82" i="1"/>
  <c r="BH80" i="1"/>
  <c r="BF81" i="1"/>
  <c r="BH79" i="1"/>
  <c r="BF80" i="1"/>
  <c r="BH78" i="1"/>
  <c r="BF79" i="1"/>
  <c r="J15" i="1"/>
  <c r="BK15" i="1"/>
  <c r="BL15" i="1" s="1"/>
  <c r="BH77" i="1"/>
  <c r="BF78" i="1"/>
  <c r="BH76" i="1"/>
  <c r="BF77" i="1"/>
  <c r="BH75" i="1"/>
  <c r="BF76" i="1"/>
  <c r="BH74" i="1"/>
  <c r="BF75" i="1"/>
  <c r="BH73" i="1"/>
  <c r="BF74" i="1"/>
  <c r="BH72" i="1"/>
  <c r="BF73" i="1"/>
  <c r="J14" i="1"/>
  <c r="BK14" i="1"/>
  <c r="BL14" i="1" s="1"/>
  <c r="BH71" i="1"/>
  <c r="BF72" i="1"/>
  <c r="BH70" i="1"/>
  <c r="BF71" i="1"/>
  <c r="BH69" i="1"/>
  <c r="BF70" i="1"/>
  <c r="BH68" i="1"/>
  <c r="BF69" i="1"/>
  <c r="BH67" i="1"/>
  <c r="BF68" i="1"/>
  <c r="BH66" i="1"/>
  <c r="BF67" i="1"/>
  <c r="BH65" i="1"/>
  <c r="BF66" i="1"/>
  <c r="J13" i="1"/>
  <c r="BK13" i="1"/>
  <c r="BL13" i="1" s="1"/>
  <c r="BH64" i="1"/>
  <c r="BF65" i="1"/>
  <c r="BO6" i="1"/>
  <c r="BP6" i="1" s="1"/>
  <c r="N6" i="1"/>
  <c r="BH63" i="1"/>
  <c r="BF64" i="1"/>
  <c r="BH62" i="1"/>
  <c r="BF63" i="1"/>
  <c r="BH61" i="1"/>
  <c r="BF62" i="1"/>
  <c r="BH60" i="1"/>
  <c r="BF61" i="1"/>
  <c r="BH59" i="1"/>
  <c r="BF60" i="1"/>
  <c r="BH58" i="1"/>
  <c r="BF59" i="1"/>
  <c r="BH57" i="1"/>
  <c r="BF58" i="1"/>
  <c r="J12" i="1"/>
  <c r="BK12" i="1"/>
  <c r="BL12" i="1" s="1"/>
  <c r="BH56" i="1"/>
  <c r="BF57" i="1"/>
  <c r="BH55" i="1"/>
  <c r="BF56" i="1"/>
  <c r="BH54" i="1"/>
  <c r="BF55" i="1"/>
  <c r="BH53" i="1"/>
  <c r="BF54" i="1"/>
  <c r="BH52" i="1"/>
  <c r="BF53" i="1"/>
  <c r="BH51" i="1"/>
  <c r="BF52" i="1"/>
  <c r="J11" i="1"/>
  <c r="BK11" i="1"/>
  <c r="BL11" i="1" s="1"/>
  <c r="BH50" i="1"/>
  <c r="BF51" i="1"/>
  <c r="BH49" i="1"/>
  <c r="BF50" i="1"/>
  <c r="BH48" i="1"/>
  <c r="BF49" i="1"/>
  <c r="BH47" i="1"/>
  <c r="BF48" i="1"/>
  <c r="BH46" i="1"/>
  <c r="BF47" i="1"/>
  <c r="BH45" i="1"/>
  <c r="BF46" i="1"/>
  <c r="BH44" i="1"/>
  <c r="BF45" i="1"/>
  <c r="J10" i="1"/>
  <c r="BK10" i="1"/>
  <c r="BL10" i="1" s="1"/>
  <c r="BH43" i="1"/>
  <c r="BF44" i="1"/>
  <c r="BH42" i="1"/>
  <c r="BF43" i="1"/>
  <c r="BH41" i="1"/>
  <c r="BF42" i="1"/>
  <c r="BH40" i="1"/>
  <c r="BF41" i="1"/>
  <c r="BH39" i="1"/>
  <c r="BF40" i="1"/>
  <c r="BH38" i="1"/>
  <c r="BF39" i="1"/>
  <c r="BH37" i="1"/>
  <c r="BF38" i="1"/>
  <c r="J9" i="1"/>
  <c r="BK9" i="1"/>
  <c r="BL9" i="1" s="1"/>
  <c r="BH36" i="1"/>
  <c r="BF37" i="1"/>
  <c r="BH35" i="1"/>
  <c r="BF36" i="1"/>
  <c r="BO5" i="1"/>
  <c r="BP5" i="1" s="1"/>
  <c r="N5" i="1"/>
  <c r="BH34" i="1"/>
  <c r="BF35" i="1"/>
  <c r="BH33" i="1"/>
  <c r="BF34" i="1"/>
  <c r="BH32" i="1"/>
  <c r="BF33" i="1"/>
  <c r="BH31" i="1"/>
  <c r="BF32" i="1"/>
  <c r="BH30" i="1"/>
  <c r="BF31" i="1"/>
  <c r="BH29" i="1"/>
  <c r="BF30" i="1"/>
  <c r="J8" i="1"/>
  <c r="BK8" i="1"/>
  <c r="BL8" i="1" s="1"/>
  <c r="BH28" i="1"/>
  <c r="BF29" i="1"/>
  <c r="BH27" i="1"/>
  <c r="BF28" i="1"/>
  <c r="BH26" i="1"/>
  <c r="BF27" i="1"/>
  <c r="BH25" i="1"/>
  <c r="BF26" i="1"/>
  <c r="BH24" i="1"/>
  <c r="BF25" i="1"/>
  <c r="BH23" i="1"/>
  <c r="BF24" i="1"/>
  <c r="J7" i="1"/>
  <c r="BK7" i="1"/>
  <c r="BL7" i="1" s="1"/>
  <c r="BH22" i="1"/>
  <c r="BF23" i="1"/>
  <c r="BH21" i="1"/>
  <c r="BF22" i="1"/>
  <c r="BH20" i="1"/>
  <c r="BF21" i="1"/>
  <c r="BH19" i="1"/>
  <c r="BF20" i="1"/>
  <c r="BH18" i="1"/>
  <c r="BF19" i="1"/>
  <c r="BH17" i="1"/>
  <c r="BF18" i="1"/>
  <c r="BH16" i="1"/>
  <c r="BF17" i="1"/>
  <c r="J6" i="1"/>
  <c r="BK6" i="1"/>
  <c r="BL6" i="1" s="1"/>
  <c r="BH15" i="1"/>
  <c r="BF16" i="1"/>
  <c r="BH14" i="1"/>
  <c r="BF15" i="1"/>
  <c r="BH13" i="1"/>
  <c r="BF14" i="1"/>
  <c r="BH12" i="1"/>
  <c r="BF13" i="1"/>
  <c r="BH11" i="1"/>
  <c r="BF12" i="1"/>
  <c r="BH10" i="1"/>
  <c r="BF11" i="1"/>
  <c r="BH9" i="1"/>
  <c r="BF10" i="1"/>
  <c r="BH8" i="1"/>
  <c r="BF9" i="1"/>
  <c r="J5" i="1"/>
  <c r="BK5" i="1"/>
  <c r="BL5" i="1" s="1"/>
  <c r="BH7" i="1"/>
  <c r="BF8" i="1"/>
  <c r="BH6" i="1"/>
  <c r="BF7" i="1"/>
  <c r="BH5" i="1"/>
  <c r="BF6" i="1"/>
  <c r="N4" i="1"/>
  <c r="BO4" i="1"/>
  <c r="BP4" i="1" s="1"/>
  <c r="BF5" i="1"/>
  <c r="BH4" i="1"/>
  <c r="R4" i="1"/>
  <c r="BS4" i="1"/>
  <c r="BT4" i="1" s="1"/>
  <c r="J4" i="1"/>
  <c r="BK4" i="1"/>
  <c r="BL4" i="1" s="1"/>
  <c r="F367" i="2"/>
  <c r="BG367" i="2"/>
  <c r="D368" i="2"/>
  <c r="D367" i="2"/>
  <c r="F366" i="2"/>
  <c r="BG366" i="2"/>
  <c r="D366" i="2"/>
  <c r="F365" i="2"/>
  <c r="BG365" i="2"/>
  <c r="I56" i="2"/>
  <c r="D365" i="2"/>
  <c r="F364" i="2"/>
  <c r="BG364" i="2"/>
  <c r="D364" i="2"/>
  <c r="F363" i="2"/>
  <c r="BG363" i="2"/>
  <c r="D363" i="2"/>
  <c r="F362" i="2"/>
  <c r="BG362" i="2"/>
  <c r="D362" i="2"/>
  <c r="F361" i="2"/>
  <c r="BG361" i="2"/>
  <c r="D361" i="2"/>
  <c r="F360" i="2"/>
  <c r="BG360" i="2"/>
  <c r="F359" i="2"/>
  <c r="BG359" i="2"/>
  <c r="D360" i="2"/>
  <c r="F358" i="2"/>
  <c r="BG358" i="2"/>
  <c r="D359" i="2"/>
  <c r="I55" i="2"/>
  <c r="F357" i="2"/>
  <c r="BG357" i="2"/>
  <c r="D358" i="2"/>
  <c r="D357" i="2"/>
  <c r="F356" i="2"/>
  <c r="BG356" i="2"/>
  <c r="D356" i="2"/>
  <c r="F355" i="2"/>
  <c r="BG355" i="2"/>
  <c r="D355" i="2"/>
  <c r="F354" i="2"/>
  <c r="BG354" i="2"/>
  <c r="D354" i="2"/>
  <c r="F353" i="2"/>
  <c r="BG353" i="2"/>
  <c r="D353" i="2"/>
  <c r="F352" i="2"/>
  <c r="BG352" i="2"/>
  <c r="D352" i="2"/>
  <c r="F351" i="2"/>
  <c r="BG351" i="2"/>
  <c r="I54" i="2"/>
  <c r="D351" i="2"/>
  <c r="F350" i="2"/>
  <c r="BG350" i="2"/>
  <c r="D350" i="2"/>
  <c r="F349" i="2"/>
  <c r="BG349" i="2"/>
  <c r="F348" i="2"/>
  <c r="BG348" i="2"/>
  <c r="D349" i="2"/>
  <c r="F347" i="2"/>
  <c r="BG347" i="2"/>
  <c r="D348" i="2"/>
  <c r="D347" i="2"/>
  <c r="BG346" i="2"/>
  <c r="F346" i="2"/>
  <c r="F345" i="2"/>
  <c r="D346" i="2"/>
  <c r="BG345" i="2"/>
  <c r="BG344" i="2"/>
  <c r="F344" i="2"/>
  <c r="D345" i="2"/>
  <c r="I53" i="2"/>
  <c r="D344" i="2"/>
  <c r="F343" i="2"/>
  <c r="BG343" i="2"/>
  <c r="D343" i="2"/>
  <c r="F342" i="2"/>
  <c r="BG342" i="2"/>
  <c r="D342" i="2"/>
  <c r="BG341" i="2"/>
  <c r="F341" i="2"/>
  <c r="D341" i="2"/>
  <c r="F340" i="2"/>
  <c r="BG340" i="2"/>
  <c r="D340" i="2"/>
  <c r="F339" i="2"/>
  <c r="BG339" i="2"/>
  <c r="BH338" i="2"/>
  <c r="BF339" i="2"/>
  <c r="N15" i="2"/>
  <c r="BO15" i="2"/>
  <c r="BP15" i="2" s="1"/>
  <c r="D338" i="2"/>
  <c r="BG337" i="2"/>
  <c r="F337" i="2"/>
  <c r="I52" i="2"/>
  <c r="F336" i="2"/>
  <c r="D337" i="2"/>
  <c r="BG336" i="2"/>
  <c r="BG335" i="2"/>
  <c r="F335" i="2"/>
  <c r="D336" i="2"/>
  <c r="D335" i="2"/>
  <c r="F334" i="2"/>
  <c r="BG334" i="2"/>
  <c r="F333" i="2"/>
  <c r="BG333" i="2"/>
  <c r="D334" i="2"/>
  <c r="D333" i="2"/>
  <c r="F332" i="2"/>
  <c r="BG332" i="2"/>
  <c r="BG331" i="2"/>
  <c r="F331" i="2"/>
  <c r="D332" i="2"/>
  <c r="F330" i="2"/>
  <c r="BG330" i="2"/>
  <c r="D331" i="2"/>
  <c r="I51" i="2"/>
  <c r="BG329" i="2"/>
  <c r="F329" i="2"/>
  <c r="D330" i="2"/>
  <c r="BG328" i="2"/>
  <c r="F328" i="2"/>
  <c r="D329" i="2"/>
  <c r="F327" i="2"/>
  <c r="BG327" i="2"/>
  <c r="D328" i="2"/>
  <c r="F326" i="2"/>
  <c r="BG326" i="2"/>
  <c r="D327" i="2"/>
  <c r="D326" i="2"/>
  <c r="F325" i="2"/>
  <c r="BG325" i="2"/>
  <c r="BG324" i="2"/>
  <c r="F324" i="2"/>
  <c r="D325" i="2"/>
  <c r="BG323" i="2"/>
  <c r="F323" i="2"/>
  <c r="D324" i="2"/>
  <c r="I50" i="2"/>
  <c r="D323" i="2"/>
  <c r="BG322" i="2"/>
  <c r="F322" i="2"/>
  <c r="BG321" i="2"/>
  <c r="F321" i="2"/>
  <c r="D322" i="2"/>
  <c r="BG320" i="2"/>
  <c r="F320" i="2"/>
  <c r="D321" i="2"/>
  <c r="D320" i="2"/>
  <c r="F319" i="2"/>
  <c r="BG319" i="2"/>
  <c r="D319" i="2"/>
  <c r="BG318" i="2"/>
  <c r="F318" i="2"/>
  <c r="D318" i="2"/>
  <c r="F317" i="2"/>
  <c r="BG317" i="2"/>
  <c r="F316" i="2"/>
  <c r="BG316" i="2"/>
  <c r="D317" i="2"/>
  <c r="I49" i="2"/>
  <c r="BG315" i="2"/>
  <c r="F315" i="2"/>
  <c r="D316" i="2"/>
  <c r="D315" i="2"/>
  <c r="F314" i="2"/>
  <c r="BG314" i="2"/>
  <c r="D314" i="2"/>
  <c r="F313" i="2"/>
  <c r="BG313" i="2"/>
  <c r="F312" i="2"/>
  <c r="BG312" i="2"/>
  <c r="D313" i="2"/>
  <c r="D312" i="2"/>
  <c r="F311" i="2"/>
  <c r="BG311" i="2"/>
  <c r="D311" i="2"/>
  <c r="F310" i="2"/>
  <c r="BG310" i="2"/>
  <c r="BG309" i="2"/>
  <c r="F309" i="2"/>
  <c r="D310" i="2"/>
  <c r="I48" i="2"/>
  <c r="BH308" i="2"/>
  <c r="BF309" i="2"/>
  <c r="N14" i="2"/>
  <c r="BO14" i="2"/>
  <c r="BP14" i="2" s="1"/>
  <c r="D308" i="2"/>
  <c r="BG307" i="2"/>
  <c r="F307" i="2"/>
  <c r="F306" i="2"/>
  <c r="BG306" i="2"/>
  <c r="D307" i="2"/>
  <c r="BG305" i="2"/>
  <c r="D306" i="2"/>
  <c r="F305" i="2"/>
  <c r="D305" i="2"/>
  <c r="F304" i="2"/>
  <c r="BG304" i="2"/>
  <c r="F303" i="2"/>
  <c r="D304" i="2"/>
  <c r="BG303" i="2"/>
  <c r="D303" i="2"/>
  <c r="BG302" i="2"/>
  <c r="F302" i="2"/>
  <c r="I47" i="2"/>
  <c r="BG301" i="2"/>
  <c r="D302" i="2"/>
  <c r="F301" i="2"/>
  <c r="BG300" i="2"/>
  <c r="D301" i="2"/>
  <c r="F300" i="2"/>
  <c r="F299" i="2"/>
  <c r="BG299" i="2"/>
  <c r="D300" i="2"/>
  <c r="F298" i="2"/>
  <c r="BG298" i="2"/>
  <c r="D299" i="2"/>
  <c r="BG297" i="2"/>
  <c r="F297" i="2"/>
  <c r="D298" i="2"/>
  <c r="D297" i="2"/>
  <c r="F296" i="2"/>
  <c r="BG296" i="2"/>
  <c r="F295" i="2"/>
  <c r="BG295" i="2"/>
  <c r="D296" i="2"/>
  <c r="I46" i="2"/>
  <c r="D295" i="2"/>
  <c r="F294" i="2"/>
  <c r="BG294" i="2"/>
  <c r="F293" i="2"/>
  <c r="BG293" i="2"/>
  <c r="D294" i="2"/>
  <c r="D293" i="2"/>
  <c r="F292" i="2"/>
  <c r="BG292" i="2"/>
  <c r="D292" i="2"/>
  <c r="F291" i="2"/>
  <c r="BG291" i="2"/>
  <c r="F290" i="2"/>
  <c r="BG290" i="2"/>
  <c r="D291" i="2"/>
  <c r="D290" i="2"/>
  <c r="F289" i="2"/>
  <c r="BG289" i="2"/>
  <c r="D289" i="2"/>
  <c r="F288" i="2"/>
  <c r="BG288" i="2"/>
  <c r="I45" i="2"/>
  <c r="D288" i="2"/>
  <c r="F287" i="2"/>
  <c r="BG287" i="2"/>
  <c r="F286" i="2"/>
  <c r="BG286" i="2"/>
  <c r="D287" i="2"/>
  <c r="F285" i="2"/>
  <c r="BG285" i="2"/>
  <c r="D286" i="2"/>
  <c r="D285" i="2"/>
  <c r="F284" i="2"/>
  <c r="BG284" i="2"/>
  <c r="F283" i="2"/>
  <c r="BG283" i="2"/>
  <c r="D284" i="2"/>
  <c r="D283" i="2"/>
  <c r="F282" i="2"/>
  <c r="BG282" i="2"/>
  <c r="F281" i="2"/>
  <c r="BG281" i="2"/>
  <c r="D282" i="2"/>
  <c r="I44" i="2"/>
  <c r="F280" i="2"/>
  <c r="BG280" i="2"/>
  <c r="D281" i="2"/>
  <c r="D280" i="2"/>
  <c r="F279" i="2"/>
  <c r="BG279" i="2"/>
  <c r="D279" i="2"/>
  <c r="F278" i="2"/>
  <c r="BG278" i="2"/>
  <c r="BH277" i="2"/>
  <c r="BF278" i="2"/>
  <c r="BO13" i="2"/>
  <c r="BP13" i="2" s="1"/>
  <c r="N13" i="2"/>
  <c r="D277" i="2"/>
  <c r="F276" i="2"/>
  <c r="BG276" i="2"/>
  <c r="F275" i="2"/>
  <c r="D276" i="2"/>
  <c r="BG275" i="2"/>
  <c r="F274" i="2"/>
  <c r="BG274" i="2"/>
  <c r="D275" i="2"/>
  <c r="I43" i="2"/>
  <c r="D274" i="2"/>
  <c r="F273" i="2"/>
  <c r="BG273" i="2"/>
  <c r="F272" i="2"/>
  <c r="BG272" i="2"/>
  <c r="D273" i="2"/>
  <c r="F271" i="2"/>
  <c r="BG271" i="2"/>
  <c r="D272" i="2"/>
  <c r="F270" i="2"/>
  <c r="BG270" i="2"/>
  <c r="D271" i="2"/>
  <c r="D270" i="2"/>
  <c r="F269" i="2"/>
  <c r="BG269" i="2"/>
  <c r="D269" i="2"/>
  <c r="F268" i="2"/>
  <c r="BG268" i="2"/>
  <c r="F267" i="2"/>
  <c r="BG267" i="2"/>
  <c r="D268" i="2"/>
  <c r="I42" i="2"/>
  <c r="D267" i="2"/>
  <c r="F266" i="2"/>
  <c r="BG266" i="2"/>
  <c r="F265" i="2"/>
  <c r="BG265" i="2"/>
  <c r="D266" i="2"/>
  <c r="D265" i="2"/>
  <c r="F264" i="2"/>
  <c r="BG264" i="2"/>
  <c r="F263" i="2"/>
  <c r="BG263" i="2"/>
  <c r="D264" i="2"/>
  <c r="F262" i="2"/>
  <c r="BG262" i="2"/>
  <c r="D263" i="2"/>
  <c r="F261" i="2"/>
  <c r="BG261" i="2"/>
  <c r="D262" i="2"/>
  <c r="D261" i="2"/>
  <c r="F260" i="2"/>
  <c r="BG260" i="2"/>
  <c r="I41" i="2"/>
  <c r="D260" i="2"/>
  <c r="F259" i="2"/>
  <c r="BG259" i="2"/>
  <c r="D259" i="2"/>
  <c r="F258" i="2"/>
  <c r="BG258" i="2"/>
  <c r="F257" i="2"/>
  <c r="BG257" i="2"/>
  <c r="D258" i="2"/>
  <c r="F256" i="2"/>
  <c r="BG256" i="2"/>
  <c r="D257" i="2"/>
  <c r="D256" i="2"/>
  <c r="F255" i="2"/>
  <c r="BG255" i="2"/>
  <c r="D255" i="2"/>
  <c r="F254" i="2"/>
  <c r="BG254" i="2"/>
  <c r="F253" i="2"/>
  <c r="BG253" i="2"/>
  <c r="D254" i="2"/>
  <c r="I40" i="2"/>
  <c r="F252" i="2"/>
  <c r="BG252" i="2"/>
  <c r="D253" i="2"/>
  <c r="F251" i="2"/>
  <c r="BG251" i="2"/>
  <c r="D252" i="2"/>
  <c r="F250" i="2"/>
  <c r="BG250" i="2"/>
  <c r="D251" i="2"/>
  <c r="D250" i="2"/>
  <c r="F249" i="2"/>
  <c r="BG249" i="2"/>
  <c r="D249" i="2"/>
  <c r="BG248" i="2"/>
  <c r="F248" i="2"/>
  <c r="BH247" i="2"/>
  <c r="BF248" i="2"/>
  <c r="D247" i="2"/>
  <c r="BG246" i="2"/>
  <c r="F246" i="2"/>
  <c r="I39" i="2"/>
  <c r="D246" i="2"/>
  <c r="F245" i="2"/>
  <c r="BG245" i="2"/>
  <c r="F244" i="2"/>
  <c r="BG244" i="2"/>
  <c r="D245" i="2"/>
  <c r="D244" i="2"/>
  <c r="F243" i="2"/>
  <c r="BG243" i="2"/>
  <c r="F242" i="2"/>
  <c r="BG242" i="2"/>
  <c r="D243" i="2"/>
  <c r="BG241" i="2"/>
  <c r="F241" i="2"/>
  <c r="D242" i="2"/>
  <c r="D241" i="2"/>
  <c r="F240" i="2"/>
  <c r="BG240" i="2"/>
  <c r="F239" i="2"/>
  <c r="BG239" i="2"/>
  <c r="D240" i="2"/>
  <c r="I38" i="2"/>
  <c r="D239" i="2"/>
  <c r="BG238" i="2"/>
  <c r="F238" i="2"/>
  <c r="F237" i="2"/>
  <c r="BG237" i="2"/>
  <c r="D238" i="2"/>
  <c r="F236" i="2"/>
  <c r="BG236" i="2"/>
  <c r="D237" i="2"/>
  <c r="D236" i="2"/>
  <c r="F235" i="2"/>
  <c r="BG235" i="2"/>
  <c r="D235" i="2"/>
  <c r="BG234" i="2"/>
  <c r="F234" i="2"/>
  <c r="F233" i="2"/>
  <c r="BG233" i="2"/>
  <c r="D234" i="2"/>
  <c r="F232" i="2"/>
  <c r="BG232" i="2"/>
  <c r="D233" i="2"/>
  <c r="I37" i="2"/>
  <c r="F231" i="2"/>
  <c r="BG231" i="2"/>
  <c r="D232" i="2"/>
  <c r="D231" i="2"/>
  <c r="BG230" i="2"/>
  <c r="F230" i="2"/>
  <c r="F229" i="2"/>
  <c r="BG229" i="2"/>
  <c r="D230" i="2"/>
  <c r="D229" i="2"/>
  <c r="BG228" i="2"/>
  <c r="F228" i="2"/>
  <c r="F227" i="2"/>
  <c r="BG227" i="2"/>
  <c r="D228" i="2"/>
  <c r="F226" i="2"/>
  <c r="BG226" i="2"/>
  <c r="D227" i="2"/>
  <c r="BG225" i="2"/>
  <c r="F225" i="2"/>
  <c r="D226" i="2"/>
  <c r="I36" i="2"/>
  <c r="D225" i="2"/>
  <c r="F224" i="2"/>
  <c r="BG224" i="2"/>
  <c r="F223" i="2"/>
  <c r="BG223" i="2"/>
  <c r="D224" i="2"/>
  <c r="D223" i="2"/>
  <c r="F222" i="2"/>
  <c r="BG222" i="2"/>
  <c r="F221" i="2"/>
  <c r="BG221" i="2"/>
  <c r="D222" i="2"/>
  <c r="F220" i="2"/>
  <c r="BG220" i="2"/>
  <c r="D221" i="2"/>
  <c r="F219" i="2"/>
  <c r="BG219" i="2"/>
  <c r="D220" i="2"/>
  <c r="F218" i="2"/>
  <c r="BG218" i="2"/>
  <c r="D219" i="2"/>
  <c r="I35" i="2"/>
  <c r="D218" i="2"/>
  <c r="F217" i="2"/>
  <c r="BG217" i="2"/>
  <c r="BH216" i="2"/>
  <c r="BF217" i="2"/>
  <c r="N11" i="2"/>
  <c r="BO11" i="2"/>
  <c r="BP11" i="2" s="1"/>
  <c r="F215" i="2"/>
  <c r="BG215" i="2"/>
  <c r="D216" i="2"/>
  <c r="F214" i="2"/>
  <c r="BG214" i="2"/>
  <c r="D215" i="2"/>
  <c r="F213" i="2"/>
  <c r="BG213" i="2"/>
  <c r="D214" i="2"/>
  <c r="D213" i="2"/>
  <c r="F212" i="2"/>
  <c r="BG212" i="2"/>
  <c r="F211" i="2"/>
  <c r="BG211" i="2"/>
  <c r="D212" i="2"/>
  <c r="I34" i="2"/>
  <c r="F210" i="2"/>
  <c r="BG210" i="2"/>
  <c r="D211" i="2"/>
  <c r="F209" i="2"/>
  <c r="BG209" i="2"/>
  <c r="D210" i="2"/>
  <c r="F208" i="2"/>
  <c r="BG208" i="2"/>
  <c r="D209" i="2"/>
  <c r="F207" i="2"/>
  <c r="BG207" i="2"/>
  <c r="D208" i="2"/>
  <c r="F206" i="2"/>
  <c r="BG206" i="2"/>
  <c r="D207" i="2"/>
  <c r="F205" i="2"/>
  <c r="BG205" i="2"/>
  <c r="D206" i="2"/>
  <c r="F204" i="2"/>
  <c r="BG204" i="2"/>
  <c r="D205" i="2"/>
  <c r="I33" i="2"/>
  <c r="F203" i="2"/>
  <c r="BG203" i="2"/>
  <c r="D204" i="2"/>
  <c r="F202" i="2"/>
  <c r="BG202" i="2"/>
  <c r="D203" i="2"/>
  <c r="F201" i="2"/>
  <c r="BG201" i="2"/>
  <c r="D202" i="2"/>
  <c r="F200" i="2"/>
  <c r="BG200" i="2"/>
  <c r="D201" i="2"/>
  <c r="F199" i="2"/>
  <c r="BG199" i="2"/>
  <c r="D200" i="2"/>
  <c r="F198" i="2"/>
  <c r="BG198" i="2"/>
  <c r="D199" i="2"/>
  <c r="I32" i="2"/>
  <c r="F197" i="2"/>
  <c r="BG197" i="2"/>
  <c r="D198" i="2"/>
  <c r="F196" i="2"/>
  <c r="BG196" i="2"/>
  <c r="D197" i="2"/>
  <c r="F195" i="2"/>
  <c r="BG195" i="2"/>
  <c r="D196" i="2"/>
  <c r="F194" i="2"/>
  <c r="BG194" i="2"/>
  <c r="D195" i="2"/>
  <c r="F193" i="2"/>
  <c r="BG193" i="2"/>
  <c r="D194" i="2"/>
  <c r="F192" i="2"/>
  <c r="BG192" i="2"/>
  <c r="D193" i="2"/>
  <c r="F191" i="2"/>
  <c r="BG191" i="2"/>
  <c r="D192" i="2"/>
  <c r="F190" i="2"/>
  <c r="BG190" i="2"/>
  <c r="I31" i="2"/>
  <c r="D191" i="2"/>
  <c r="F189" i="2"/>
  <c r="BG189" i="2"/>
  <c r="D190" i="2"/>
  <c r="F188" i="2"/>
  <c r="BG188" i="2"/>
  <c r="D189" i="2"/>
  <c r="F187" i="2"/>
  <c r="BG187" i="2"/>
  <c r="D188" i="2"/>
  <c r="F186" i="2"/>
  <c r="BG186" i="2"/>
  <c r="D187" i="2"/>
  <c r="BH185" i="2"/>
  <c r="BF186" i="2"/>
  <c r="N10" i="2"/>
  <c r="BO10" i="2"/>
  <c r="BP10" i="2" s="1"/>
  <c r="F184" i="2"/>
  <c r="BG184" i="2"/>
  <c r="D185" i="2"/>
  <c r="I30" i="2"/>
  <c r="F183" i="2"/>
  <c r="BG183" i="2"/>
  <c r="D184" i="2"/>
  <c r="F182" i="2"/>
  <c r="BG182" i="2"/>
  <c r="D183" i="2"/>
  <c r="F181" i="2"/>
  <c r="BG181" i="2"/>
  <c r="D182" i="2"/>
  <c r="F180" i="2"/>
  <c r="BG180" i="2"/>
  <c r="D181" i="2"/>
  <c r="F179" i="2"/>
  <c r="BG179" i="2"/>
  <c r="D180" i="2"/>
  <c r="F178" i="2"/>
  <c r="BG178" i="2"/>
  <c r="D179" i="2"/>
  <c r="F177" i="2"/>
  <c r="BG177" i="2"/>
  <c r="D178" i="2"/>
  <c r="I29" i="2"/>
  <c r="F176" i="2"/>
  <c r="BG176" i="2"/>
  <c r="D177" i="2"/>
  <c r="F175" i="2"/>
  <c r="BG175" i="2"/>
  <c r="D176" i="2"/>
  <c r="F174" i="2"/>
  <c r="BG174" i="2"/>
  <c r="D175" i="2"/>
  <c r="F173" i="2"/>
  <c r="BG173" i="2"/>
  <c r="D174" i="2"/>
  <c r="F172" i="2"/>
  <c r="BG172" i="2"/>
  <c r="D173" i="2"/>
  <c r="F171" i="2"/>
  <c r="BG171" i="2"/>
  <c r="D172" i="2"/>
  <c r="F170" i="2"/>
  <c r="BG170" i="2"/>
  <c r="D171" i="2"/>
  <c r="I28" i="2"/>
  <c r="F169" i="2"/>
  <c r="BG169" i="2"/>
  <c r="D170" i="2"/>
  <c r="D169" i="2"/>
  <c r="F168" i="2"/>
  <c r="BG168" i="2"/>
  <c r="D168" i="2"/>
  <c r="F167" i="2"/>
  <c r="BG167" i="2"/>
  <c r="D167" i="2"/>
  <c r="F166" i="2"/>
  <c r="BG166" i="2"/>
  <c r="D166" i="2"/>
  <c r="F165" i="2"/>
  <c r="BG165" i="2"/>
  <c r="D165" i="2"/>
  <c r="F164" i="2"/>
  <c r="BG164" i="2"/>
  <c r="D164" i="2"/>
  <c r="F163" i="2"/>
  <c r="BG163" i="2"/>
  <c r="D163" i="2"/>
  <c r="F162" i="2"/>
  <c r="I27" i="2"/>
  <c r="BG162" i="2"/>
  <c r="D162" i="2"/>
  <c r="F161" i="2"/>
  <c r="BG161" i="2"/>
  <c r="D161" i="2"/>
  <c r="F160" i="2"/>
  <c r="BG160" i="2"/>
  <c r="D160" i="2"/>
  <c r="F159" i="2"/>
  <c r="BG159" i="2"/>
  <c r="D159" i="2"/>
  <c r="F158" i="2"/>
  <c r="BG158" i="2"/>
  <c r="D158" i="2"/>
  <c r="F157" i="2"/>
  <c r="BG157" i="2"/>
  <c r="D157" i="2"/>
  <c r="F156" i="2"/>
  <c r="BG156" i="2"/>
  <c r="BF156" i="2"/>
  <c r="BH155" i="2"/>
  <c r="J26" i="2"/>
  <c r="BK26" i="2"/>
  <c r="BL26" i="2" s="1"/>
  <c r="N9" i="2"/>
  <c r="BO9" i="2"/>
  <c r="BP9" i="2" s="1"/>
  <c r="D155" i="2"/>
  <c r="F154" i="2"/>
  <c r="BG154" i="2"/>
  <c r="D154" i="2"/>
  <c r="F153" i="2"/>
  <c r="BG153" i="2"/>
  <c r="F152" i="2"/>
  <c r="D153" i="2"/>
  <c r="BG152" i="2"/>
  <c r="D152" i="2"/>
  <c r="F151" i="2"/>
  <c r="BG151" i="2"/>
  <c r="D151" i="2"/>
  <c r="F150" i="2"/>
  <c r="BG150" i="2"/>
  <c r="D150" i="2"/>
  <c r="F149" i="2"/>
  <c r="BG149" i="2"/>
  <c r="D149" i="2"/>
  <c r="F148" i="2"/>
  <c r="I25" i="2"/>
  <c r="BG148" i="2"/>
  <c r="F147" i="2"/>
  <c r="D148" i="2"/>
  <c r="BG147" i="2"/>
  <c r="D147" i="2"/>
  <c r="F146" i="2"/>
  <c r="BG146" i="2"/>
  <c r="D146" i="2"/>
  <c r="F145" i="2"/>
  <c r="BG145" i="2"/>
  <c r="D145" i="2"/>
  <c r="F144" i="2"/>
  <c r="BG144" i="2"/>
  <c r="D144" i="2"/>
  <c r="F143" i="2"/>
  <c r="BG143" i="2"/>
  <c r="D143" i="2"/>
  <c r="F142" i="2"/>
  <c r="BG142" i="2"/>
  <c r="D142" i="2"/>
  <c r="F141" i="2"/>
  <c r="BG141" i="2"/>
  <c r="I24" i="2"/>
  <c r="D141" i="2"/>
  <c r="F140" i="2"/>
  <c r="BG140" i="2"/>
  <c r="D140" i="2"/>
  <c r="F139" i="2"/>
  <c r="BG139" i="2"/>
  <c r="D139" i="2"/>
  <c r="F138" i="2"/>
  <c r="BG138" i="2"/>
  <c r="D138" i="2"/>
  <c r="F137" i="2"/>
  <c r="BG137" i="2"/>
  <c r="D137" i="2"/>
  <c r="F136" i="2"/>
  <c r="BG136" i="2"/>
  <c r="D136" i="2"/>
  <c r="F135" i="2"/>
  <c r="BG135" i="2"/>
  <c r="D135" i="2"/>
  <c r="F134" i="2"/>
  <c r="BG134" i="2"/>
  <c r="I23" i="2"/>
  <c r="D134" i="2"/>
  <c r="F133" i="2"/>
  <c r="BG133" i="2"/>
  <c r="D133" i="2"/>
  <c r="F132" i="2"/>
  <c r="BG132" i="2"/>
  <c r="D132" i="2"/>
  <c r="F131" i="2"/>
  <c r="BG131" i="2"/>
  <c r="D131" i="2"/>
  <c r="F130" i="2"/>
  <c r="BG130" i="2"/>
  <c r="D130" i="2"/>
  <c r="F129" i="2"/>
  <c r="BG129" i="2"/>
  <c r="D129" i="2"/>
  <c r="F128" i="2"/>
  <c r="BG128" i="2"/>
  <c r="D128" i="2"/>
  <c r="F127" i="2"/>
  <c r="BG127" i="2"/>
  <c r="I22" i="2"/>
  <c r="D127" i="2"/>
  <c r="F126" i="2"/>
  <c r="BG126" i="2"/>
  <c r="D126" i="2"/>
  <c r="F125" i="2"/>
  <c r="BG125" i="2"/>
  <c r="BF125" i="2"/>
  <c r="BH124" i="2"/>
  <c r="N8" i="2"/>
  <c r="BO8" i="2"/>
  <c r="BP8" i="2" s="1"/>
  <c r="D124" i="2"/>
  <c r="F123" i="2"/>
  <c r="BG123" i="2"/>
  <c r="D123" i="2"/>
  <c r="F122" i="2"/>
  <c r="BG122" i="2"/>
  <c r="D122" i="2"/>
  <c r="F121" i="2"/>
  <c r="BG121" i="2"/>
  <c r="F120" i="2"/>
  <c r="D121" i="2"/>
  <c r="BG120" i="2"/>
  <c r="I21" i="2"/>
  <c r="D120" i="2"/>
  <c r="F119" i="2"/>
  <c r="BG119" i="2"/>
  <c r="D119" i="2"/>
  <c r="F118" i="2"/>
  <c r="BG118" i="2"/>
  <c r="D118" i="2"/>
  <c r="F117" i="2"/>
  <c r="BG117" i="2"/>
  <c r="D117" i="2"/>
  <c r="F116" i="2"/>
  <c r="BG116" i="2"/>
  <c r="D116" i="2"/>
  <c r="F115" i="2"/>
  <c r="BG115" i="2"/>
  <c r="D115" i="2"/>
  <c r="F114" i="2"/>
  <c r="BG114" i="2"/>
  <c r="D114" i="2"/>
  <c r="F113" i="2"/>
  <c r="I20" i="2"/>
  <c r="BG113" i="2"/>
  <c r="D113" i="2"/>
  <c r="F112" i="2"/>
  <c r="BG112" i="2"/>
  <c r="D112" i="2"/>
  <c r="F111" i="2"/>
  <c r="BG111" i="2"/>
  <c r="D111" i="2"/>
  <c r="F110" i="2"/>
  <c r="BG110" i="2"/>
  <c r="F109" i="2"/>
  <c r="D110" i="2"/>
  <c r="BG109" i="2"/>
  <c r="D109" i="2"/>
  <c r="F108" i="2"/>
  <c r="BG108" i="2"/>
  <c r="D108" i="2"/>
  <c r="F107" i="2"/>
  <c r="BG107" i="2"/>
  <c r="D107" i="2"/>
  <c r="F106" i="2"/>
  <c r="BG106" i="2"/>
  <c r="I19" i="2"/>
  <c r="D106" i="2"/>
  <c r="F105" i="2"/>
  <c r="BG105" i="2"/>
  <c r="D105" i="2"/>
  <c r="F104" i="2"/>
  <c r="BG104" i="2"/>
  <c r="D104" i="2"/>
  <c r="F103" i="2"/>
  <c r="BG103" i="2"/>
  <c r="D103" i="2"/>
  <c r="F102" i="2"/>
  <c r="BG102" i="2"/>
  <c r="D102" i="2"/>
  <c r="F101" i="2"/>
  <c r="BG101" i="2"/>
  <c r="F100" i="2"/>
  <c r="D101" i="2"/>
  <c r="BG100" i="2"/>
  <c r="F99" i="2"/>
  <c r="D100" i="2"/>
  <c r="BG99" i="2"/>
  <c r="I18" i="2"/>
  <c r="D99" i="2"/>
  <c r="F98" i="2"/>
  <c r="BG98" i="2"/>
  <c r="D98" i="2"/>
  <c r="F97" i="2"/>
  <c r="BG97" i="2"/>
  <c r="D97" i="2"/>
  <c r="F96" i="2"/>
  <c r="BG96" i="2"/>
  <c r="D96" i="2"/>
  <c r="F95" i="2"/>
  <c r="BG95" i="2"/>
  <c r="BF95" i="2"/>
  <c r="BH94" i="2"/>
  <c r="D94" i="2"/>
  <c r="F93" i="2"/>
  <c r="BG93" i="2"/>
  <c r="D93" i="2"/>
  <c r="F92" i="2"/>
  <c r="BG92" i="2"/>
  <c r="I17" i="2"/>
  <c r="D92" i="2"/>
  <c r="F91" i="2"/>
  <c r="BG91" i="2"/>
  <c r="D91" i="2"/>
  <c r="F90" i="2"/>
  <c r="BG90" i="2"/>
  <c r="D90" i="2"/>
  <c r="F89" i="2"/>
  <c r="BG89" i="2"/>
  <c r="D89" i="2"/>
  <c r="F88" i="2"/>
  <c r="BG88" i="2"/>
  <c r="D88" i="2"/>
  <c r="F87" i="2"/>
  <c r="BG87" i="2"/>
  <c r="D87" i="2"/>
  <c r="F86" i="2"/>
  <c r="BG86" i="2"/>
  <c r="D86" i="2"/>
  <c r="F85" i="2"/>
  <c r="BG85" i="2"/>
  <c r="I16" i="2"/>
  <c r="D85" i="2"/>
  <c r="F84" i="2"/>
  <c r="BG84" i="2"/>
  <c r="F83" i="2"/>
  <c r="D84" i="2"/>
  <c r="BG83" i="2"/>
  <c r="D83" i="2"/>
  <c r="F82" i="2"/>
  <c r="BG82" i="2"/>
  <c r="D82" i="2"/>
  <c r="F81" i="2"/>
  <c r="BG81" i="2"/>
  <c r="F80" i="2"/>
  <c r="D81" i="2"/>
  <c r="BG80" i="2"/>
  <c r="D80" i="2"/>
  <c r="F79" i="2"/>
  <c r="BG79" i="2"/>
  <c r="D79" i="2"/>
  <c r="F78" i="2"/>
  <c r="BG78" i="2"/>
  <c r="I15" i="2"/>
  <c r="D78" i="2"/>
  <c r="F77" i="2"/>
  <c r="BG77" i="2"/>
  <c r="D77" i="2"/>
  <c r="F76" i="2"/>
  <c r="BG76" i="2"/>
  <c r="D76" i="2"/>
  <c r="F75" i="2"/>
  <c r="BG75" i="2"/>
  <c r="D75" i="2"/>
  <c r="F74" i="2"/>
  <c r="BG74" i="2"/>
  <c r="D74" i="2"/>
  <c r="F73" i="2"/>
  <c r="BG73" i="2"/>
  <c r="D73" i="2"/>
  <c r="F72" i="2"/>
  <c r="BG72" i="2"/>
  <c r="D72" i="2"/>
  <c r="F71" i="2"/>
  <c r="BG71" i="2"/>
  <c r="I14" i="2"/>
  <c r="F70" i="2"/>
  <c r="D71" i="2"/>
  <c r="BG70" i="2"/>
  <c r="F69" i="2"/>
  <c r="D70" i="2"/>
  <c r="BG69" i="2"/>
  <c r="F68" i="2"/>
  <c r="D69" i="2"/>
  <c r="BG68" i="2"/>
  <c r="F67" i="2"/>
  <c r="D68" i="2"/>
  <c r="BG67" i="2"/>
  <c r="F66" i="2"/>
  <c r="D67" i="2"/>
  <c r="BG66" i="2"/>
  <c r="D66" i="2"/>
  <c r="F65" i="2"/>
  <c r="BG65" i="2"/>
  <c r="D65" i="2"/>
  <c r="F64" i="2"/>
  <c r="BG64" i="2"/>
  <c r="I13" i="2"/>
  <c r="BF64" i="2"/>
  <c r="BH63" i="2"/>
  <c r="N6" i="2"/>
  <c r="BO6" i="2"/>
  <c r="BP6" i="2" s="1"/>
  <c r="D63" i="2"/>
  <c r="F62" i="2"/>
  <c r="BG62" i="2"/>
  <c r="D62" i="2"/>
  <c r="F61" i="2"/>
  <c r="BG61" i="2"/>
  <c r="D61" i="2"/>
  <c r="F60" i="2"/>
  <c r="BG60" i="2"/>
  <c r="F59" i="2"/>
  <c r="D60" i="2"/>
  <c r="BG59" i="2"/>
  <c r="D59" i="2"/>
  <c r="F58" i="2"/>
  <c r="BG58" i="2"/>
  <c r="D58" i="2"/>
  <c r="F57" i="2"/>
  <c r="BG57" i="2"/>
  <c r="I12" i="2"/>
  <c r="D57" i="2"/>
  <c r="F56" i="2"/>
  <c r="BG56" i="2"/>
  <c r="D56" i="2"/>
  <c r="F55" i="2"/>
  <c r="BG55" i="2"/>
  <c r="F54" i="2"/>
  <c r="D55" i="2"/>
  <c r="BG54" i="2"/>
  <c r="F53" i="2"/>
  <c r="D54" i="2"/>
  <c r="BG53" i="2"/>
  <c r="F52" i="2"/>
  <c r="D53" i="2"/>
  <c r="BG52" i="2"/>
  <c r="F51" i="2"/>
  <c r="D52" i="2"/>
  <c r="BG51" i="2"/>
  <c r="F50" i="2"/>
  <c r="D51" i="2"/>
  <c r="BG50" i="2"/>
  <c r="I11" i="2"/>
  <c r="F49" i="2"/>
  <c r="D50" i="2"/>
  <c r="BG49" i="2"/>
  <c r="D49" i="2"/>
  <c r="F48" i="2"/>
  <c r="BG48" i="2"/>
  <c r="D48" i="2"/>
  <c r="F47" i="2"/>
  <c r="BG47" i="2"/>
  <c r="D47" i="2"/>
  <c r="F46" i="2"/>
  <c r="BG46" i="2"/>
  <c r="F45" i="2"/>
  <c r="D46" i="2"/>
  <c r="BG45" i="2"/>
  <c r="D45" i="2"/>
  <c r="F44" i="2"/>
  <c r="BG44" i="2"/>
  <c r="D44" i="2"/>
  <c r="F43" i="2"/>
  <c r="BG43" i="2"/>
  <c r="I10" i="2"/>
  <c r="D43" i="2"/>
  <c r="F42" i="2"/>
  <c r="BG42" i="2"/>
  <c r="D42" i="2"/>
  <c r="F41" i="2"/>
  <c r="BG41" i="2"/>
  <c r="D41" i="2"/>
  <c r="F40" i="2"/>
  <c r="BG40" i="2"/>
  <c r="F39" i="2"/>
  <c r="D40" i="2"/>
  <c r="BG39" i="2"/>
  <c r="D39" i="2"/>
  <c r="F38" i="2"/>
  <c r="BG38" i="2"/>
  <c r="D38" i="2"/>
  <c r="F37" i="2"/>
  <c r="BG37" i="2"/>
  <c r="D37" i="2"/>
  <c r="F36" i="2"/>
  <c r="BG36" i="2"/>
  <c r="I9" i="2"/>
  <c r="BF36" i="2"/>
  <c r="BH35" i="2"/>
  <c r="N5" i="2"/>
  <c r="BO5" i="2"/>
  <c r="BP5" i="2" s="1"/>
  <c r="D35" i="2"/>
  <c r="F34" i="2"/>
  <c r="BG34" i="2"/>
  <c r="D34" i="2"/>
  <c r="F33" i="2"/>
  <c r="BG33" i="2"/>
  <c r="D33" i="2"/>
  <c r="F32" i="2"/>
  <c r="BG32" i="2"/>
  <c r="D32" i="2"/>
  <c r="F31" i="2"/>
  <c r="BG31" i="2"/>
  <c r="D31" i="2"/>
  <c r="F30" i="2"/>
  <c r="BG30" i="2"/>
  <c r="D30" i="2"/>
  <c r="F29" i="2"/>
  <c r="BG29" i="2"/>
  <c r="I8" i="2"/>
  <c r="D29" i="2"/>
  <c r="F28" i="2"/>
  <c r="BG28" i="2"/>
  <c r="D28" i="2"/>
  <c r="F27" i="2"/>
  <c r="BG27" i="2"/>
  <c r="D27" i="2"/>
  <c r="F26" i="2"/>
  <c r="BG26" i="2"/>
  <c r="D26" i="2"/>
  <c r="F25" i="2"/>
  <c r="BG25" i="2"/>
  <c r="D25" i="2"/>
  <c r="F24" i="2"/>
  <c r="BG24" i="2"/>
  <c r="D24" i="2"/>
  <c r="F23" i="2"/>
  <c r="BG23" i="2"/>
  <c r="D23" i="2"/>
  <c r="F22" i="2"/>
  <c r="BG22" i="2"/>
  <c r="I7" i="2"/>
  <c r="D22" i="2"/>
  <c r="F21" i="2"/>
  <c r="BG21" i="2"/>
  <c r="D21" i="2"/>
  <c r="F20" i="2"/>
  <c r="BG20" i="2"/>
  <c r="D20" i="2"/>
  <c r="F19" i="2"/>
  <c r="BG19" i="2"/>
  <c r="D19" i="2"/>
  <c r="F18" i="2"/>
  <c r="BG18" i="2"/>
  <c r="D18" i="2"/>
  <c r="F17" i="2"/>
  <c r="BG17" i="2"/>
  <c r="D17" i="2"/>
  <c r="F16" i="2"/>
  <c r="BG16" i="2"/>
  <c r="D16" i="2"/>
  <c r="F15" i="2"/>
  <c r="BG15" i="2"/>
  <c r="I6" i="2"/>
  <c r="D15" i="2"/>
  <c r="F14" i="2"/>
  <c r="BG14" i="2"/>
  <c r="D14" i="2"/>
  <c r="F13" i="2"/>
  <c r="BG13" i="2"/>
  <c r="D13" i="2"/>
  <c r="F12" i="2"/>
  <c r="BG12" i="2"/>
  <c r="D12" i="2"/>
  <c r="F11" i="2"/>
  <c r="BG11" i="2"/>
  <c r="D11" i="2"/>
  <c r="F10" i="2"/>
  <c r="BG10" i="2"/>
  <c r="D10" i="2"/>
  <c r="F9" i="2"/>
  <c r="BG9" i="2"/>
  <c r="D9" i="2"/>
  <c r="F8" i="2"/>
  <c r="BG8" i="2"/>
  <c r="I5" i="2"/>
  <c r="D8" i="2"/>
  <c r="F7" i="2"/>
  <c r="BG7" i="2"/>
  <c r="D7" i="2"/>
  <c r="F6" i="2"/>
  <c r="BG6" i="2"/>
  <c r="D6" i="2"/>
  <c r="F5" i="2"/>
  <c r="BG5" i="2"/>
  <c r="BH4" i="2"/>
  <c r="BF5" i="2"/>
  <c r="J4" i="2"/>
  <c r="BK4" i="2"/>
  <c r="BL4" i="2" s="1"/>
  <c r="N4" i="2"/>
  <c r="BO4" i="2"/>
  <c r="BP4" i="2" s="1"/>
  <c r="AZ4" i="1"/>
  <c r="BB4" i="1" s="1"/>
  <c r="AH4" i="1"/>
  <c r="AJ4" i="1" s="1"/>
  <c r="P4" i="1"/>
  <c r="BR4" i="1" s="1"/>
  <c r="M12" i="2"/>
  <c r="M7" i="2"/>
  <c r="AZ4" i="2"/>
  <c r="BB4" i="2" s="1"/>
  <c r="AH4" i="2"/>
  <c r="AJ4" i="2" s="1"/>
  <c r="Q4" i="2"/>
  <c r="BH367" i="2" l="1"/>
  <c r="BF368" i="2"/>
  <c r="BH366" i="2"/>
  <c r="BF367" i="2"/>
  <c r="BH365" i="2"/>
  <c r="BF366" i="2"/>
  <c r="J56" i="2"/>
  <c r="BK56" i="2"/>
  <c r="BL56" i="2" s="1"/>
  <c r="BH364" i="2"/>
  <c r="BF365" i="2"/>
  <c r="BH363" i="2"/>
  <c r="BF364" i="2"/>
  <c r="BH362" i="2"/>
  <c r="BF363" i="2"/>
  <c r="BH361" i="2"/>
  <c r="BF362" i="2"/>
  <c r="BH360" i="2"/>
  <c r="BF361" i="2"/>
  <c r="BH359" i="2"/>
  <c r="BF360" i="2"/>
  <c r="BH358" i="2"/>
  <c r="BF359" i="2"/>
  <c r="J55" i="2"/>
  <c r="BK55" i="2"/>
  <c r="BL55" i="2" s="1"/>
  <c r="BH357" i="2"/>
  <c r="BF358" i="2"/>
  <c r="BH356" i="2"/>
  <c r="BF357" i="2"/>
  <c r="BH355" i="2"/>
  <c r="BF356" i="2"/>
  <c r="BH354" i="2"/>
  <c r="BF355" i="2"/>
  <c r="BH353" i="2"/>
  <c r="BF354" i="2"/>
  <c r="BH352" i="2"/>
  <c r="BF353" i="2"/>
  <c r="BH351" i="2"/>
  <c r="BF352" i="2"/>
  <c r="J54" i="2"/>
  <c r="BK54" i="2"/>
  <c r="BL54" i="2" s="1"/>
  <c r="BH350" i="2"/>
  <c r="BF351" i="2"/>
  <c r="BH349" i="2"/>
  <c r="BF350" i="2"/>
  <c r="BH348" i="2"/>
  <c r="BF349" i="2"/>
  <c r="BH347" i="2"/>
  <c r="BF348" i="2"/>
  <c r="BH346" i="2"/>
  <c r="BF347" i="2"/>
  <c r="BH345" i="2"/>
  <c r="BF346" i="2"/>
  <c r="BH344" i="2"/>
  <c r="BF345" i="2"/>
  <c r="J53" i="2"/>
  <c r="BK53" i="2"/>
  <c r="BL53" i="2" s="1"/>
  <c r="BH343" i="2"/>
  <c r="BF344" i="2"/>
  <c r="BH342" i="2"/>
  <c r="BF343" i="2"/>
  <c r="BH341" i="2"/>
  <c r="BF342" i="2"/>
  <c r="BH340" i="2"/>
  <c r="BF341" i="2"/>
  <c r="BH339" i="2"/>
  <c r="BF340" i="2"/>
  <c r="BH337" i="2"/>
  <c r="BF338" i="2"/>
  <c r="J52" i="2"/>
  <c r="BK52" i="2"/>
  <c r="BL52" i="2" s="1"/>
  <c r="BH336" i="2"/>
  <c r="BF337" i="2"/>
  <c r="BH335" i="2"/>
  <c r="BF336" i="2"/>
  <c r="BH334" i="2"/>
  <c r="BF335" i="2"/>
  <c r="BH333" i="2"/>
  <c r="BF334" i="2"/>
  <c r="BH332" i="2"/>
  <c r="BF333" i="2"/>
  <c r="BH331" i="2"/>
  <c r="BF332" i="2"/>
  <c r="BH330" i="2"/>
  <c r="BF331" i="2"/>
  <c r="J51" i="2"/>
  <c r="BK51" i="2"/>
  <c r="BL51" i="2" s="1"/>
  <c r="BH329" i="2"/>
  <c r="BF330" i="2"/>
  <c r="BH328" i="2"/>
  <c r="BF329" i="2"/>
  <c r="BH327" i="2"/>
  <c r="BF328" i="2"/>
  <c r="BH326" i="2"/>
  <c r="BF327" i="2"/>
  <c r="BH325" i="2"/>
  <c r="BF326" i="2"/>
  <c r="BH324" i="2"/>
  <c r="BF325" i="2"/>
  <c r="BH323" i="2"/>
  <c r="BF324" i="2"/>
  <c r="J50" i="2"/>
  <c r="BK50" i="2"/>
  <c r="BL50" i="2" s="1"/>
  <c r="BH322" i="2"/>
  <c r="BF323" i="2"/>
  <c r="BH321" i="2"/>
  <c r="BF322" i="2"/>
  <c r="BH320" i="2"/>
  <c r="BF321" i="2"/>
  <c r="BH319" i="2"/>
  <c r="BF320" i="2"/>
  <c r="BH318" i="2"/>
  <c r="BF319" i="2"/>
  <c r="BH317" i="2"/>
  <c r="BF318" i="2"/>
  <c r="BH316" i="2"/>
  <c r="BF317" i="2"/>
  <c r="J49" i="2"/>
  <c r="BK49" i="2"/>
  <c r="BL49" i="2" s="1"/>
  <c r="BH315" i="2"/>
  <c r="BF316" i="2"/>
  <c r="BH314" i="2"/>
  <c r="BF315" i="2"/>
  <c r="BH313" i="2"/>
  <c r="BF314" i="2"/>
  <c r="BH312" i="2"/>
  <c r="BF313" i="2"/>
  <c r="BH311" i="2"/>
  <c r="BF312" i="2"/>
  <c r="BH310" i="2"/>
  <c r="BF311" i="2"/>
  <c r="BH309" i="2"/>
  <c r="BF310" i="2"/>
  <c r="BK48" i="2"/>
  <c r="BL48" i="2" s="1"/>
  <c r="J48" i="2"/>
  <c r="BH307" i="2"/>
  <c r="BF308" i="2"/>
  <c r="BH306" i="2"/>
  <c r="BF307" i="2"/>
  <c r="BH305" i="2"/>
  <c r="BF306" i="2"/>
  <c r="BH304" i="2"/>
  <c r="BF305" i="2"/>
  <c r="BH303" i="2"/>
  <c r="BF304" i="2"/>
  <c r="BH302" i="2"/>
  <c r="BF303" i="2"/>
  <c r="BK47" i="2"/>
  <c r="BL47" i="2" s="1"/>
  <c r="J47" i="2"/>
  <c r="BH301" i="2"/>
  <c r="BF302" i="2"/>
  <c r="BH300" i="2"/>
  <c r="BF301" i="2"/>
  <c r="BH299" i="2"/>
  <c r="BF300" i="2"/>
  <c r="BH298" i="2"/>
  <c r="BF299" i="2"/>
  <c r="BH297" i="2"/>
  <c r="BF298" i="2"/>
  <c r="BH296" i="2"/>
  <c r="BF297" i="2"/>
  <c r="BH295" i="2"/>
  <c r="BF296" i="2"/>
  <c r="BK46" i="2"/>
  <c r="BL46" i="2" s="1"/>
  <c r="J46" i="2"/>
  <c r="BH294" i="2"/>
  <c r="BF295" i="2"/>
  <c r="BH293" i="2"/>
  <c r="BF294" i="2"/>
  <c r="BH292" i="2"/>
  <c r="BF293" i="2"/>
  <c r="BH291" i="2"/>
  <c r="BF292" i="2"/>
  <c r="BH290" i="2"/>
  <c r="BF291" i="2"/>
  <c r="BH289" i="2"/>
  <c r="BF290" i="2"/>
  <c r="BH288" i="2"/>
  <c r="BF289" i="2"/>
  <c r="J45" i="2"/>
  <c r="BK45" i="2"/>
  <c r="BL45" i="2" s="1"/>
  <c r="BH287" i="2"/>
  <c r="BF288" i="2"/>
  <c r="BH286" i="2"/>
  <c r="BF287" i="2"/>
  <c r="BH285" i="2"/>
  <c r="BF286" i="2"/>
  <c r="BH284" i="2"/>
  <c r="BF285" i="2"/>
  <c r="BH283" i="2"/>
  <c r="BF284" i="2"/>
  <c r="BH282" i="2"/>
  <c r="BF283" i="2"/>
  <c r="BH281" i="2"/>
  <c r="BF282" i="2"/>
  <c r="BK44" i="2"/>
  <c r="BL44" i="2" s="1"/>
  <c r="J44" i="2"/>
  <c r="BH280" i="2"/>
  <c r="BF281" i="2"/>
  <c r="BH279" i="2"/>
  <c r="BF280" i="2"/>
  <c r="BH278" i="2"/>
  <c r="BF279" i="2"/>
  <c r="BH276" i="2"/>
  <c r="BF277" i="2"/>
  <c r="BH275" i="2"/>
  <c r="BF276" i="2"/>
  <c r="BH274" i="2"/>
  <c r="BF275" i="2"/>
  <c r="J43" i="2"/>
  <c r="BK43" i="2"/>
  <c r="BL43" i="2" s="1"/>
  <c r="BH273" i="2"/>
  <c r="BF274" i="2"/>
  <c r="BH272" i="2"/>
  <c r="BF273" i="2"/>
  <c r="BH271" i="2"/>
  <c r="BF272" i="2"/>
  <c r="BH270" i="2"/>
  <c r="BF271" i="2"/>
  <c r="BH269" i="2"/>
  <c r="BF270" i="2"/>
  <c r="BH268" i="2"/>
  <c r="BF269" i="2"/>
  <c r="BH267" i="2"/>
  <c r="BF268" i="2"/>
  <c r="J42" i="2"/>
  <c r="BK42" i="2"/>
  <c r="BL42" i="2" s="1"/>
  <c r="BH266" i="2"/>
  <c r="BF267" i="2"/>
  <c r="BH265" i="2"/>
  <c r="BF266" i="2"/>
  <c r="BH264" i="2"/>
  <c r="BF265" i="2"/>
  <c r="BH263" i="2"/>
  <c r="BF264" i="2"/>
  <c r="BH262" i="2"/>
  <c r="BF263" i="2"/>
  <c r="BH261" i="2"/>
  <c r="BF262" i="2"/>
  <c r="BH260" i="2"/>
  <c r="BF261" i="2"/>
  <c r="BK41" i="2"/>
  <c r="BL41" i="2" s="1"/>
  <c r="J41" i="2"/>
  <c r="BH259" i="2"/>
  <c r="BF260" i="2"/>
  <c r="BH258" i="2"/>
  <c r="BF259" i="2"/>
  <c r="BH257" i="2"/>
  <c r="BF258" i="2"/>
  <c r="BH256" i="2"/>
  <c r="BF257" i="2"/>
  <c r="BH255" i="2"/>
  <c r="BF256" i="2"/>
  <c r="BH254" i="2"/>
  <c r="BF255" i="2"/>
  <c r="BH253" i="2"/>
  <c r="BF254" i="2"/>
  <c r="BK40" i="2"/>
  <c r="BL40" i="2" s="1"/>
  <c r="J40" i="2"/>
  <c r="BH252" i="2"/>
  <c r="BF253" i="2"/>
  <c r="BH251" i="2"/>
  <c r="BF252" i="2"/>
  <c r="BH250" i="2"/>
  <c r="BF251" i="2"/>
  <c r="BH249" i="2"/>
  <c r="BF250" i="2"/>
  <c r="BH248" i="2"/>
  <c r="BF249" i="2"/>
  <c r="BH246" i="2"/>
  <c r="BF247" i="2"/>
  <c r="J39" i="2"/>
  <c r="BK39" i="2"/>
  <c r="BL39" i="2" s="1"/>
  <c r="BH245" i="2"/>
  <c r="BF246" i="2"/>
  <c r="BH244" i="2"/>
  <c r="BF245" i="2"/>
  <c r="BH243" i="2"/>
  <c r="BF244" i="2"/>
  <c r="BH242" i="2"/>
  <c r="BF243" i="2"/>
  <c r="BH241" i="2"/>
  <c r="BF242" i="2"/>
  <c r="BH240" i="2"/>
  <c r="BF241" i="2"/>
  <c r="BH239" i="2"/>
  <c r="BF240" i="2"/>
  <c r="BK38" i="2"/>
  <c r="BL38" i="2" s="1"/>
  <c r="J38" i="2"/>
  <c r="BH238" i="2"/>
  <c r="BF239" i="2"/>
  <c r="BH237" i="2"/>
  <c r="BF238" i="2"/>
  <c r="BH236" i="2"/>
  <c r="BF237" i="2"/>
  <c r="BH235" i="2"/>
  <c r="BF236" i="2"/>
  <c r="BH234" i="2"/>
  <c r="BF235" i="2"/>
  <c r="BH233" i="2"/>
  <c r="BF234" i="2"/>
  <c r="BH232" i="2"/>
  <c r="BF233" i="2"/>
  <c r="J37" i="2"/>
  <c r="BK37" i="2"/>
  <c r="BL37" i="2" s="1"/>
  <c r="BH231" i="2"/>
  <c r="BF232" i="2"/>
  <c r="BH230" i="2"/>
  <c r="BF231" i="2"/>
  <c r="BH229" i="2"/>
  <c r="BF230" i="2"/>
  <c r="BH228" i="2"/>
  <c r="BF229" i="2"/>
  <c r="BH227" i="2"/>
  <c r="BF228" i="2"/>
  <c r="BH226" i="2"/>
  <c r="BF227" i="2"/>
  <c r="BH225" i="2"/>
  <c r="BF226" i="2"/>
  <c r="BK36" i="2"/>
  <c r="BL36" i="2" s="1"/>
  <c r="J36" i="2"/>
  <c r="BH224" i="2"/>
  <c r="BF225" i="2"/>
  <c r="BH223" i="2"/>
  <c r="BF224" i="2"/>
  <c r="BH222" i="2"/>
  <c r="BF223" i="2"/>
  <c r="BH221" i="2"/>
  <c r="BF222" i="2"/>
  <c r="BH220" i="2"/>
  <c r="BF221" i="2"/>
  <c r="BH219" i="2"/>
  <c r="BF220" i="2"/>
  <c r="BH218" i="2"/>
  <c r="BF219" i="2"/>
  <c r="J35" i="2"/>
  <c r="BK35" i="2"/>
  <c r="BL35" i="2" s="1"/>
  <c r="BH217" i="2"/>
  <c r="BF218" i="2"/>
  <c r="BH215" i="2"/>
  <c r="BF216" i="2"/>
  <c r="BH214" i="2"/>
  <c r="BF215" i="2"/>
  <c r="BH213" i="2"/>
  <c r="BF214" i="2"/>
  <c r="BH212" i="2"/>
  <c r="BF213" i="2"/>
  <c r="BH211" i="2"/>
  <c r="BF212" i="2"/>
  <c r="J34" i="2"/>
  <c r="BK34" i="2"/>
  <c r="BL34" i="2" s="1"/>
  <c r="BH210" i="2"/>
  <c r="BF211" i="2"/>
  <c r="BH209" i="2"/>
  <c r="BF210" i="2"/>
  <c r="BH208" i="2"/>
  <c r="BF209" i="2"/>
  <c r="BH207" i="2"/>
  <c r="BF208" i="2"/>
  <c r="BH206" i="2"/>
  <c r="BF207" i="2"/>
  <c r="BH205" i="2"/>
  <c r="BF206" i="2"/>
  <c r="BH204" i="2"/>
  <c r="BF205" i="2"/>
  <c r="J33" i="2"/>
  <c r="BK33" i="2"/>
  <c r="BL33" i="2" s="1"/>
  <c r="BH203" i="2"/>
  <c r="BF204" i="2"/>
  <c r="BH202" i="2"/>
  <c r="BF203" i="2"/>
  <c r="BH201" i="2"/>
  <c r="BF202" i="2"/>
  <c r="BH200" i="2"/>
  <c r="BF201" i="2"/>
  <c r="BH199" i="2"/>
  <c r="BF200" i="2"/>
  <c r="BH198" i="2"/>
  <c r="BF199" i="2"/>
  <c r="BK32" i="2"/>
  <c r="BL32" i="2" s="1"/>
  <c r="J32" i="2"/>
  <c r="BH197" i="2"/>
  <c r="BF198" i="2"/>
  <c r="BH196" i="2"/>
  <c r="BF197" i="2"/>
  <c r="BH195" i="2"/>
  <c r="BF196" i="2"/>
  <c r="BH194" i="2"/>
  <c r="BF195" i="2"/>
  <c r="BH193" i="2"/>
  <c r="BF194" i="2"/>
  <c r="BH192" i="2"/>
  <c r="BF193" i="2"/>
  <c r="BH191" i="2"/>
  <c r="BF192" i="2"/>
  <c r="BH190" i="2"/>
  <c r="BF191" i="2"/>
  <c r="BK31" i="2"/>
  <c r="BL31" i="2" s="1"/>
  <c r="J31" i="2"/>
  <c r="BH189" i="2"/>
  <c r="BF190" i="2"/>
  <c r="BH188" i="2"/>
  <c r="BF189" i="2"/>
  <c r="BH187" i="2"/>
  <c r="BF188" i="2"/>
  <c r="BH186" i="2"/>
  <c r="BF187" i="2"/>
  <c r="BH184" i="2"/>
  <c r="BF185" i="2"/>
  <c r="BK30" i="2"/>
  <c r="BL30" i="2" s="1"/>
  <c r="J30" i="2"/>
  <c r="BH183" i="2"/>
  <c r="BF184" i="2"/>
  <c r="BH182" i="2"/>
  <c r="BF183" i="2"/>
  <c r="BH181" i="2"/>
  <c r="BF182" i="2"/>
  <c r="BH180" i="2"/>
  <c r="BF181" i="2"/>
  <c r="BH179" i="2"/>
  <c r="BF180" i="2"/>
  <c r="BH178" i="2"/>
  <c r="BF179" i="2"/>
  <c r="BH177" i="2"/>
  <c r="BF178" i="2"/>
  <c r="BK29" i="2"/>
  <c r="BL29" i="2" s="1"/>
  <c r="J29" i="2"/>
  <c r="BH176" i="2"/>
  <c r="BF177" i="2"/>
  <c r="BH175" i="2"/>
  <c r="BF176" i="2"/>
  <c r="BH174" i="2"/>
  <c r="BF175" i="2"/>
  <c r="BH173" i="2"/>
  <c r="BF174" i="2"/>
  <c r="BH172" i="2"/>
  <c r="BF173" i="2"/>
  <c r="BH171" i="2"/>
  <c r="BF172" i="2"/>
  <c r="BH170" i="2"/>
  <c r="BF171" i="2"/>
  <c r="BK28" i="2"/>
  <c r="BL28" i="2" s="1"/>
  <c r="J28" i="2"/>
  <c r="BH169" i="2"/>
  <c r="BF170" i="2"/>
  <c r="BF169" i="2"/>
  <c r="BH168" i="2"/>
  <c r="BF168" i="2"/>
  <c r="BH167" i="2"/>
  <c r="BF167" i="2"/>
  <c r="BH166" i="2"/>
  <c r="BF166" i="2"/>
  <c r="BH165" i="2"/>
  <c r="BF165" i="2"/>
  <c r="BH164" i="2"/>
  <c r="BF164" i="2"/>
  <c r="BH163" i="2"/>
  <c r="J27" i="2"/>
  <c r="BK27" i="2"/>
  <c r="BL27" i="2" s="1"/>
  <c r="BF163" i="2"/>
  <c r="BH162" i="2"/>
  <c r="BF162" i="2"/>
  <c r="BH161" i="2"/>
  <c r="BF161" i="2"/>
  <c r="BH160" i="2"/>
  <c r="BF160" i="2"/>
  <c r="BH159" i="2"/>
  <c r="BF159" i="2"/>
  <c r="BH158" i="2"/>
  <c r="BF158" i="2"/>
  <c r="BH157" i="2"/>
  <c r="BF157" i="2"/>
  <c r="BH156" i="2"/>
  <c r="BF155" i="2"/>
  <c r="BH154" i="2"/>
  <c r="BH153" i="2"/>
  <c r="BF154" i="2"/>
  <c r="BH152" i="2"/>
  <c r="BF153" i="2"/>
  <c r="BF152" i="2"/>
  <c r="BH151" i="2"/>
  <c r="BF151" i="2"/>
  <c r="BH150" i="2"/>
  <c r="BF150" i="2"/>
  <c r="BH149" i="2"/>
  <c r="J25" i="2"/>
  <c r="BK25" i="2"/>
  <c r="BL25" i="2" s="1"/>
  <c r="BH148" i="2"/>
  <c r="BF149" i="2"/>
  <c r="BH147" i="2"/>
  <c r="BF148" i="2"/>
  <c r="BF147" i="2"/>
  <c r="BH146" i="2"/>
  <c r="BF146" i="2"/>
  <c r="BH145" i="2"/>
  <c r="BH144" i="2"/>
  <c r="BF145" i="2"/>
  <c r="BF144" i="2"/>
  <c r="BH143" i="2"/>
  <c r="BH142" i="2"/>
  <c r="BF143" i="2"/>
  <c r="BH141" i="2"/>
  <c r="BF142" i="2"/>
  <c r="J24" i="2"/>
  <c r="BK24" i="2"/>
  <c r="BL24" i="2" s="1"/>
  <c r="BF141" i="2"/>
  <c r="BH140" i="2"/>
  <c r="BF140" i="2"/>
  <c r="BH139" i="2"/>
  <c r="BF139" i="2"/>
  <c r="BH138" i="2"/>
  <c r="BF138" i="2"/>
  <c r="BH137" i="2"/>
  <c r="BF137" i="2"/>
  <c r="BH136" i="2"/>
  <c r="BF136" i="2"/>
  <c r="BH135" i="2"/>
  <c r="BF135" i="2"/>
  <c r="BH134" i="2"/>
  <c r="J23" i="2"/>
  <c r="BK23" i="2"/>
  <c r="BL23" i="2" s="1"/>
  <c r="BF134" i="2"/>
  <c r="BH133" i="2"/>
  <c r="BF133" i="2"/>
  <c r="BH132" i="2"/>
  <c r="BF132" i="2"/>
  <c r="BH131" i="2"/>
  <c r="BF131" i="2"/>
  <c r="BH130" i="2"/>
  <c r="BF130" i="2"/>
  <c r="BH129" i="2"/>
  <c r="BF129" i="2"/>
  <c r="BH128" i="2"/>
  <c r="BF128" i="2"/>
  <c r="BH127" i="2"/>
  <c r="J22" i="2"/>
  <c r="BK22" i="2"/>
  <c r="BL22" i="2" s="1"/>
  <c r="BF127" i="2"/>
  <c r="BH126" i="2"/>
  <c r="BF126" i="2"/>
  <c r="BH125" i="2"/>
  <c r="BF124" i="2"/>
  <c r="BH123" i="2"/>
  <c r="BF123" i="2"/>
  <c r="BH122" i="2"/>
  <c r="BF122" i="2"/>
  <c r="BH121" i="2"/>
  <c r="BF121" i="2"/>
  <c r="BH120" i="2"/>
  <c r="J21" i="2"/>
  <c r="BK21" i="2"/>
  <c r="BL21" i="2" s="1"/>
  <c r="BF120" i="2"/>
  <c r="BH119" i="2"/>
  <c r="BF119" i="2"/>
  <c r="BH118" i="2"/>
  <c r="BF118" i="2"/>
  <c r="BH117" i="2"/>
  <c r="BF117" i="2"/>
  <c r="BH116" i="2"/>
  <c r="BF116" i="2"/>
  <c r="BH115" i="2"/>
  <c r="BF115" i="2"/>
  <c r="BH114" i="2"/>
  <c r="J20" i="2"/>
  <c r="BK20" i="2"/>
  <c r="BL20" i="2" s="1"/>
  <c r="BF114" i="2"/>
  <c r="BH113" i="2"/>
  <c r="BF113" i="2"/>
  <c r="BH112" i="2"/>
  <c r="BF112" i="2"/>
  <c r="BH111" i="2"/>
  <c r="BF111" i="2"/>
  <c r="BH110" i="2"/>
  <c r="BF110" i="2"/>
  <c r="BH109" i="2"/>
  <c r="BF109" i="2"/>
  <c r="BH108" i="2"/>
  <c r="BF108" i="2"/>
  <c r="BH107" i="2"/>
  <c r="BF107" i="2"/>
  <c r="BH106" i="2"/>
  <c r="J19" i="2"/>
  <c r="BK19" i="2"/>
  <c r="BL19" i="2" s="1"/>
  <c r="BF106" i="2"/>
  <c r="BH105" i="2"/>
  <c r="BF105" i="2"/>
  <c r="BH104" i="2"/>
  <c r="BF104" i="2"/>
  <c r="BH103" i="2"/>
  <c r="BF103" i="2"/>
  <c r="BH102" i="2"/>
  <c r="BF102" i="2"/>
  <c r="BH101" i="2"/>
  <c r="BF101" i="2"/>
  <c r="BH100" i="2"/>
  <c r="BF100" i="2"/>
  <c r="BH99" i="2"/>
  <c r="J18" i="2"/>
  <c r="BK18" i="2"/>
  <c r="BL18" i="2" s="1"/>
  <c r="BH98" i="2"/>
  <c r="BF99" i="2"/>
  <c r="BH97" i="2"/>
  <c r="BF98" i="2"/>
  <c r="BH96" i="2"/>
  <c r="BF97" i="2"/>
  <c r="BH95" i="2"/>
  <c r="BF96" i="2"/>
  <c r="BH93" i="2"/>
  <c r="BF94" i="2"/>
  <c r="BF93" i="2"/>
  <c r="BH92" i="2"/>
  <c r="J17" i="2"/>
  <c r="BK17" i="2"/>
  <c r="BL17" i="2" s="1"/>
  <c r="BH91" i="2"/>
  <c r="BF92" i="2"/>
  <c r="BF91" i="2"/>
  <c r="BH90" i="2"/>
  <c r="BH89" i="2"/>
  <c r="BF90" i="2"/>
  <c r="BH88" i="2"/>
  <c r="BF89" i="2"/>
  <c r="BF88" i="2"/>
  <c r="BH87" i="2"/>
  <c r="BH86" i="2"/>
  <c r="BF87" i="2"/>
  <c r="BH85" i="2"/>
  <c r="BF86" i="2"/>
  <c r="J16" i="2"/>
  <c r="BK16" i="2"/>
  <c r="BL16" i="2" s="1"/>
  <c r="BF85" i="2"/>
  <c r="BH84" i="2"/>
  <c r="BF84" i="2"/>
  <c r="BH83" i="2"/>
  <c r="BH82" i="2"/>
  <c r="BF83" i="2"/>
  <c r="BF82" i="2"/>
  <c r="BH81" i="2"/>
  <c r="BF81" i="2"/>
  <c r="BH80" i="2"/>
  <c r="BF80" i="2"/>
  <c r="BH79" i="2"/>
  <c r="BF79" i="2"/>
  <c r="BH78" i="2"/>
  <c r="J15" i="2"/>
  <c r="BK15" i="2"/>
  <c r="BL15" i="2" s="1"/>
  <c r="BF78" i="2"/>
  <c r="BH77" i="2"/>
  <c r="BH76" i="2"/>
  <c r="BF77" i="2"/>
  <c r="BH75" i="2"/>
  <c r="BF76" i="2"/>
  <c r="BF75" i="2"/>
  <c r="BH74" i="2"/>
  <c r="BF74" i="2"/>
  <c r="BH73" i="2"/>
  <c r="BF73" i="2"/>
  <c r="BH72" i="2"/>
  <c r="BH71" i="2"/>
  <c r="BF72" i="2"/>
  <c r="J14" i="2"/>
  <c r="BK14" i="2"/>
  <c r="BL14" i="2" s="1"/>
  <c r="BH70" i="2"/>
  <c r="BF71" i="2"/>
  <c r="BF70" i="2"/>
  <c r="BH69" i="2"/>
  <c r="BH68" i="2"/>
  <c r="BF69" i="2"/>
  <c r="BH67" i="2"/>
  <c r="BF68" i="2"/>
  <c r="BH66" i="2"/>
  <c r="BF67" i="2"/>
  <c r="BF66" i="2"/>
  <c r="BH65" i="2"/>
  <c r="BF65" i="2"/>
  <c r="BH64" i="2"/>
  <c r="J13" i="2"/>
  <c r="BK13" i="2"/>
  <c r="BL13" i="2" s="1"/>
  <c r="BF63" i="2"/>
  <c r="BH62" i="2"/>
  <c r="BH61" i="2"/>
  <c r="BF62" i="2"/>
  <c r="BH60" i="2"/>
  <c r="BF61" i="2"/>
  <c r="BF60" i="2"/>
  <c r="BH59" i="2"/>
  <c r="BF59" i="2"/>
  <c r="BH58" i="2"/>
  <c r="BH57" i="2"/>
  <c r="BF58" i="2"/>
  <c r="J12" i="2"/>
  <c r="BK12" i="2"/>
  <c r="BL12" i="2" s="1"/>
  <c r="BH56" i="2"/>
  <c r="BF57" i="2"/>
  <c r="BF56" i="2"/>
  <c r="BH55" i="2"/>
  <c r="BF55" i="2"/>
  <c r="BH54" i="2"/>
  <c r="BF54" i="2"/>
  <c r="BH53" i="2"/>
  <c r="BF53" i="2"/>
  <c r="BH52" i="2"/>
  <c r="BF52" i="2"/>
  <c r="BH51" i="2"/>
  <c r="BF51" i="2"/>
  <c r="BH50" i="2"/>
  <c r="J11" i="2"/>
  <c r="BK11" i="2"/>
  <c r="BL11" i="2" s="1"/>
  <c r="BF50" i="2"/>
  <c r="BH49" i="2"/>
  <c r="BF49" i="2"/>
  <c r="BH48" i="2"/>
  <c r="BF48" i="2"/>
  <c r="BH47" i="2"/>
  <c r="BF47" i="2"/>
  <c r="BH46" i="2"/>
  <c r="BH45" i="2"/>
  <c r="BF46" i="2"/>
  <c r="BH44" i="2"/>
  <c r="BF45" i="2"/>
  <c r="BH43" i="2"/>
  <c r="BF44" i="2"/>
  <c r="J10" i="2"/>
  <c r="BK10" i="2"/>
  <c r="BL10" i="2" s="1"/>
  <c r="BF43" i="2"/>
  <c r="BH42" i="2"/>
  <c r="BF42" i="2"/>
  <c r="BH41" i="2"/>
  <c r="BF41" i="2"/>
  <c r="BH40" i="2"/>
  <c r="BH39" i="2"/>
  <c r="BF40" i="2"/>
  <c r="BF39" i="2"/>
  <c r="BH38" i="2"/>
  <c r="BF38" i="2"/>
  <c r="BH37" i="2"/>
  <c r="BH36" i="2"/>
  <c r="BF37" i="2"/>
  <c r="J9" i="2"/>
  <c r="BK9" i="2"/>
  <c r="BL9" i="2" s="1"/>
  <c r="BF35" i="2"/>
  <c r="BH34" i="2"/>
  <c r="BF34" i="2"/>
  <c r="BH33" i="2"/>
  <c r="BF33" i="2"/>
  <c r="BH32" i="2"/>
  <c r="BF32" i="2"/>
  <c r="BH31" i="2"/>
  <c r="BH30" i="2"/>
  <c r="BF31" i="2"/>
  <c r="BF30" i="2"/>
  <c r="BH29" i="2"/>
  <c r="J8" i="2"/>
  <c r="BK8" i="2"/>
  <c r="BL8" i="2" s="1"/>
  <c r="BH28" i="2"/>
  <c r="BF29" i="2"/>
  <c r="BF28" i="2"/>
  <c r="BH27" i="2"/>
  <c r="BF27" i="2"/>
  <c r="BH26" i="2"/>
  <c r="BF26" i="2"/>
  <c r="BH25" i="2"/>
  <c r="BF25" i="2"/>
  <c r="BH24" i="2"/>
  <c r="BF24" i="2"/>
  <c r="BH23" i="2"/>
  <c r="BF23" i="2"/>
  <c r="BH22" i="2"/>
  <c r="J7" i="2"/>
  <c r="BK7" i="2"/>
  <c r="BL7" i="2" s="1"/>
  <c r="BH21" i="2"/>
  <c r="BF22" i="2"/>
  <c r="BF21" i="2"/>
  <c r="BH20" i="2"/>
  <c r="BH19" i="2"/>
  <c r="BF20" i="2"/>
  <c r="BF19" i="2"/>
  <c r="BH18" i="2"/>
  <c r="BH17" i="2"/>
  <c r="BF18" i="2"/>
  <c r="BF17" i="2"/>
  <c r="BH16" i="2"/>
  <c r="BH15" i="2"/>
  <c r="BF16" i="2"/>
  <c r="J6" i="2"/>
  <c r="BK6" i="2"/>
  <c r="BL6" i="2" s="1"/>
  <c r="BF15" i="2"/>
  <c r="BH14" i="2"/>
  <c r="BH13" i="2"/>
  <c r="BF14" i="2"/>
  <c r="BH12" i="2"/>
  <c r="BF13" i="2"/>
  <c r="BH11" i="2"/>
  <c r="BF12" i="2"/>
  <c r="BH10" i="2"/>
  <c r="BF11" i="2"/>
  <c r="BF10" i="2"/>
  <c r="BH9" i="2"/>
  <c r="BF9" i="2"/>
  <c r="BH8" i="2"/>
  <c r="J5" i="2"/>
  <c r="BK5" i="2"/>
  <c r="BL5" i="2" s="1"/>
  <c r="BH7" i="2"/>
  <c r="BF8" i="2"/>
  <c r="BH6" i="2"/>
  <c r="BF7" i="2"/>
  <c r="BH5" i="2"/>
  <c r="BF6" i="2"/>
  <c r="BO12" i="2"/>
  <c r="BP12" i="2" s="1"/>
  <c r="N12" i="2"/>
  <c r="BO7" i="2"/>
  <c r="BP7" i="2" s="1"/>
  <c r="N7" i="2"/>
  <c r="BS4" i="2"/>
  <c r="P4" i="2"/>
  <c r="BR4" i="2" s="1"/>
  <c r="BT4" i="2" s="1"/>
  <c r="R4" i="2" l="1"/>
  <c r="CX6" i="2" l="1"/>
  <c r="CY6" i="2" s="1"/>
  <c r="CX6" i="1"/>
  <c r="CY6" i="1" s="1"/>
  <c r="CX7" i="2" l="1"/>
  <c r="CY7" i="2" s="1"/>
  <c r="CX7" i="1"/>
  <c r="CY7" i="1" s="1"/>
  <c r="CX9" i="1"/>
  <c r="CY9" i="1" s="1"/>
  <c r="CX9" i="2"/>
  <c r="CY9" i="2" s="1"/>
  <c r="CX5" i="2"/>
  <c r="CY5" i="2" s="1"/>
  <c r="CX5" i="1"/>
  <c r="CY5" i="1" s="1"/>
  <c r="CX4" i="1" l="1"/>
  <c r="CY4" i="1" s="1"/>
  <c r="CX4" i="2"/>
  <c r="CY4" i="2" s="1"/>
  <c r="CX8" i="1" l="1"/>
  <c r="CY8" i="1" s="1"/>
  <c r="CX8" i="2"/>
  <c r="CY8" i="2" s="1"/>
  <c r="DB4" i="2"/>
  <c r="DC4" i="2" s="1"/>
  <c r="DB4" i="1"/>
  <c r="DC4" i="1" s="1"/>
</calcChain>
</file>

<file path=xl/sharedStrings.xml><?xml version="1.0" encoding="utf-8"?>
<sst xmlns="http://schemas.openxmlformats.org/spreadsheetml/2006/main" count="1000" uniqueCount="81">
  <si>
    <t>JOUR</t>
  </si>
  <si>
    <t>SEMAINE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</si>
  <si>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</si>
  <si>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</si>
  <si>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</si>
  <si>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</si>
  <si>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</si>
  <si>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</si>
  <si>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</si>
  <si>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</si>
  <si>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</si>
  <si>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</si>
  <si>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</si>
  <si>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</si>
  <si>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</si>
  <si>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</si>
  <si>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</si>
  <si>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</si>
  <si>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</si>
  <si>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</si>
  <si>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</si>
  <si>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</si>
  <si>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</si>
  <si>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</si>
  <si>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</si>
  <si>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</si>
  <si>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</si>
  <si>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</si>
  <si>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</si>
  <si>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</si>
  <si>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</si>
  <si>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</si>
  <si>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</si>
  <si>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</si>
  <si>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</si>
  <si>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</si>
  <si>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</si>
  <si>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</si>
  <si>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</si>
  <si>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</si>
  <si>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</si>
  <si>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</si>
  <si>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</si>
  <si>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</si>
  <si>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</si>
  <si>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</si>
  <si>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</si>
  <si>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</si>
  <si>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</si>
  <si>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</si>
  <si>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</si>
  <si>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</si>
  <si>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</si>
  <si>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</si>
  <si>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</si>
  <si>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</si>
  <si>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</si>
  <si>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</si>
  <si>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</si>
  <si>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</si>
  <si>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</si>
  <si>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</si>
  <si>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</si>
  <si>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</si>
  <si>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</si>
  <si>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</si>
  <si>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</si>
  <si>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</si>
  <si>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CA NET TOTAL</t>
  </si>
  <si>
    <t>%</t>
  </si>
  <si>
    <t>ANNEE</t>
  </si>
  <si>
    <t>ANNUEL</t>
  </si>
  <si>
    <t>CA NET ALIMENTAIRE</t>
  </si>
  <si>
    <t>PM</t>
  </si>
  <si>
    <t>TAC'S</t>
  </si>
  <si>
    <t>DIF</t>
  </si>
  <si>
    <t>OEPE</t>
  </si>
  <si>
    <t>R2P</t>
  </si>
  <si>
    <t>OPH</t>
  </si>
  <si>
    <t>HELLO MCDO</t>
  </si>
  <si>
    <t>RESEAUX SOCIAUX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</si>
</sst>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* #,##0.00_)\ &quot;€&quot;_ ;_ * \(#,##0.00\)\ &quot;€&quot;_ ;_ * &quot;-&quot;??_)\ &quot;€&quot;_ ;_ @_ "/>
    <numFmt numFmtId="164" formatCode="_ * #,##0_)\ &quot;€&quot;_ ;_ * \(#,##0\)\ &quot;€&quot;_ ;_ * &quot;-&quot;??_)\ &quot;€&quot;_ ;_ @_ "/>
    <numFmt numFmtId="165" formatCode="0.0%"/>
    <numFmt numFmtId="166" formatCode="0.0"/>
  </numFmts>
  <fonts count="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venir Next Condensed Regular"/>
    </font>
    <font>
      <b/>
      <sz val="12"/>
      <color theme="1"/>
      <name val="Avenir Next Condensed Regular"/>
    </font>
    <font>
      <sz val="10"/>
      <color theme="0" tint="-0.499984740745262"/>
      <name val="Avenir Next Condensed Regular"/>
    </font>
    <font>
      <b/>
      <sz val="10"/>
      <color theme="0" tint="-0.499984740745262"/>
      <name val="Avenir Next Condensed Regular"/>
    </font>
    <font>
      <sz val="12"/>
      <name val="Avenir Next Condensed Regula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0" applyFont="1"/>
    <xf numFmtId="0" fontId="3" fillId="3" borderId="7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" fontId="3" fillId="4" borderId="7" xfId="0" applyNumberFormat="1" applyFont="1" applyFill="1" applyBorder="1"/>
    <xf numFmtId="164" fontId="3" fillId="0" borderId="0" xfId="1" applyNumberFormat="1" applyFont="1" applyBorder="1"/>
    <xf numFmtId="164" fontId="3" fillId="0" borderId="0" xfId="0" applyNumberFormat="1" applyFont="1"/>
    <xf numFmtId="16" fontId="3" fillId="4" borderId="9" xfId="0" applyNumberFormat="1" applyFont="1" applyFill="1" applyBorder="1"/>
    <xf numFmtId="0" fontId="3" fillId="0" borderId="11" xfId="0" applyFont="1" applyBorder="1"/>
    <xf numFmtId="0" fontId="3" fillId="0" borderId="0" xfId="0" applyFont="1" applyAlignment="1">
      <alignment horizontal="right"/>
    </xf>
    <xf numFmtId="0" fontId="3" fillId="3" borderId="0" xfId="0" applyFont="1" applyFill="1" applyAlignment="1">
      <alignment horizontal="right"/>
    </xf>
    <xf numFmtId="0" fontId="3" fillId="4" borderId="0" xfId="0" applyFont="1" applyFill="1" applyAlignment="1">
      <alignment horizontal="right"/>
    </xf>
    <xf numFmtId="0" fontId="3" fillId="0" borderId="11" xfId="0" applyFont="1" applyBorder="1" applyAlignment="1">
      <alignment horizontal="right"/>
    </xf>
    <xf numFmtId="10" fontId="3" fillId="0" borderId="0" xfId="2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10" fontId="5" fillId="0" borderId="0" xfId="2" applyNumberFormat="1" applyFont="1" applyFill="1" applyBorder="1" applyAlignment="1">
      <alignment horizontal="center"/>
    </xf>
    <xf numFmtId="10" fontId="5" fillId="0" borderId="11" xfId="2" applyNumberFormat="1" applyFont="1" applyFill="1" applyBorder="1" applyAlignment="1">
      <alignment horizontal="center"/>
    </xf>
    <xf numFmtId="0" fontId="5" fillId="0" borderId="0" xfId="0" applyFont="1"/>
    <xf numFmtId="0" fontId="5" fillId="0" borderId="11" xfId="0" applyFont="1" applyBorder="1"/>
    <xf numFmtId="164" fontId="3" fillId="0" borderId="1" xfId="1" applyNumberFormat="1" applyFont="1" applyFill="1" applyBorder="1"/>
    <xf numFmtId="164" fontId="3" fillId="0" borderId="0" xfId="1" applyNumberFormat="1" applyFont="1" applyFill="1" applyBorder="1"/>
    <xf numFmtId="164" fontId="3" fillId="0" borderId="2" xfId="1" applyNumberFormat="1" applyFont="1" applyFill="1" applyBorder="1"/>
    <xf numFmtId="164" fontId="3" fillId="0" borderId="3" xfId="1" applyNumberFormat="1" applyFont="1" applyFill="1" applyBorder="1"/>
    <xf numFmtId="164" fontId="3" fillId="0" borderId="10" xfId="1" applyNumberFormat="1" applyFont="1" applyFill="1" applyBorder="1"/>
    <xf numFmtId="164" fontId="3" fillId="0" borderId="11" xfId="1" applyNumberFormat="1" applyFont="1" applyFill="1" applyBorder="1"/>
    <xf numFmtId="0" fontId="4" fillId="2" borderId="4" xfId="0" applyFont="1" applyFill="1" applyBorder="1" applyAlignment="1">
      <alignment horizontal="centerContinuous"/>
    </xf>
    <xf numFmtId="0" fontId="4" fillId="2" borderId="5" xfId="0" applyFont="1" applyFill="1" applyBorder="1" applyAlignment="1">
      <alignment horizontal="centerContinuous"/>
    </xf>
    <xf numFmtId="0" fontId="6" fillId="2" borderId="5" xfId="0" applyFont="1" applyFill="1" applyBorder="1" applyAlignment="1">
      <alignment horizontal="centerContinuous"/>
    </xf>
    <xf numFmtId="0" fontId="7" fillId="3" borderId="0" xfId="0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4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3" fillId="2" borderId="5" xfId="0" applyFont="1" applyFill="1" applyBorder="1" applyAlignment="1">
      <alignment horizontal="centerContinuous"/>
    </xf>
    <xf numFmtId="0" fontId="5" fillId="2" borderId="6" xfId="0" applyFont="1" applyFill="1" applyBorder="1" applyAlignment="1">
      <alignment horizontal="centerContinuous"/>
    </xf>
    <xf numFmtId="0" fontId="5" fillId="3" borderId="8" xfId="0" applyFont="1" applyFill="1" applyBorder="1" applyAlignment="1">
      <alignment horizontal="center"/>
    </xf>
    <xf numFmtId="10" fontId="5" fillId="0" borderId="8" xfId="2" applyNumberFormat="1" applyFont="1" applyFill="1" applyBorder="1" applyAlignment="1">
      <alignment horizontal="center"/>
    </xf>
    <xf numFmtId="0" fontId="5" fillId="0" borderId="8" xfId="0" applyFont="1" applyBorder="1"/>
    <xf numFmtId="0" fontId="5" fillId="0" borderId="12" xfId="0" applyFont="1" applyBorder="1"/>
    <xf numFmtId="44" fontId="3" fillId="0" borderId="1" xfId="1" applyFont="1" applyFill="1" applyBorder="1"/>
    <xf numFmtId="44" fontId="3" fillId="0" borderId="2" xfId="1" applyFont="1" applyFill="1" applyBorder="1"/>
    <xf numFmtId="44" fontId="3" fillId="0" borderId="3" xfId="1" applyFont="1" applyFill="1" applyBorder="1"/>
    <xf numFmtId="44" fontId="3" fillId="0" borderId="10" xfId="1" applyFont="1" applyFill="1" applyBorder="1"/>
    <xf numFmtId="44" fontId="3" fillId="0" borderId="0" xfId="0" applyNumberFormat="1" applyFont="1"/>
    <xf numFmtId="0" fontId="3" fillId="3" borderId="7" xfId="0" applyFont="1" applyFill="1" applyBorder="1" applyAlignment="1">
      <alignment horizontal="right"/>
    </xf>
    <xf numFmtId="0" fontId="3" fillId="4" borderId="7" xfId="0" applyFont="1" applyFill="1" applyBorder="1" applyAlignment="1">
      <alignment horizontal="right"/>
    </xf>
    <xf numFmtId="0" fontId="3" fillId="4" borderId="9" xfId="0" applyFont="1" applyFill="1" applyBorder="1" applyAlignment="1">
      <alignment horizontal="right"/>
    </xf>
    <xf numFmtId="44" fontId="3" fillId="0" borderId="11" xfId="0" applyNumberFormat="1" applyFont="1" applyBorder="1"/>
    <xf numFmtId="0" fontId="5" fillId="0" borderId="0" xfId="2" applyNumberFormat="1" applyFont="1" applyFill="1" applyBorder="1" applyAlignment="1">
      <alignment horizontal="center"/>
    </xf>
    <xf numFmtId="0" fontId="5" fillId="0" borderId="11" xfId="2" applyNumberFormat="1" applyFont="1" applyFill="1" applyBorder="1" applyAlignment="1">
      <alignment horizontal="center"/>
    </xf>
    <xf numFmtId="0" fontId="5" fillId="0" borderId="8" xfId="2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66" fontId="5" fillId="0" borderId="0" xfId="2" applyNumberFormat="1" applyFont="1" applyFill="1" applyBorder="1" applyAlignment="1">
      <alignment horizontal="center"/>
    </xf>
    <xf numFmtId="166" fontId="5" fillId="0" borderId="11" xfId="2" applyNumberFormat="1" applyFont="1" applyFill="1" applyBorder="1" applyAlignment="1">
      <alignment horizontal="center"/>
    </xf>
    <xf numFmtId="1" fontId="5" fillId="0" borderId="0" xfId="2" applyNumberFormat="1" applyFont="1" applyFill="1" applyBorder="1" applyAlignment="1">
      <alignment horizontal="center"/>
    </xf>
    <xf numFmtId="1" fontId="5" fillId="0" borderId="11" xfId="2" applyNumberFormat="1" applyFont="1" applyFill="1" applyBorder="1" applyAlignment="1">
      <alignment horizontal="center"/>
    </xf>
    <xf numFmtId="1" fontId="3" fillId="0" borderId="0" xfId="0" applyNumberFormat="1" applyFont="1" applyAlignment="1">
      <alignment horizontal="center"/>
    </xf>
    <xf numFmtId="166" fontId="5" fillId="0" borderId="8" xfId="2" applyNumberFormat="1" applyFont="1" applyFill="1" applyBorder="1" applyAlignment="1">
      <alignment horizontal="center"/>
    </xf>
    <xf numFmtId="1" fontId="5" fillId="0" borderId="8" xfId="2" applyNumberFormat="1" applyFont="1" applyFill="1" applyBorder="1" applyAlignment="1">
      <alignment horizontal="center"/>
    </xf>
    <xf numFmtId="165" fontId="3" fillId="0" borderId="0" xfId="2" applyNumberFormat="1" applyFont="1" applyBorder="1" applyAlignment="1">
      <alignment horizontal="center" vertical="center"/>
    </xf>
    <xf numFmtId="165" fontId="3" fillId="0" borderId="11" xfId="2" applyNumberFormat="1" applyFont="1" applyBorder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 vertical="center"/>
    </xf>
    <xf numFmtId="166" fontId="3" fillId="0" borderId="11" xfId="0" applyNumberFormat="1" applyFont="1" applyBorder="1" applyAlignment="1">
      <alignment horizontal="center" vertical="center"/>
    </xf>
    <xf numFmtId="165" fontId="3" fillId="0" borderId="0" xfId="2" applyNumberFormat="1" applyFont="1" applyBorder="1" applyAlignment="1">
      <alignment horizontal="center"/>
    </xf>
    <xf numFmtId="166" fontId="3" fillId="0" borderId="0" xfId="0" applyNumberFormat="1" applyFont="1" applyAlignment="1">
      <alignment horizontal="center"/>
    </xf>
    <xf numFmtId="9" fontId="5" fillId="0" borderId="0" xfId="2" applyFont="1" applyFill="1" applyBorder="1" applyAlignment="1">
      <alignment horizontal="center"/>
    </xf>
    <xf numFmtId="9" fontId="5" fillId="0" borderId="11" xfId="2" applyFont="1" applyFill="1" applyBorder="1" applyAlignment="1">
      <alignment horizontal="center"/>
    </xf>
    <xf numFmtId="44" fontId="3" fillId="0" borderId="0" xfId="1" applyFont="1" applyFill="1" applyBorder="1"/>
    <xf numFmtId="44" fontId="3" fillId="0" borderId="11" xfId="1" applyFont="1" applyFill="1" applyBorder="1"/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tthieujacob/Desktop/00%20MCDONALD'S/003%20INDICES%20DE%20GESTION/2025/INDICES%20DE%20GESTION%202025.xlsm" TargetMode="External"/><Relationship Id="rId1" Type="http://schemas.openxmlformats.org/officeDocument/2006/relationships/externalLinkPath" Target="00%20MCDONALD'S/003%20INDICES%20DE%20GESTION/2025/INDICES%20DE%20GESTION%202025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atthieujacob/Desktop/00%20MCDONALD'S/003%20INDICES%20DE%20GESTION/2026/INDICES_DE_GESTION_2026.xlsm" TargetMode="External"/><Relationship Id="rId1" Type="http://schemas.openxmlformats.org/officeDocument/2006/relationships/externalLinkPath" Target="00%20MCDONALD'S/003%20INDICES%20DE%20GESTION/2026/INDICES_DE_GESTION_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25"/>
      <sheetName val="GLOBAL PREV"/>
      <sheetName val="PREV 2025"/>
      <sheetName val="CHAMNORD"/>
      <sheetName val="AIX"/>
      <sheetName val="BELLEY"/>
      <sheetName val="STALBAN"/>
      <sheetName val="ABRETS"/>
      <sheetName val="PONT"/>
      <sheetName val="FRANCIN"/>
      <sheetName val="VIVIERS"/>
      <sheetName val="FRANCHISE"/>
      <sheetName val="DONNEES "/>
      <sheetName val="ANALYSE"/>
      <sheetName val="SUPERVISEUR"/>
      <sheetName val="BEST OF THE BEST"/>
      <sheetName val="DRIVE 🏎️"/>
      <sheetName val="LAD 🛍️"/>
      <sheetName val="OPH"/>
      <sheetName val="RECORD 🥇"/>
      <sheetName val="INDICES CA 💵"/>
      <sheetName val="DIGITAL 💻"/>
      <sheetName val="INDICES QSP 🍔"/>
      <sheetName val="INDICES RH 🤝"/>
      <sheetName val="INDICES FINANCIERS 📈"/>
      <sheetName val="ANALYSES 🔬"/>
      <sheetName val="SUIVI MO 🖐️"/>
      <sheetName val="TURN OVER"/>
    </sheetNames>
    <sheetDataSet>
      <sheetData sheetId="0"/>
      <sheetData sheetId="1"/>
      <sheetData sheetId="2"/>
      <sheetData sheetId="3">
        <row r="5">
          <cell r="H5">
            <v>38329.919999999998</v>
          </cell>
          <cell r="I5">
            <v>37715.519999999997</v>
          </cell>
          <cell r="J5">
            <v>1783</v>
          </cell>
        </row>
        <row r="6">
          <cell r="H6">
            <v>24702.73</v>
          </cell>
          <cell r="I6">
            <v>24194.26</v>
          </cell>
          <cell r="J6">
            <v>1229</v>
          </cell>
        </row>
        <row r="7">
          <cell r="H7">
            <v>30225.89</v>
          </cell>
          <cell r="I7">
            <v>29639.62</v>
          </cell>
          <cell r="J7">
            <v>1377</v>
          </cell>
        </row>
        <row r="8">
          <cell r="H8">
            <v>30511.54</v>
          </cell>
          <cell r="I8">
            <v>29987.99</v>
          </cell>
          <cell r="J8">
            <v>1483</v>
          </cell>
        </row>
        <row r="9">
          <cell r="H9">
            <v>24222.240000000002</v>
          </cell>
          <cell r="I9">
            <v>23833.4</v>
          </cell>
          <cell r="J9">
            <v>1173</v>
          </cell>
        </row>
        <row r="10">
          <cell r="H10">
            <v>14236.3</v>
          </cell>
          <cell r="I10">
            <v>13994.55</v>
          </cell>
          <cell r="J10">
            <v>892</v>
          </cell>
        </row>
        <row r="11">
          <cell r="H11">
            <v>17072.060000000001</v>
          </cell>
          <cell r="I11">
            <v>16861.669999999998</v>
          </cell>
          <cell r="J11">
            <v>1001</v>
          </cell>
        </row>
        <row r="12">
          <cell r="H12">
            <v>19941.86</v>
          </cell>
          <cell r="I12">
            <v>19588.849999999999</v>
          </cell>
          <cell r="J12">
            <v>1186</v>
          </cell>
        </row>
        <row r="13">
          <cell r="H13">
            <v>17264.669999999998</v>
          </cell>
          <cell r="I13">
            <v>17054.98</v>
          </cell>
          <cell r="J13">
            <v>1037</v>
          </cell>
        </row>
        <row r="14">
          <cell r="H14">
            <v>26948.38</v>
          </cell>
          <cell r="I14">
            <v>26581.4</v>
          </cell>
          <cell r="J14">
            <v>1462</v>
          </cell>
        </row>
        <row r="15">
          <cell r="H15">
            <v>30596.63</v>
          </cell>
          <cell r="I15">
            <v>30123.19</v>
          </cell>
          <cell r="J15">
            <v>1609</v>
          </cell>
        </row>
        <row r="16">
          <cell r="H16">
            <v>25911.47</v>
          </cell>
          <cell r="I16">
            <v>25505.73</v>
          </cell>
          <cell r="J16">
            <v>1251</v>
          </cell>
        </row>
        <row r="17">
          <cell r="H17">
            <v>13199.37</v>
          </cell>
          <cell r="I17">
            <v>13060.23</v>
          </cell>
          <cell r="J17">
            <v>846</v>
          </cell>
        </row>
        <row r="18">
          <cell r="H18">
            <v>14707.89</v>
          </cell>
          <cell r="I18">
            <v>14519.11</v>
          </cell>
          <cell r="J18">
            <v>903</v>
          </cell>
        </row>
        <row r="19">
          <cell r="H19">
            <v>19998.82</v>
          </cell>
          <cell r="I19">
            <v>19759.669999999998</v>
          </cell>
          <cell r="J19">
            <v>1187</v>
          </cell>
        </row>
        <row r="20">
          <cell r="H20">
            <v>19661.060000000001</v>
          </cell>
          <cell r="I20">
            <v>19498.04</v>
          </cell>
          <cell r="J20">
            <v>1163</v>
          </cell>
        </row>
        <row r="21">
          <cell r="H21">
            <v>27384.2</v>
          </cell>
          <cell r="I21">
            <v>27181.22</v>
          </cell>
          <cell r="J21">
            <v>1496</v>
          </cell>
        </row>
        <row r="22">
          <cell r="H22">
            <v>31699.71</v>
          </cell>
          <cell r="I22">
            <v>31403.78</v>
          </cell>
          <cell r="J22">
            <v>1712</v>
          </cell>
        </row>
        <row r="23">
          <cell r="H23">
            <v>24524.720000000001</v>
          </cell>
          <cell r="I23">
            <v>24203.18</v>
          </cell>
          <cell r="J23">
            <v>1241</v>
          </cell>
        </row>
        <row r="24">
          <cell r="H24">
            <v>13091.36</v>
          </cell>
          <cell r="I24">
            <v>12935.95</v>
          </cell>
          <cell r="J24">
            <v>845</v>
          </cell>
        </row>
        <row r="25">
          <cell r="H25">
            <v>14961.4</v>
          </cell>
          <cell r="I25">
            <v>14776.38</v>
          </cell>
          <cell r="J25">
            <v>918</v>
          </cell>
        </row>
        <row r="26">
          <cell r="H26">
            <v>19588.03</v>
          </cell>
          <cell r="I26">
            <v>19340.41</v>
          </cell>
          <cell r="J26">
            <v>1198</v>
          </cell>
        </row>
        <row r="27">
          <cell r="H27">
            <v>17182.349999999999</v>
          </cell>
          <cell r="I27">
            <v>17045.580000000002</v>
          </cell>
          <cell r="J27">
            <v>1034</v>
          </cell>
        </row>
        <row r="28">
          <cell r="H28">
            <v>28146.5</v>
          </cell>
          <cell r="I28">
            <v>27860.85</v>
          </cell>
          <cell r="J28">
            <v>1550</v>
          </cell>
        </row>
        <row r="29">
          <cell r="H29">
            <v>31098.39</v>
          </cell>
          <cell r="I29">
            <v>30792.81</v>
          </cell>
          <cell r="J29">
            <v>1650</v>
          </cell>
        </row>
        <row r="30">
          <cell r="H30">
            <v>25696.78</v>
          </cell>
          <cell r="I30">
            <v>25397.279999999999</v>
          </cell>
          <cell r="J30">
            <v>1320</v>
          </cell>
        </row>
        <row r="31">
          <cell r="H31">
            <v>13862.2</v>
          </cell>
          <cell r="I31">
            <v>13736.89</v>
          </cell>
          <cell r="J31">
            <v>877</v>
          </cell>
        </row>
        <row r="32">
          <cell r="H32">
            <v>14604.39</v>
          </cell>
          <cell r="I32">
            <v>14477.2</v>
          </cell>
          <cell r="J32">
            <v>949</v>
          </cell>
        </row>
        <row r="33">
          <cell r="H33">
            <v>18462.43</v>
          </cell>
          <cell r="I33">
            <v>18237.16</v>
          </cell>
          <cell r="J33">
            <v>1120</v>
          </cell>
        </row>
        <row r="34">
          <cell r="H34">
            <v>18065</v>
          </cell>
          <cell r="I34">
            <v>17910.47</v>
          </cell>
          <cell r="J34">
            <v>1063</v>
          </cell>
        </row>
        <row r="35">
          <cell r="H35">
            <v>26085.4</v>
          </cell>
          <cell r="I35">
            <v>25823.05</v>
          </cell>
          <cell r="J35">
            <v>1498</v>
          </cell>
        </row>
        <row r="36">
          <cell r="H36">
            <v>31176.74</v>
          </cell>
          <cell r="I36">
            <v>30828.43</v>
          </cell>
          <cell r="J36">
            <v>1551</v>
          </cell>
        </row>
        <row r="37">
          <cell r="H37">
            <v>26252.720000000001</v>
          </cell>
          <cell r="I37">
            <v>25916.91</v>
          </cell>
          <cell r="J37">
            <v>1370</v>
          </cell>
        </row>
        <row r="38">
          <cell r="H38">
            <v>15051.93</v>
          </cell>
          <cell r="I38">
            <v>14866.75</v>
          </cell>
          <cell r="J38">
            <v>946</v>
          </cell>
        </row>
        <row r="39">
          <cell r="H39">
            <v>15949.5</v>
          </cell>
          <cell r="I39">
            <v>15778.46</v>
          </cell>
          <cell r="J39">
            <v>980</v>
          </cell>
        </row>
        <row r="40">
          <cell r="H40">
            <v>20514.25</v>
          </cell>
          <cell r="I40">
            <v>20274.650000000001</v>
          </cell>
          <cell r="J40">
            <v>1212</v>
          </cell>
        </row>
        <row r="41">
          <cell r="H41">
            <v>18069.7</v>
          </cell>
          <cell r="I41">
            <v>17880.03</v>
          </cell>
          <cell r="J41">
            <v>1103</v>
          </cell>
        </row>
        <row r="42">
          <cell r="H42">
            <v>29398.54</v>
          </cell>
          <cell r="I42">
            <v>29109.53</v>
          </cell>
          <cell r="J42">
            <v>1577</v>
          </cell>
        </row>
        <row r="43">
          <cell r="H43">
            <v>32194.9</v>
          </cell>
          <cell r="I43">
            <v>31853.18</v>
          </cell>
          <cell r="J43">
            <v>1647</v>
          </cell>
        </row>
        <row r="44">
          <cell r="H44">
            <v>25075.46</v>
          </cell>
          <cell r="I44">
            <v>24779.71</v>
          </cell>
          <cell r="J44">
            <v>1269</v>
          </cell>
        </row>
        <row r="45">
          <cell r="H45">
            <v>14088.47</v>
          </cell>
          <cell r="I45">
            <v>13945.49</v>
          </cell>
          <cell r="J45">
            <v>877</v>
          </cell>
        </row>
        <row r="46">
          <cell r="H46">
            <v>15600.78</v>
          </cell>
          <cell r="I46">
            <v>15414.87</v>
          </cell>
          <cell r="J46">
            <v>958</v>
          </cell>
        </row>
        <row r="47">
          <cell r="H47">
            <v>17958.150000000001</v>
          </cell>
          <cell r="I47">
            <v>17720.39</v>
          </cell>
          <cell r="J47">
            <v>1068</v>
          </cell>
        </row>
        <row r="48">
          <cell r="H48">
            <v>18166.86</v>
          </cell>
          <cell r="I48">
            <v>18000.23</v>
          </cell>
          <cell r="J48">
            <v>1093</v>
          </cell>
        </row>
        <row r="49">
          <cell r="H49">
            <v>29091.91</v>
          </cell>
          <cell r="I49">
            <v>28760.240000000002</v>
          </cell>
          <cell r="J49">
            <v>1482</v>
          </cell>
        </row>
        <row r="50">
          <cell r="H50">
            <v>31053.82</v>
          </cell>
          <cell r="I50">
            <v>30616.22</v>
          </cell>
          <cell r="J50">
            <v>1540</v>
          </cell>
        </row>
        <row r="51">
          <cell r="H51">
            <v>24632.98</v>
          </cell>
          <cell r="I51">
            <v>24243.58</v>
          </cell>
          <cell r="J51">
            <v>1249</v>
          </cell>
        </row>
        <row r="52">
          <cell r="H52">
            <v>15560.28</v>
          </cell>
          <cell r="I52">
            <v>15435.85</v>
          </cell>
          <cell r="J52">
            <v>938</v>
          </cell>
        </row>
        <row r="53">
          <cell r="H53">
            <v>14981.95</v>
          </cell>
          <cell r="I53">
            <v>14874.01</v>
          </cell>
          <cell r="J53">
            <v>950</v>
          </cell>
        </row>
        <row r="54">
          <cell r="H54">
            <v>18847.419999999998</v>
          </cell>
          <cell r="I54">
            <v>18645</v>
          </cell>
          <cell r="J54">
            <v>1148</v>
          </cell>
        </row>
        <row r="55">
          <cell r="H55">
            <v>18063.57</v>
          </cell>
          <cell r="I55">
            <v>17917.66</v>
          </cell>
          <cell r="J55">
            <v>1138</v>
          </cell>
        </row>
        <row r="56">
          <cell r="H56">
            <v>29929.4</v>
          </cell>
          <cell r="I56">
            <v>29623.34</v>
          </cell>
          <cell r="J56">
            <v>1489</v>
          </cell>
        </row>
        <row r="57">
          <cell r="H57">
            <v>30259.15</v>
          </cell>
          <cell r="I57">
            <v>29889.87</v>
          </cell>
          <cell r="J57">
            <v>1513</v>
          </cell>
        </row>
        <row r="58">
          <cell r="H58">
            <v>27627.84</v>
          </cell>
          <cell r="I58">
            <v>27341.040000000001</v>
          </cell>
          <cell r="J58">
            <v>1389</v>
          </cell>
        </row>
        <row r="59">
          <cell r="H59">
            <v>17885.66</v>
          </cell>
          <cell r="I59">
            <v>17635.669999999998</v>
          </cell>
          <cell r="J59">
            <v>1025</v>
          </cell>
        </row>
        <row r="60">
          <cell r="H60">
            <v>18377.310000000001</v>
          </cell>
          <cell r="I60">
            <v>18150.349999999999</v>
          </cell>
          <cell r="J60">
            <v>1057</v>
          </cell>
        </row>
        <row r="61">
          <cell r="H61">
            <v>19792.63</v>
          </cell>
          <cell r="I61">
            <v>19584.509999999998</v>
          </cell>
          <cell r="J61">
            <v>1123</v>
          </cell>
        </row>
        <row r="62">
          <cell r="H62">
            <v>21707.23</v>
          </cell>
          <cell r="I62">
            <v>21462.9</v>
          </cell>
          <cell r="J62">
            <v>1247</v>
          </cell>
        </row>
        <row r="63">
          <cell r="H63">
            <v>32322.05</v>
          </cell>
          <cell r="I63">
            <v>31938.16</v>
          </cell>
          <cell r="J63">
            <v>1558</v>
          </cell>
        </row>
        <row r="64">
          <cell r="H64">
            <v>29737.35</v>
          </cell>
          <cell r="I64">
            <v>29380.3</v>
          </cell>
          <cell r="J64">
            <v>1425</v>
          </cell>
        </row>
        <row r="65">
          <cell r="H65">
            <v>24753.599999999999</v>
          </cell>
          <cell r="I65">
            <v>24467.65</v>
          </cell>
          <cell r="J65">
            <v>1210</v>
          </cell>
        </row>
        <row r="66">
          <cell r="H66">
            <v>16608.54</v>
          </cell>
          <cell r="I66">
            <v>16447.43</v>
          </cell>
          <cell r="J66">
            <v>953</v>
          </cell>
        </row>
        <row r="67">
          <cell r="H67">
            <v>16923.830000000002</v>
          </cell>
          <cell r="I67">
            <v>16699.55</v>
          </cell>
          <cell r="J67">
            <v>992</v>
          </cell>
        </row>
        <row r="68">
          <cell r="H68">
            <v>19980.11</v>
          </cell>
          <cell r="I68">
            <v>19734.169999999998</v>
          </cell>
          <cell r="J68">
            <v>1122</v>
          </cell>
        </row>
        <row r="69">
          <cell r="H69">
            <v>20351.78</v>
          </cell>
          <cell r="I69">
            <v>20118.919999999998</v>
          </cell>
          <cell r="J69">
            <v>1159</v>
          </cell>
        </row>
        <row r="70">
          <cell r="H70">
            <v>30781.9</v>
          </cell>
          <cell r="I70">
            <v>30448.58</v>
          </cell>
          <cell r="J70">
            <v>1507</v>
          </cell>
        </row>
        <row r="71">
          <cell r="H71">
            <v>29831.01</v>
          </cell>
          <cell r="I71">
            <v>29454.720000000001</v>
          </cell>
          <cell r="J71">
            <v>1541</v>
          </cell>
        </row>
        <row r="72">
          <cell r="H72">
            <v>26087.73</v>
          </cell>
          <cell r="I72">
            <v>25737.71</v>
          </cell>
          <cell r="J72">
            <v>1260</v>
          </cell>
        </row>
        <row r="73">
          <cell r="H73">
            <v>12768.74</v>
          </cell>
          <cell r="I73">
            <v>12659.83</v>
          </cell>
          <cell r="J73">
            <v>801</v>
          </cell>
        </row>
        <row r="74">
          <cell r="H74">
            <v>14751.42</v>
          </cell>
          <cell r="I74">
            <v>14622.11</v>
          </cell>
          <cell r="J74">
            <v>923</v>
          </cell>
        </row>
        <row r="75">
          <cell r="H75">
            <v>18117.849999999999</v>
          </cell>
          <cell r="I75">
            <v>17895.099999999999</v>
          </cell>
          <cell r="J75">
            <v>1089</v>
          </cell>
        </row>
        <row r="76">
          <cell r="H76">
            <v>16059.74</v>
          </cell>
          <cell r="I76">
            <v>15911.27</v>
          </cell>
          <cell r="J76">
            <v>993</v>
          </cell>
        </row>
        <row r="77">
          <cell r="H77">
            <v>25096.61</v>
          </cell>
          <cell r="I77">
            <v>24833.919999999998</v>
          </cell>
          <cell r="J77">
            <v>1389</v>
          </cell>
        </row>
        <row r="78">
          <cell r="H78">
            <v>30719.759999999998</v>
          </cell>
          <cell r="I78">
            <v>30371.03</v>
          </cell>
          <cell r="J78">
            <v>1571</v>
          </cell>
        </row>
        <row r="79">
          <cell r="H79">
            <v>28371.4</v>
          </cell>
          <cell r="I79">
            <v>27982.080000000002</v>
          </cell>
          <cell r="J79">
            <v>1407</v>
          </cell>
        </row>
        <row r="80">
          <cell r="H80">
            <v>14693.93</v>
          </cell>
          <cell r="I80">
            <v>14514.13</v>
          </cell>
          <cell r="J80">
            <v>915</v>
          </cell>
        </row>
        <row r="81">
          <cell r="H81">
            <v>15166.88</v>
          </cell>
          <cell r="I81">
            <v>15001.03</v>
          </cell>
          <cell r="J81">
            <v>968</v>
          </cell>
        </row>
        <row r="82">
          <cell r="H82">
            <v>18635.939999999999</v>
          </cell>
          <cell r="I82">
            <v>18363.79</v>
          </cell>
          <cell r="J82">
            <v>1130</v>
          </cell>
        </row>
        <row r="83">
          <cell r="H83">
            <v>17358.349999999999</v>
          </cell>
          <cell r="I83">
            <v>17198.97</v>
          </cell>
          <cell r="J83">
            <v>1102</v>
          </cell>
        </row>
        <row r="84">
          <cell r="H84">
            <v>23048.27</v>
          </cell>
          <cell r="I84">
            <v>22807.66</v>
          </cell>
          <cell r="J84">
            <v>1235</v>
          </cell>
        </row>
        <row r="85">
          <cell r="H85">
            <v>26840.33</v>
          </cell>
          <cell r="I85">
            <v>26533.439999999999</v>
          </cell>
          <cell r="J85">
            <v>1381</v>
          </cell>
        </row>
        <row r="86">
          <cell r="H86">
            <v>23069.53</v>
          </cell>
          <cell r="I86">
            <v>22781.19</v>
          </cell>
          <cell r="J86">
            <v>1188</v>
          </cell>
        </row>
        <row r="87">
          <cell r="H87">
            <v>12694.96</v>
          </cell>
          <cell r="I87">
            <v>12599.45</v>
          </cell>
          <cell r="J87">
            <v>799</v>
          </cell>
        </row>
        <row r="88">
          <cell r="H88">
            <v>15274.77</v>
          </cell>
          <cell r="I88">
            <v>14960.25</v>
          </cell>
          <cell r="J88">
            <v>921</v>
          </cell>
        </row>
        <row r="89">
          <cell r="H89">
            <v>18604.5</v>
          </cell>
          <cell r="I89">
            <v>18124.86</v>
          </cell>
          <cell r="J89">
            <v>1144</v>
          </cell>
        </row>
        <row r="90">
          <cell r="H90">
            <v>18694.509999999998</v>
          </cell>
          <cell r="I90">
            <v>18315.78</v>
          </cell>
          <cell r="J90">
            <v>1136</v>
          </cell>
        </row>
        <row r="91">
          <cell r="H91">
            <v>25478.35</v>
          </cell>
          <cell r="I91">
            <v>24906.94</v>
          </cell>
          <cell r="J91">
            <v>1350</v>
          </cell>
        </row>
        <row r="92">
          <cell r="H92">
            <v>28406.63</v>
          </cell>
          <cell r="I92">
            <v>27744.639999999999</v>
          </cell>
          <cell r="J92">
            <v>1465</v>
          </cell>
        </row>
        <row r="93">
          <cell r="H93">
            <v>26433.040000000001</v>
          </cell>
          <cell r="I93">
            <v>25949.43</v>
          </cell>
          <cell r="J93">
            <v>1370</v>
          </cell>
        </row>
        <row r="94">
          <cell r="H94">
            <v>15167.24</v>
          </cell>
          <cell r="I94">
            <v>14941.22</v>
          </cell>
          <cell r="J94">
            <v>982</v>
          </cell>
        </row>
        <row r="95">
          <cell r="H95">
            <v>16842.900000000001</v>
          </cell>
          <cell r="I95">
            <v>16574.939999999999</v>
          </cell>
          <cell r="J95">
            <v>1029</v>
          </cell>
        </row>
        <row r="96">
          <cell r="H96">
            <v>21888.11</v>
          </cell>
          <cell r="I96">
            <v>21483.759999999998</v>
          </cell>
          <cell r="J96">
            <v>1260</v>
          </cell>
        </row>
        <row r="97">
          <cell r="H97">
            <v>19916.95</v>
          </cell>
          <cell r="I97">
            <v>19590.13</v>
          </cell>
          <cell r="J97">
            <v>1200</v>
          </cell>
        </row>
        <row r="98">
          <cell r="H98">
            <v>28655.01</v>
          </cell>
          <cell r="I98">
            <v>28160.639999999999</v>
          </cell>
          <cell r="J98">
            <v>1537</v>
          </cell>
        </row>
        <row r="99">
          <cell r="H99">
            <v>26931.72</v>
          </cell>
          <cell r="I99">
            <v>26319.18</v>
          </cell>
          <cell r="J99">
            <v>1357</v>
          </cell>
        </row>
        <row r="100">
          <cell r="H100">
            <v>26490.45</v>
          </cell>
          <cell r="I100">
            <v>26029.94</v>
          </cell>
          <cell r="J100">
            <v>1304</v>
          </cell>
        </row>
        <row r="101">
          <cell r="H101">
            <v>16059.52</v>
          </cell>
          <cell r="I101">
            <v>15912.83</v>
          </cell>
          <cell r="J101">
            <v>1009</v>
          </cell>
        </row>
        <row r="102">
          <cell r="H102">
            <v>16553.8</v>
          </cell>
          <cell r="I102">
            <v>16371.51</v>
          </cell>
          <cell r="J102">
            <v>1099</v>
          </cell>
        </row>
        <row r="103">
          <cell r="H103">
            <v>20183.52</v>
          </cell>
          <cell r="I103">
            <v>19918.89</v>
          </cell>
          <cell r="J103">
            <v>1172</v>
          </cell>
        </row>
        <row r="104">
          <cell r="H104">
            <v>18134.02</v>
          </cell>
          <cell r="I104">
            <v>17948.7</v>
          </cell>
          <cell r="J104">
            <v>1129</v>
          </cell>
        </row>
        <row r="105">
          <cell r="H105">
            <v>23945.82</v>
          </cell>
          <cell r="I105">
            <v>23374.68</v>
          </cell>
          <cell r="J105">
            <v>1323</v>
          </cell>
        </row>
        <row r="106">
          <cell r="H106">
            <v>29264.959999999999</v>
          </cell>
          <cell r="I106">
            <v>28898.17</v>
          </cell>
          <cell r="J106">
            <v>1464</v>
          </cell>
        </row>
        <row r="107">
          <cell r="H107">
            <v>24923.81</v>
          </cell>
          <cell r="I107">
            <v>24589.5</v>
          </cell>
          <cell r="J107">
            <v>1251</v>
          </cell>
        </row>
        <row r="108">
          <cell r="H108">
            <v>14474.81</v>
          </cell>
          <cell r="I108">
            <v>14349.16</v>
          </cell>
          <cell r="J108">
            <v>969</v>
          </cell>
        </row>
        <row r="109">
          <cell r="H109">
            <v>17349.009999999998</v>
          </cell>
          <cell r="I109">
            <v>17176.189999999999</v>
          </cell>
          <cell r="J109">
            <v>1087</v>
          </cell>
        </row>
        <row r="110">
          <cell r="H110">
            <v>20167.61</v>
          </cell>
          <cell r="I110">
            <v>19878.189999999999</v>
          </cell>
          <cell r="J110">
            <v>1170</v>
          </cell>
        </row>
        <row r="111">
          <cell r="H111">
            <v>18852.03</v>
          </cell>
          <cell r="I111">
            <v>18659.72</v>
          </cell>
          <cell r="J111">
            <v>1119</v>
          </cell>
        </row>
        <row r="112">
          <cell r="H112">
            <v>27172.48</v>
          </cell>
          <cell r="I112">
            <v>26888.46</v>
          </cell>
          <cell r="J112">
            <v>1455</v>
          </cell>
        </row>
        <row r="113">
          <cell r="H113">
            <v>24507</v>
          </cell>
          <cell r="I113">
            <v>24166.57</v>
          </cell>
          <cell r="J113">
            <v>1292</v>
          </cell>
        </row>
        <row r="114">
          <cell r="H114">
            <v>19195.28</v>
          </cell>
          <cell r="I114">
            <v>18952.13</v>
          </cell>
          <cell r="J114">
            <v>952</v>
          </cell>
        </row>
        <row r="115">
          <cell r="H115">
            <v>21602.41</v>
          </cell>
          <cell r="I115">
            <v>21330.15</v>
          </cell>
          <cell r="J115">
            <v>1111</v>
          </cell>
        </row>
        <row r="116">
          <cell r="H116">
            <v>17749.330000000002</v>
          </cell>
          <cell r="I116">
            <v>17556.63</v>
          </cell>
          <cell r="J116">
            <v>1052</v>
          </cell>
        </row>
        <row r="117">
          <cell r="H117">
            <v>16945.45</v>
          </cell>
          <cell r="I117">
            <v>16740.900000000001</v>
          </cell>
          <cell r="J117">
            <v>1028</v>
          </cell>
        </row>
        <row r="118">
          <cell r="H118">
            <v>17721.98</v>
          </cell>
          <cell r="I118">
            <v>17542.84</v>
          </cell>
          <cell r="J118">
            <v>1051</v>
          </cell>
        </row>
        <row r="119">
          <cell r="H119">
            <v>24596.880000000001</v>
          </cell>
          <cell r="I119">
            <v>24313.98</v>
          </cell>
          <cell r="J119">
            <v>1374</v>
          </cell>
        </row>
        <row r="120">
          <cell r="H120">
            <v>21589.919999999998</v>
          </cell>
          <cell r="I120">
            <v>21301.17</v>
          </cell>
          <cell r="J120">
            <v>1214</v>
          </cell>
        </row>
        <row r="121">
          <cell r="H121">
            <v>23633.25</v>
          </cell>
          <cell r="I121">
            <v>23261.279999999999</v>
          </cell>
          <cell r="J121">
            <v>1172</v>
          </cell>
        </row>
        <row r="122">
          <cell r="H122">
            <v>17124.05</v>
          </cell>
          <cell r="I122">
            <v>16936.71</v>
          </cell>
          <cell r="J122">
            <v>1017</v>
          </cell>
        </row>
        <row r="123">
          <cell r="H123">
            <v>17399.11</v>
          </cell>
          <cell r="I123">
            <v>17217.54</v>
          </cell>
          <cell r="J123">
            <v>1039</v>
          </cell>
        </row>
        <row r="124">
          <cell r="H124">
            <v>21232.18</v>
          </cell>
          <cell r="I124">
            <v>20995.91</v>
          </cell>
          <cell r="J124">
            <v>1215</v>
          </cell>
        </row>
        <row r="125">
          <cell r="H125">
            <v>21902.38</v>
          </cell>
          <cell r="I125">
            <v>21575.46</v>
          </cell>
          <cell r="J125">
            <v>1136</v>
          </cell>
        </row>
        <row r="126">
          <cell r="H126">
            <v>22796.59</v>
          </cell>
          <cell r="I126">
            <v>22517.72</v>
          </cell>
          <cell r="J126">
            <v>1283</v>
          </cell>
        </row>
        <row r="127">
          <cell r="H127">
            <v>23287.69</v>
          </cell>
          <cell r="I127">
            <v>23508.76</v>
          </cell>
          <cell r="J127">
            <v>1279</v>
          </cell>
        </row>
        <row r="128">
          <cell r="H128">
            <v>27217.77</v>
          </cell>
          <cell r="I128">
            <v>26866.080000000002</v>
          </cell>
          <cell r="J128">
            <v>1321</v>
          </cell>
        </row>
        <row r="129">
          <cell r="H129">
            <v>15182.14</v>
          </cell>
          <cell r="I129">
            <v>15035.1</v>
          </cell>
          <cell r="J129">
            <v>923</v>
          </cell>
        </row>
        <row r="130">
          <cell r="H130">
            <v>15343.32</v>
          </cell>
          <cell r="I130">
            <v>15184.78</v>
          </cell>
          <cell r="J130">
            <v>925</v>
          </cell>
        </row>
        <row r="131">
          <cell r="H131">
            <v>23276.07</v>
          </cell>
          <cell r="I131">
            <v>22979.25</v>
          </cell>
          <cell r="J131">
            <v>1285</v>
          </cell>
        </row>
        <row r="132">
          <cell r="H132">
            <v>20501.96</v>
          </cell>
          <cell r="I132">
            <v>20189.11</v>
          </cell>
          <cell r="J132">
            <v>1010</v>
          </cell>
        </row>
        <row r="133">
          <cell r="H133">
            <v>20003.400000000001</v>
          </cell>
          <cell r="I133">
            <v>19783.82</v>
          </cell>
          <cell r="J133">
            <v>1218</v>
          </cell>
        </row>
        <row r="134">
          <cell r="H134">
            <v>21955.23</v>
          </cell>
          <cell r="I134">
            <v>21679.919999999998</v>
          </cell>
          <cell r="J134">
            <v>1235</v>
          </cell>
        </row>
        <row r="135">
          <cell r="H135">
            <v>22744.76</v>
          </cell>
          <cell r="I135">
            <v>22482.55</v>
          </cell>
          <cell r="J135">
            <v>1128</v>
          </cell>
        </row>
        <row r="136">
          <cell r="H136">
            <v>13481.76</v>
          </cell>
          <cell r="I136">
            <v>13371.25</v>
          </cell>
          <cell r="J136">
            <v>880</v>
          </cell>
        </row>
        <row r="137">
          <cell r="H137">
            <v>15293.11</v>
          </cell>
          <cell r="I137">
            <v>15100.15</v>
          </cell>
          <cell r="J137">
            <v>992</v>
          </cell>
        </row>
        <row r="138">
          <cell r="H138">
            <v>19198.93</v>
          </cell>
          <cell r="I138">
            <v>18931.13</v>
          </cell>
          <cell r="J138">
            <v>1156</v>
          </cell>
        </row>
        <row r="139">
          <cell r="H139">
            <v>18259.34</v>
          </cell>
          <cell r="I139">
            <v>18017.759999999998</v>
          </cell>
          <cell r="J139">
            <v>1088</v>
          </cell>
        </row>
        <row r="140">
          <cell r="H140">
            <v>23509.33</v>
          </cell>
          <cell r="I140">
            <v>23272.76</v>
          </cell>
          <cell r="J140">
            <v>1375</v>
          </cell>
        </row>
        <row r="141">
          <cell r="H141">
            <v>22837.71</v>
          </cell>
          <cell r="I141">
            <v>22541</v>
          </cell>
          <cell r="J141">
            <v>1279</v>
          </cell>
        </row>
        <row r="142">
          <cell r="H142">
            <v>22949.03</v>
          </cell>
          <cell r="I142">
            <v>22618.98</v>
          </cell>
          <cell r="J142">
            <v>1125</v>
          </cell>
        </row>
        <row r="143">
          <cell r="H143">
            <v>15243.15</v>
          </cell>
          <cell r="I143">
            <v>15088.5</v>
          </cell>
          <cell r="J143">
            <v>936</v>
          </cell>
        </row>
        <row r="144">
          <cell r="H144">
            <v>16588.849999999999</v>
          </cell>
          <cell r="I144">
            <v>16370.35</v>
          </cell>
          <cell r="J144">
            <v>990</v>
          </cell>
        </row>
        <row r="145">
          <cell r="H145">
            <v>17590.32</v>
          </cell>
          <cell r="I145">
            <v>17382.830000000002</v>
          </cell>
          <cell r="J145">
            <v>1052</v>
          </cell>
        </row>
        <row r="146">
          <cell r="H146">
            <v>18360.27</v>
          </cell>
          <cell r="I146">
            <v>18178</v>
          </cell>
          <cell r="J146">
            <v>1055</v>
          </cell>
        </row>
        <row r="147">
          <cell r="H147">
            <v>23043.63</v>
          </cell>
          <cell r="I147">
            <v>22856.38</v>
          </cell>
          <cell r="J147">
            <v>1292</v>
          </cell>
        </row>
        <row r="148">
          <cell r="H148">
            <v>23360.18</v>
          </cell>
          <cell r="I148">
            <v>23056.35</v>
          </cell>
          <cell r="J148">
            <v>1307</v>
          </cell>
        </row>
        <row r="149">
          <cell r="H149">
            <v>20998.45</v>
          </cell>
          <cell r="I149">
            <v>20712.98</v>
          </cell>
          <cell r="J149">
            <v>1065</v>
          </cell>
        </row>
        <row r="150">
          <cell r="H150">
            <v>14980.13</v>
          </cell>
          <cell r="I150">
            <v>14856.47</v>
          </cell>
          <cell r="J150">
            <v>982</v>
          </cell>
        </row>
        <row r="151">
          <cell r="H151">
            <v>17639.95</v>
          </cell>
          <cell r="I151">
            <v>17474.43</v>
          </cell>
          <cell r="J151">
            <v>1075</v>
          </cell>
        </row>
        <row r="152">
          <cell r="H152">
            <v>24544.83</v>
          </cell>
          <cell r="I152">
            <v>24296.73</v>
          </cell>
          <cell r="J152">
            <v>1364</v>
          </cell>
        </row>
        <row r="153">
          <cell r="H153">
            <v>21617.61</v>
          </cell>
          <cell r="I153">
            <v>21360.639999999999</v>
          </cell>
          <cell r="J153">
            <v>1172</v>
          </cell>
        </row>
        <row r="154">
          <cell r="H154">
            <v>20238.73</v>
          </cell>
          <cell r="I154">
            <v>19964.32</v>
          </cell>
          <cell r="J154">
            <v>1145</v>
          </cell>
        </row>
        <row r="155">
          <cell r="H155">
            <v>19240.16</v>
          </cell>
          <cell r="I155">
            <v>19008.48</v>
          </cell>
          <cell r="J155">
            <v>1058</v>
          </cell>
        </row>
        <row r="156">
          <cell r="H156">
            <v>29811.15</v>
          </cell>
          <cell r="I156">
            <v>29513.51</v>
          </cell>
          <cell r="J156">
            <v>1410</v>
          </cell>
        </row>
        <row r="157">
          <cell r="H157">
            <v>16102.36</v>
          </cell>
          <cell r="I157">
            <v>15964.21</v>
          </cell>
          <cell r="J157">
            <v>959</v>
          </cell>
        </row>
        <row r="158">
          <cell r="H158">
            <v>16094.45</v>
          </cell>
          <cell r="I158">
            <v>15914.02</v>
          </cell>
          <cell r="J158">
            <v>962</v>
          </cell>
        </row>
        <row r="159">
          <cell r="H159">
            <v>22416.89</v>
          </cell>
          <cell r="I159">
            <v>22142.44</v>
          </cell>
          <cell r="J159">
            <v>1264</v>
          </cell>
        </row>
        <row r="160">
          <cell r="H160">
            <v>16859.86</v>
          </cell>
          <cell r="I160">
            <v>16658.86</v>
          </cell>
          <cell r="J160">
            <v>1044</v>
          </cell>
        </row>
        <row r="161">
          <cell r="H161">
            <v>24153.7</v>
          </cell>
          <cell r="I161">
            <v>23888.13</v>
          </cell>
          <cell r="J161">
            <v>1336</v>
          </cell>
        </row>
        <row r="162">
          <cell r="H162">
            <v>23626.16</v>
          </cell>
          <cell r="I162">
            <v>23292.73</v>
          </cell>
          <cell r="J162">
            <v>1234</v>
          </cell>
        </row>
        <row r="163">
          <cell r="H163">
            <v>22865.58</v>
          </cell>
          <cell r="I163">
            <v>22560.080000000002</v>
          </cell>
          <cell r="J163">
            <v>1146</v>
          </cell>
        </row>
        <row r="164">
          <cell r="H164">
            <v>23299.57</v>
          </cell>
          <cell r="I164">
            <v>22980.2</v>
          </cell>
          <cell r="J164">
            <v>1161</v>
          </cell>
        </row>
        <row r="165">
          <cell r="H165">
            <v>14624.5</v>
          </cell>
          <cell r="I165">
            <v>14562.53</v>
          </cell>
          <cell r="J165">
            <v>934</v>
          </cell>
        </row>
        <row r="166">
          <cell r="H166">
            <v>20085.27</v>
          </cell>
          <cell r="I166">
            <v>19856.36</v>
          </cell>
          <cell r="J166">
            <v>1221</v>
          </cell>
        </row>
        <row r="167">
          <cell r="H167">
            <v>18022.88</v>
          </cell>
          <cell r="I167">
            <v>17805.46</v>
          </cell>
          <cell r="J167">
            <v>1138</v>
          </cell>
        </row>
        <row r="168">
          <cell r="H168">
            <v>21821.06</v>
          </cell>
          <cell r="I168">
            <v>21613.61</v>
          </cell>
          <cell r="J168">
            <v>1265</v>
          </cell>
        </row>
        <row r="169">
          <cell r="H169">
            <v>24056.48</v>
          </cell>
          <cell r="I169">
            <v>23741.41</v>
          </cell>
          <cell r="J169">
            <v>1287</v>
          </cell>
        </row>
        <row r="170">
          <cell r="H170">
            <v>24986.66</v>
          </cell>
          <cell r="I170">
            <v>24654.880000000001</v>
          </cell>
          <cell r="J170">
            <v>1188</v>
          </cell>
        </row>
        <row r="171">
          <cell r="H171">
            <v>15021.47</v>
          </cell>
          <cell r="I171">
            <v>14864.26</v>
          </cell>
          <cell r="J171">
            <v>974</v>
          </cell>
        </row>
        <row r="172">
          <cell r="H172">
            <v>15884.48</v>
          </cell>
          <cell r="I172">
            <v>15729.74</v>
          </cell>
          <cell r="J172">
            <v>994</v>
          </cell>
        </row>
        <row r="173">
          <cell r="H173">
            <v>19255.45</v>
          </cell>
          <cell r="I173">
            <v>18986.099999999999</v>
          </cell>
          <cell r="J173">
            <v>1178</v>
          </cell>
        </row>
        <row r="174">
          <cell r="H174">
            <v>16307</v>
          </cell>
          <cell r="I174">
            <v>16104.25</v>
          </cell>
          <cell r="J174">
            <v>1028</v>
          </cell>
        </row>
        <row r="175">
          <cell r="H175">
            <v>21333.96</v>
          </cell>
          <cell r="I175">
            <v>21083.73</v>
          </cell>
          <cell r="J175">
            <v>1222</v>
          </cell>
        </row>
        <row r="176">
          <cell r="H176">
            <v>21603.52</v>
          </cell>
          <cell r="I176">
            <v>21271.599999999999</v>
          </cell>
          <cell r="J176">
            <v>1246</v>
          </cell>
        </row>
        <row r="177">
          <cell r="H177">
            <v>24412.26</v>
          </cell>
          <cell r="I177">
            <v>24090.11</v>
          </cell>
          <cell r="J177">
            <v>1301</v>
          </cell>
        </row>
        <row r="178">
          <cell r="H178">
            <v>14600</v>
          </cell>
          <cell r="I178">
            <v>14429.06</v>
          </cell>
          <cell r="J178">
            <v>959</v>
          </cell>
        </row>
        <row r="179">
          <cell r="H179">
            <v>15508.87</v>
          </cell>
          <cell r="I179">
            <v>15316.8</v>
          </cell>
          <cell r="J179">
            <v>919</v>
          </cell>
        </row>
        <row r="180">
          <cell r="H180">
            <v>19347.28</v>
          </cell>
          <cell r="I180">
            <v>19067.009999999998</v>
          </cell>
          <cell r="J180">
            <v>1182</v>
          </cell>
        </row>
        <row r="181">
          <cell r="H181">
            <v>19185.169999999998</v>
          </cell>
          <cell r="I181">
            <v>18970.439999999999</v>
          </cell>
          <cell r="J181">
            <v>1224</v>
          </cell>
        </row>
        <row r="182">
          <cell r="H182">
            <v>23166.33</v>
          </cell>
          <cell r="I182">
            <v>22868.1</v>
          </cell>
          <cell r="J182">
            <v>1281</v>
          </cell>
        </row>
        <row r="183">
          <cell r="H183">
            <v>23015.89</v>
          </cell>
          <cell r="I183">
            <v>22677.439999999999</v>
          </cell>
          <cell r="J183">
            <v>1256</v>
          </cell>
        </row>
        <row r="184">
          <cell r="H184">
            <v>24159.84</v>
          </cell>
          <cell r="I184">
            <v>23815.14</v>
          </cell>
          <cell r="J184">
            <v>1217</v>
          </cell>
        </row>
        <row r="185">
          <cell r="H185">
            <v>15982.39</v>
          </cell>
          <cell r="I185">
            <v>15798.6</v>
          </cell>
          <cell r="J185">
            <v>957</v>
          </cell>
        </row>
        <row r="186">
          <cell r="H186">
            <v>19551.189999999999</v>
          </cell>
          <cell r="I186">
            <v>19319.73</v>
          </cell>
          <cell r="J186">
            <v>1096</v>
          </cell>
        </row>
        <row r="187">
          <cell r="H187">
            <v>23093.99</v>
          </cell>
          <cell r="I187">
            <v>22825.3</v>
          </cell>
          <cell r="J187">
            <v>1269</v>
          </cell>
        </row>
        <row r="188">
          <cell r="H188">
            <v>23135.95</v>
          </cell>
          <cell r="I188">
            <v>22874.14</v>
          </cell>
          <cell r="J188">
            <v>1318</v>
          </cell>
        </row>
        <row r="189">
          <cell r="H189">
            <v>26421.7</v>
          </cell>
          <cell r="I189">
            <v>26123.21</v>
          </cell>
          <cell r="J189">
            <v>1393</v>
          </cell>
        </row>
        <row r="190">
          <cell r="H190">
            <v>25955.09</v>
          </cell>
          <cell r="I190">
            <v>25588.19</v>
          </cell>
          <cell r="J190">
            <v>1289</v>
          </cell>
        </row>
        <row r="191">
          <cell r="H191">
            <v>27973.77</v>
          </cell>
          <cell r="I191">
            <v>27663.25</v>
          </cell>
          <cell r="J191">
            <v>1316</v>
          </cell>
        </row>
        <row r="192">
          <cell r="H192">
            <v>20915.009999999998</v>
          </cell>
          <cell r="I192">
            <v>20678.47</v>
          </cell>
          <cell r="J192">
            <v>1171</v>
          </cell>
        </row>
        <row r="193">
          <cell r="H193">
            <v>19873.150000000001</v>
          </cell>
          <cell r="I193">
            <v>19629.68</v>
          </cell>
          <cell r="J193">
            <v>1116</v>
          </cell>
        </row>
        <row r="194">
          <cell r="H194">
            <v>22029.51</v>
          </cell>
          <cell r="I194">
            <v>21750.18</v>
          </cell>
          <cell r="J194">
            <v>1216</v>
          </cell>
        </row>
        <row r="195">
          <cell r="H195">
            <v>24342.42</v>
          </cell>
          <cell r="I195">
            <v>21110.54</v>
          </cell>
          <cell r="J195">
            <v>1200</v>
          </cell>
        </row>
        <row r="196">
          <cell r="H196">
            <v>27320.55</v>
          </cell>
          <cell r="I196">
            <v>27001.7</v>
          </cell>
          <cell r="J196">
            <v>1442</v>
          </cell>
        </row>
        <row r="197">
          <cell r="H197">
            <v>23814.28</v>
          </cell>
          <cell r="I197">
            <v>23543.72</v>
          </cell>
          <cell r="J197">
            <v>1286</v>
          </cell>
        </row>
        <row r="198">
          <cell r="H198">
            <v>24031.32</v>
          </cell>
          <cell r="I198">
            <v>23799.72</v>
          </cell>
          <cell r="J198">
            <v>1170</v>
          </cell>
        </row>
        <row r="199">
          <cell r="H199">
            <v>25157.46</v>
          </cell>
          <cell r="I199">
            <v>24776.35</v>
          </cell>
          <cell r="J199">
            <v>1240</v>
          </cell>
        </row>
        <row r="200">
          <cell r="H200">
            <v>17022.93</v>
          </cell>
          <cell r="I200">
            <v>16819.02</v>
          </cell>
          <cell r="J200">
            <v>952</v>
          </cell>
        </row>
        <row r="201">
          <cell r="H201">
            <v>17981.23</v>
          </cell>
          <cell r="I201">
            <v>17771.25</v>
          </cell>
          <cell r="J201">
            <v>1017</v>
          </cell>
        </row>
        <row r="202">
          <cell r="H202">
            <v>19209.18</v>
          </cell>
          <cell r="I202">
            <v>18955.45</v>
          </cell>
          <cell r="J202">
            <v>1113</v>
          </cell>
        </row>
        <row r="203">
          <cell r="H203">
            <v>23540.16</v>
          </cell>
          <cell r="I203">
            <v>23318.080000000002</v>
          </cell>
          <cell r="J203">
            <v>1224</v>
          </cell>
        </row>
        <row r="204">
          <cell r="H204">
            <v>24639.73</v>
          </cell>
          <cell r="I204">
            <v>24374.16</v>
          </cell>
          <cell r="J204">
            <v>1230</v>
          </cell>
        </row>
        <row r="205">
          <cell r="H205">
            <v>24760.84</v>
          </cell>
          <cell r="I205">
            <v>24522.35</v>
          </cell>
          <cell r="J205">
            <v>1179</v>
          </cell>
        </row>
        <row r="206">
          <cell r="H206">
            <v>17968.73</v>
          </cell>
          <cell r="I206">
            <v>17781.32</v>
          </cell>
          <cell r="J206">
            <v>980</v>
          </cell>
        </row>
        <row r="207">
          <cell r="H207">
            <v>16391.439999999999</v>
          </cell>
          <cell r="I207">
            <v>16185.02</v>
          </cell>
          <cell r="J207">
            <v>916</v>
          </cell>
        </row>
        <row r="208">
          <cell r="H208">
            <v>19187.830000000002</v>
          </cell>
          <cell r="I208">
            <v>18914.849999999999</v>
          </cell>
          <cell r="J208">
            <v>1037</v>
          </cell>
        </row>
        <row r="209">
          <cell r="H209">
            <v>19200.939999999999</v>
          </cell>
          <cell r="I209">
            <v>18996.21</v>
          </cell>
          <cell r="J209">
            <v>1054</v>
          </cell>
        </row>
        <row r="210">
          <cell r="H210">
            <v>24930.560000000001</v>
          </cell>
          <cell r="I210">
            <v>24633.37</v>
          </cell>
          <cell r="J210">
            <v>1289</v>
          </cell>
        </row>
        <row r="211">
          <cell r="H211">
            <v>22846.94</v>
          </cell>
          <cell r="I211">
            <v>22556.03</v>
          </cell>
          <cell r="J211">
            <v>1168</v>
          </cell>
        </row>
        <row r="212">
          <cell r="H212">
            <v>22493.67</v>
          </cell>
          <cell r="I212">
            <v>22206.880000000001</v>
          </cell>
          <cell r="J212">
            <v>1087</v>
          </cell>
        </row>
        <row r="213">
          <cell r="H213">
            <v>17780.060000000001</v>
          </cell>
          <cell r="I213">
            <v>17572.03</v>
          </cell>
          <cell r="J213">
            <v>985</v>
          </cell>
        </row>
        <row r="214">
          <cell r="H214">
            <v>16325.23</v>
          </cell>
          <cell r="I214">
            <v>16131.4</v>
          </cell>
          <cell r="J214">
            <v>951</v>
          </cell>
        </row>
        <row r="215">
          <cell r="H215">
            <v>18390.650000000001</v>
          </cell>
          <cell r="I215">
            <v>18167.099999999999</v>
          </cell>
          <cell r="J215">
            <v>1025</v>
          </cell>
        </row>
        <row r="216">
          <cell r="H216">
            <v>20092.650000000001</v>
          </cell>
          <cell r="I216">
            <v>19884.61</v>
          </cell>
          <cell r="J216">
            <v>1101</v>
          </cell>
        </row>
        <row r="217">
          <cell r="H217">
            <v>22978.3</v>
          </cell>
          <cell r="I217">
            <v>22725.49</v>
          </cell>
          <cell r="J217">
            <v>1214</v>
          </cell>
        </row>
        <row r="218">
          <cell r="H218">
            <v>25903.25</v>
          </cell>
          <cell r="I218">
            <v>25618.79</v>
          </cell>
          <cell r="J218">
            <v>1295</v>
          </cell>
        </row>
        <row r="219">
          <cell r="H219">
            <v>23704.76</v>
          </cell>
          <cell r="I219">
            <v>23453.96</v>
          </cell>
          <cell r="J219">
            <v>1147</v>
          </cell>
        </row>
        <row r="220">
          <cell r="H220">
            <v>18155.63</v>
          </cell>
          <cell r="I220">
            <v>17967.240000000002</v>
          </cell>
          <cell r="J220">
            <v>1009</v>
          </cell>
        </row>
        <row r="221">
          <cell r="H221">
            <v>17876.55</v>
          </cell>
          <cell r="I221">
            <v>17625.97</v>
          </cell>
          <cell r="J221">
            <v>945</v>
          </cell>
        </row>
        <row r="222">
          <cell r="H222">
            <v>20169.82</v>
          </cell>
          <cell r="I222">
            <v>19918.18</v>
          </cell>
          <cell r="J222">
            <v>1045</v>
          </cell>
        </row>
        <row r="223">
          <cell r="H223">
            <v>19089.21</v>
          </cell>
          <cell r="I223">
            <v>18761.45</v>
          </cell>
          <cell r="J223">
            <v>1034</v>
          </cell>
        </row>
        <row r="224">
          <cell r="H224">
            <v>22151.7</v>
          </cell>
          <cell r="I224">
            <v>21847.67</v>
          </cell>
          <cell r="J224">
            <v>1145</v>
          </cell>
        </row>
        <row r="225">
          <cell r="H225">
            <v>21739.759999999998</v>
          </cell>
          <cell r="I225">
            <v>21403.91</v>
          </cell>
          <cell r="J225">
            <v>1092</v>
          </cell>
        </row>
        <row r="226">
          <cell r="H226">
            <v>23695.55</v>
          </cell>
          <cell r="I226">
            <v>23287.62</v>
          </cell>
          <cell r="J226">
            <v>1122</v>
          </cell>
        </row>
        <row r="227">
          <cell r="H227">
            <v>18361.39</v>
          </cell>
          <cell r="I227">
            <v>18089.88</v>
          </cell>
          <cell r="J227">
            <v>964</v>
          </cell>
        </row>
        <row r="228">
          <cell r="H228">
            <v>16853.580000000002</v>
          </cell>
          <cell r="I228">
            <v>16558.27</v>
          </cell>
          <cell r="J228">
            <v>922</v>
          </cell>
        </row>
        <row r="229">
          <cell r="H229">
            <v>19255.66</v>
          </cell>
          <cell r="I229">
            <v>18960.16</v>
          </cell>
          <cell r="J229">
            <v>1048</v>
          </cell>
        </row>
        <row r="230">
          <cell r="H230">
            <v>22346.91</v>
          </cell>
          <cell r="I230">
            <v>22002.36</v>
          </cell>
          <cell r="J230">
            <v>1181</v>
          </cell>
        </row>
        <row r="231">
          <cell r="H231">
            <v>23856.29</v>
          </cell>
          <cell r="I231">
            <v>23470.5</v>
          </cell>
          <cell r="J231">
            <v>1196</v>
          </cell>
        </row>
        <row r="232">
          <cell r="H232">
            <v>23859.47</v>
          </cell>
          <cell r="I232">
            <v>23482.44</v>
          </cell>
          <cell r="J232">
            <v>1169</v>
          </cell>
        </row>
        <row r="233">
          <cell r="H233">
            <v>23442.76</v>
          </cell>
          <cell r="I233">
            <v>23041.96</v>
          </cell>
          <cell r="J233">
            <v>1118</v>
          </cell>
        </row>
        <row r="234">
          <cell r="H234">
            <v>18937.330000000002</v>
          </cell>
          <cell r="I234">
            <v>18666.080000000002</v>
          </cell>
          <cell r="J234">
            <v>1039</v>
          </cell>
        </row>
        <row r="235">
          <cell r="H235">
            <v>17734.599999999999</v>
          </cell>
          <cell r="I235">
            <v>17447.990000000002</v>
          </cell>
          <cell r="J235">
            <v>996</v>
          </cell>
        </row>
        <row r="236">
          <cell r="H236">
            <v>21251.5</v>
          </cell>
          <cell r="I236">
            <v>20919.63</v>
          </cell>
          <cell r="J236">
            <v>1113</v>
          </cell>
        </row>
        <row r="237">
          <cell r="H237">
            <v>21441.67</v>
          </cell>
          <cell r="I237">
            <v>21148.79</v>
          </cell>
          <cell r="J237">
            <v>1100</v>
          </cell>
        </row>
        <row r="238">
          <cell r="H238">
            <v>23052.25</v>
          </cell>
          <cell r="I238">
            <v>22730.06</v>
          </cell>
          <cell r="J238">
            <v>1255</v>
          </cell>
        </row>
        <row r="239">
          <cell r="H239">
            <v>22738.84</v>
          </cell>
          <cell r="I239">
            <v>22380.26</v>
          </cell>
          <cell r="J239">
            <v>1166</v>
          </cell>
        </row>
        <row r="240">
          <cell r="H240">
            <v>22559.99</v>
          </cell>
          <cell r="I240">
            <v>22309.24</v>
          </cell>
          <cell r="J240">
            <v>1083</v>
          </cell>
        </row>
        <row r="241">
          <cell r="H241">
            <v>17734.77</v>
          </cell>
          <cell r="I241">
            <v>17492.32</v>
          </cell>
          <cell r="J241">
            <v>1011</v>
          </cell>
        </row>
        <row r="242">
          <cell r="H242">
            <v>18006.98</v>
          </cell>
          <cell r="I242">
            <v>17773.95</v>
          </cell>
          <cell r="J242">
            <v>1009</v>
          </cell>
        </row>
        <row r="243">
          <cell r="H243">
            <v>21359.23</v>
          </cell>
          <cell r="I243">
            <v>21082.560000000001</v>
          </cell>
          <cell r="J243">
            <v>1179</v>
          </cell>
        </row>
        <row r="244">
          <cell r="H244">
            <v>21443.87</v>
          </cell>
          <cell r="I244">
            <v>21165.77</v>
          </cell>
          <cell r="J244">
            <v>1151</v>
          </cell>
        </row>
        <row r="245">
          <cell r="H245">
            <v>25173.94</v>
          </cell>
          <cell r="I245">
            <v>24847.54</v>
          </cell>
          <cell r="J245">
            <v>1307</v>
          </cell>
        </row>
        <row r="246">
          <cell r="H246">
            <v>24469.64</v>
          </cell>
          <cell r="I246">
            <v>24185.55</v>
          </cell>
          <cell r="J246">
            <v>1248</v>
          </cell>
        </row>
        <row r="247">
          <cell r="H247">
            <v>25760.19</v>
          </cell>
          <cell r="I247">
            <v>25472.43</v>
          </cell>
          <cell r="J247">
            <v>1185</v>
          </cell>
        </row>
        <row r="248">
          <cell r="H248">
            <v>16766.48</v>
          </cell>
          <cell r="I248">
            <v>16611.75</v>
          </cell>
          <cell r="J248">
            <v>978</v>
          </cell>
        </row>
        <row r="249">
          <cell r="H249">
            <v>16342.49</v>
          </cell>
          <cell r="I249">
            <v>16013.23</v>
          </cell>
          <cell r="J249">
            <v>974</v>
          </cell>
        </row>
        <row r="250">
          <cell r="H250">
            <v>19514.61</v>
          </cell>
          <cell r="I250">
            <v>19046.95</v>
          </cell>
          <cell r="J250">
            <v>1122</v>
          </cell>
        </row>
        <row r="251">
          <cell r="H251">
            <v>18031.759999999998</v>
          </cell>
          <cell r="I251">
            <v>17548.689999999999</v>
          </cell>
          <cell r="J251">
            <v>1042</v>
          </cell>
        </row>
        <row r="252">
          <cell r="H252">
            <v>26002</v>
          </cell>
          <cell r="I252">
            <v>25278.13</v>
          </cell>
          <cell r="J252">
            <v>1353</v>
          </cell>
        </row>
        <row r="253">
          <cell r="H253">
            <v>25376.18</v>
          </cell>
          <cell r="I253">
            <v>24662.05</v>
          </cell>
          <cell r="J253">
            <v>1294</v>
          </cell>
        </row>
        <row r="254">
          <cell r="H254">
            <v>24267.47</v>
          </cell>
          <cell r="I254">
            <v>23652.86</v>
          </cell>
          <cell r="J254">
            <v>1191</v>
          </cell>
        </row>
        <row r="255">
          <cell r="H255">
            <v>14370.31</v>
          </cell>
          <cell r="I255">
            <v>14207</v>
          </cell>
          <cell r="J255">
            <v>880</v>
          </cell>
        </row>
        <row r="256">
          <cell r="H256">
            <v>16328.24</v>
          </cell>
          <cell r="I256">
            <v>16146.06</v>
          </cell>
          <cell r="J256">
            <v>981</v>
          </cell>
        </row>
        <row r="257">
          <cell r="H257">
            <v>10193.15</v>
          </cell>
          <cell r="I257">
            <v>10103.86</v>
          </cell>
          <cell r="J257">
            <v>582</v>
          </cell>
        </row>
        <row r="258">
          <cell r="H258">
            <v>17993.71</v>
          </cell>
          <cell r="I258">
            <v>17774.53</v>
          </cell>
          <cell r="J258">
            <v>1087</v>
          </cell>
        </row>
        <row r="259">
          <cell r="H259">
            <v>23306.9</v>
          </cell>
          <cell r="I259">
            <v>23018.75</v>
          </cell>
          <cell r="J259">
            <v>1266</v>
          </cell>
        </row>
        <row r="260">
          <cell r="H260">
            <v>24440.66</v>
          </cell>
          <cell r="I260">
            <v>24055.13</v>
          </cell>
          <cell r="J260">
            <v>1293</v>
          </cell>
        </row>
        <row r="261">
          <cell r="H261">
            <v>21535.67</v>
          </cell>
          <cell r="I261">
            <v>21251.77</v>
          </cell>
          <cell r="J261">
            <v>1048</v>
          </cell>
        </row>
        <row r="262">
          <cell r="H262">
            <v>12385.64</v>
          </cell>
          <cell r="I262">
            <v>12228.51</v>
          </cell>
          <cell r="J262">
            <v>778</v>
          </cell>
        </row>
        <row r="263">
          <cell r="H263">
            <v>14757.85</v>
          </cell>
          <cell r="I263">
            <v>14600.96</v>
          </cell>
          <cell r="J263">
            <v>901</v>
          </cell>
        </row>
        <row r="264">
          <cell r="H264">
            <v>17816.919999999998</v>
          </cell>
          <cell r="I264">
            <v>17534.740000000002</v>
          </cell>
          <cell r="J264">
            <v>1041</v>
          </cell>
        </row>
        <row r="265">
          <cell r="H265">
            <v>15965.95</v>
          </cell>
          <cell r="I265">
            <v>15770.03</v>
          </cell>
          <cell r="J265">
            <v>981</v>
          </cell>
        </row>
        <row r="266">
          <cell r="H266">
            <v>21284.79</v>
          </cell>
          <cell r="I266">
            <v>21060.240000000002</v>
          </cell>
          <cell r="J266">
            <v>1188</v>
          </cell>
        </row>
        <row r="267">
          <cell r="H267">
            <v>21492.95</v>
          </cell>
          <cell r="I267">
            <v>21158.1</v>
          </cell>
          <cell r="J267">
            <v>1137</v>
          </cell>
        </row>
        <row r="268">
          <cell r="H268">
            <v>21958.560000000001</v>
          </cell>
          <cell r="I268">
            <v>21655.57</v>
          </cell>
          <cell r="J268">
            <v>1033</v>
          </cell>
        </row>
        <row r="269">
          <cell r="H269">
            <v>12522.22</v>
          </cell>
          <cell r="I269">
            <v>12393.23</v>
          </cell>
          <cell r="J269">
            <v>798</v>
          </cell>
        </row>
        <row r="270">
          <cell r="H270">
            <v>13268.33</v>
          </cell>
          <cell r="I270">
            <v>13054.31</v>
          </cell>
          <cell r="J270">
            <v>833</v>
          </cell>
        </row>
        <row r="271">
          <cell r="H271">
            <v>18314.98</v>
          </cell>
          <cell r="I271">
            <v>17988.57</v>
          </cell>
          <cell r="J271">
            <v>1058</v>
          </cell>
        </row>
        <row r="272">
          <cell r="H272">
            <v>15263.76</v>
          </cell>
          <cell r="I272">
            <v>14979.03</v>
          </cell>
          <cell r="J272">
            <v>942</v>
          </cell>
        </row>
        <row r="273">
          <cell r="H273">
            <v>22727.49</v>
          </cell>
          <cell r="I273">
            <v>22324.38</v>
          </cell>
          <cell r="J273">
            <v>1217</v>
          </cell>
        </row>
        <row r="274">
          <cell r="H274">
            <v>23463.49</v>
          </cell>
          <cell r="I274">
            <v>22953.43</v>
          </cell>
          <cell r="J274">
            <v>1254</v>
          </cell>
        </row>
        <row r="275">
          <cell r="H275">
            <v>23519.18</v>
          </cell>
          <cell r="I275">
            <v>23062</v>
          </cell>
          <cell r="J275">
            <v>1102</v>
          </cell>
        </row>
        <row r="276">
          <cell r="H276">
            <v>13497.17</v>
          </cell>
          <cell r="I276">
            <v>13224.74</v>
          </cell>
          <cell r="J276">
            <v>843</v>
          </cell>
        </row>
        <row r="277">
          <cell r="H277">
            <v>13503.54</v>
          </cell>
          <cell r="I277">
            <v>13278.36</v>
          </cell>
          <cell r="J277">
            <v>816</v>
          </cell>
        </row>
        <row r="278">
          <cell r="H278">
            <v>17507.490000000002</v>
          </cell>
          <cell r="I278">
            <v>17152.650000000001</v>
          </cell>
          <cell r="J278">
            <v>1009</v>
          </cell>
        </row>
        <row r="279">
          <cell r="H279">
            <v>16756.04</v>
          </cell>
          <cell r="I279">
            <v>16444.5</v>
          </cell>
          <cell r="J279">
            <v>1004</v>
          </cell>
        </row>
        <row r="280">
          <cell r="H280">
            <v>22638.65</v>
          </cell>
          <cell r="I280">
            <v>22218.82</v>
          </cell>
          <cell r="J280">
            <v>1353</v>
          </cell>
        </row>
        <row r="281">
          <cell r="H281">
            <v>22008.04</v>
          </cell>
          <cell r="I281">
            <v>21571.77</v>
          </cell>
          <cell r="J281">
            <v>1124</v>
          </cell>
        </row>
        <row r="282">
          <cell r="H282">
            <v>22514.94</v>
          </cell>
          <cell r="I282">
            <v>22127.48</v>
          </cell>
          <cell r="J282">
            <v>1098</v>
          </cell>
        </row>
        <row r="283">
          <cell r="H283">
            <v>16551.46</v>
          </cell>
          <cell r="I283">
            <v>16370.12</v>
          </cell>
          <cell r="J283">
            <v>977</v>
          </cell>
        </row>
        <row r="284">
          <cell r="H284">
            <v>15566.07</v>
          </cell>
          <cell r="I284">
            <v>15414.83</v>
          </cell>
          <cell r="J284">
            <v>963</v>
          </cell>
        </row>
        <row r="285">
          <cell r="H285">
            <v>17862.330000000002</v>
          </cell>
          <cell r="I285">
            <v>17571.490000000002</v>
          </cell>
          <cell r="J285">
            <v>967</v>
          </cell>
        </row>
        <row r="286">
          <cell r="H286">
            <v>17245.61</v>
          </cell>
          <cell r="I286">
            <v>16991.939999999999</v>
          </cell>
          <cell r="J286">
            <v>1004</v>
          </cell>
        </row>
        <row r="287">
          <cell r="H287">
            <v>26243.81</v>
          </cell>
          <cell r="I287">
            <v>25919.07</v>
          </cell>
          <cell r="J287">
            <v>1340</v>
          </cell>
        </row>
        <row r="288">
          <cell r="H288">
            <v>26391.62</v>
          </cell>
          <cell r="I288">
            <v>26037.56</v>
          </cell>
          <cell r="J288">
            <v>1343</v>
          </cell>
        </row>
        <row r="289">
          <cell r="H289">
            <v>25158.52</v>
          </cell>
          <cell r="I289">
            <v>24776.67</v>
          </cell>
          <cell r="J289">
            <v>1169</v>
          </cell>
        </row>
        <row r="290">
          <cell r="H290">
            <v>14180.68</v>
          </cell>
          <cell r="I290">
            <v>14030.93</v>
          </cell>
          <cell r="J290">
            <v>828</v>
          </cell>
        </row>
        <row r="291">
          <cell r="H291">
            <v>15640.97</v>
          </cell>
          <cell r="I291">
            <v>15399.24</v>
          </cell>
          <cell r="J291">
            <v>921</v>
          </cell>
        </row>
        <row r="292">
          <cell r="H292">
            <v>17662.5</v>
          </cell>
          <cell r="I292">
            <v>17433.82</v>
          </cell>
          <cell r="J292">
            <v>1059</v>
          </cell>
        </row>
        <row r="293">
          <cell r="H293">
            <v>16380.43</v>
          </cell>
          <cell r="I293">
            <v>16205.27</v>
          </cell>
          <cell r="J293">
            <v>956</v>
          </cell>
        </row>
        <row r="294">
          <cell r="H294">
            <v>23345.08</v>
          </cell>
          <cell r="I294">
            <v>23128.37</v>
          </cell>
          <cell r="J294">
            <v>1244</v>
          </cell>
        </row>
        <row r="295">
          <cell r="H295">
            <v>25187.96</v>
          </cell>
          <cell r="I295">
            <v>24874.86</v>
          </cell>
          <cell r="J295">
            <v>1337</v>
          </cell>
        </row>
        <row r="296">
          <cell r="H296">
            <v>22699.82</v>
          </cell>
          <cell r="I296">
            <v>22370.76</v>
          </cell>
          <cell r="J296">
            <v>1082</v>
          </cell>
        </row>
        <row r="297">
          <cell r="H297">
            <v>16067.63</v>
          </cell>
          <cell r="I297">
            <v>15895</v>
          </cell>
          <cell r="J297">
            <v>961</v>
          </cell>
        </row>
        <row r="298">
          <cell r="H298">
            <v>17637.77</v>
          </cell>
          <cell r="I298">
            <v>17324.689999999999</v>
          </cell>
          <cell r="J298">
            <v>966</v>
          </cell>
        </row>
        <row r="299">
          <cell r="H299">
            <v>18347.259999999998</v>
          </cell>
          <cell r="I299">
            <v>18100.36</v>
          </cell>
          <cell r="J299">
            <v>1001</v>
          </cell>
        </row>
        <row r="300">
          <cell r="H300">
            <v>20298.18</v>
          </cell>
          <cell r="I300">
            <v>20071.560000000001</v>
          </cell>
          <cell r="J300">
            <v>1183</v>
          </cell>
        </row>
        <row r="301">
          <cell r="H301">
            <v>24264.6</v>
          </cell>
          <cell r="I301">
            <v>23959.63</v>
          </cell>
          <cell r="J301">
            <v>1269</v>
          </cell>
        </row>
        <row r="302">
          <cell r="H302">
            <v>23581.85</v>
          </cell>
          <cell r="I302">
            <v>23248.99</v>
          </cell>
          <cell r="J302">
            <v>1217</v>
          </cell>
        </row>
        <row r="303">
          <cell r="H303">
            <v>21191.65</v>
          </cell>
          <cell r="I303">
            <v>20915.38</v>
          </cell>
          <cell r="J303">
            <v>987</v>
          </cell>
        </row>
        <row r="304">
          <cell r="H304">
            <v>15298.9</v>
          </cell>
          <cell r="I304">
            <v>15093.87</v>
          </cell>
          <cell r="J304">
            <v>905</v>
          </cell>
        </row>
        <row r="305">
          <cell r="H305">
            <v>18482.22</v>
          </cell>
          <cell r="I305">
            <v>18234.560000000001</v>
          </cell>
          <cell r="J305">
            <v>1010</v>
          </cell>
        </row>
        <row r="306">
          <cell r="H306">
            <v>20437.47</v>
          </cell>
          <cell r="I306">
            <v>20181.47</v>
          </cell>
          <cell r="J306">
            <v>1080</v>
          </cell>
        </row>
        <row r="307">
          <cell r="H307">
            <v>20819.61</v>
          </cell>
          <cell r="I307">
            <v>20553.16</v>
          </cell>
          <cell r="J307">
            <v>1093</v>
          </cell>
        </row>
        <row r="308">
          <cell r="H308">
            <v>25169.71</v>
          </cell>
          <cell r="I308">
            <v>24815.64</v>
          </cell>
          <cell r="J308">
            <v>1308</v>
          </cell>
        </row>
        <row r="309">
          <cell r="H309">
            <v>25476.55</v>
          </cell>
          <cell r="I309">
            <v>25113.06</v>
          </cell>
          <cell r="J309">
            <v>1214</v>
          </cell>
        </row>
        <row r="310">
          <cell r="H310">
            <v>22615.33</v>
          </cell>
          <cell r="I310">
            <v>22252.13</v>
          </cell>
          <cell r="J310">
            <v>1043</v>
          </cell>
        </row>
        <row r="311">
          <cell r="H311">
            <v>13769.22</v>
          </cell>
          <cell r="I311">
            <v>13642.74</v>
          </cell>
          <cell r="J311">
            <v>839</v>
          </cell>
        </row>
        <row r="312">
          <cell r="H312">
            <v>15413.98</v>
          </cell>
          <cell r="I312">
            <v>15193.78</v>
          </cell>
          <cell r="J312">
            <v>894</v>
          </cell>
        </row>
        <row r="313">
          <cell r="H313">
            <v>18614.7</v>
          </cell>
          <cell r="I313">
            <v>18368.34</v>
          </cell>
          <cell r="J313">
            <v>1049</v>
          </cell>
        </row>
        <row r="314">
          <cell r="H314">
            <v>16398.75</v>
          </cell>
          <cell r="I314">
            <v>16184.18</v>
          </cell>
          <cell r="J314">
            <v>1008</v>
          </cell>
        </row>
        <row r="315">
          <cell r="H315">
            <v>23544.400000000001</v>
          </cell>
          <cell r="I315">
            <v>23295.62</v>
          </cell>
          <cell r="J315">
            <v>1308</v>
          </cell>
        </row>
        <row r="316">
          <cell r="H316">
            <v>25291.99</v>
          </cell>
          <cell r="I316">
            <v>24935.34</v>
          </cell>
          <cell r="J316">
            <v>1299</v>
          </cell>
        </row>
        <row r="317">
          <cell r="H317">
            <v>23213.99</v>
          </cell>
          <cell r="I317">
            <v>22940.92</v>
          </cell>
          <cell r="J317">
            <v>1089</v>
          </cell>
        </row>
        <row r="318">
          <cell r="H318">
            <v>16075.38</v>
          </cell>
          <cell r="I318">
            <v>15918.38</v>
          </cell>
          <cell r="J318">
            <v>952</v>
          </cell>
        </row>
        <row r="319">
          <cell r="H319">
            <v>20282.27</v>
          </cell>
          <cell r="I319">
            <v>20091.53</v>
          </cell>
          <cell r="J319">
            <v>1013</v>
          </cell>
        </row>
        <row r="320">
          <cell r="H320">
            <v>15986.92</v>
          </cell>
          <cell r="I320">
            <v>15854.2</v>
          </cell>
          <cell r="J320">
            <v>952</v>
          </cell>
        </row>
        <row r="321">
          <cell r="H321">
            <v>15255.34</v>
          </cell>
          <cell r="I321">
            <v>15090.45</v>
          </cell>
          <cell r="J321">
            <v>903</v>
          </cell>
        </row>
        <row r="322">
          <cell r="H322">
            <v>22780.240000000002</v>
          </cell>
          <cell r="I322">
            <v>22488.2</v>
          </cell>
          <cell r="J322">
            <v>1273</v>
          </cell>
        </row>
        <row r="323">
          <cell r="H323">
            <v>23769.31</v>
          </cell>
          <cell r="I323">
            <v>23477.8</v>
          </cell>
          <cell r="J323">
            <v>1254</v>
          </cell>
        </row>
        <row r="324">
          <cell r="H324">
            <v>22896.720000000001</v>
          </cell>
          <cell r="I324">
            <v>22534.54</v>
          </cell>
          <cell r="J324">
            <v>1116</v>
          </cell>
        </row>
        <row r="325">
          <cell r="H325">
            <v>12187</v>
          </cell>
          <cell r="I325">
            <v>12033.69</v>
          </cell>
          <cell r="J325">
            <v>763</v>
          </cell>
        </row>
        <row r="326">
          <cell r="H326">
            <v>13562.57</v>
          </cell>
          <cell r="I326">
            <v>13412.04</v>
          </cell>
          <cell r="J326">
            <v>846</v>
          </cell>
        </row>
        <row r="327">
          <cell r="H327">
            <v>16942.27</v>
          </cell>
          <cell r="I327">
            <v>16711.8</v>
          </cell>
          <cell r="J327">
            <v>1056</v>
          </cell>
        </row>
        <row r="328">
          <cell r="H328">
            <v>14995.5</v>
          </cell>
          <cell r="I328">
            <v>14827.11</v>
          </cell>
          <cell r="J328">
            <v>927</v>
          </cell>
        </row>
        <row r="329">
          <cell r="H329">
            <v>23858.240000000002</v>
          </cell>
          <cell r="I329">
            <v>23622.71</v>
          </cell>
          <cell r="J329">
            <v>1267</v>
          </cell>
        </row>
        <row r="330">
          <cell r="H330">
            <v>22890.25</v>
          </cell>
          <cell r="I330">
            <v>22555.69</v>
          </cell>
          <cell r="J330">
            <v>1233</v>
          </cell>
        </row>
        <row r="331">
          <cell r="H331">
            <v>22259.72</v>
          </cell>
          <cell r="I331">
            <v>21885.62</v>
          </cell>
          <cell r="J331">
            <v>1069</v>
          </cell>
        </row>
        <row r="332">
          <cell r="H332">
            <v>12894.36</v>
          </cell>
          <cell r="I332">
            <v>12756.38</v>
          </cell>
          <cell r="J332">
            <v>804</v>
          </cell>
        </row>
        <row r="333">
          <cell r="H333">
            <v>13561.87</v>
          </cell>
          <cell r="I333">
            <v>13432.16</v>
          </cell>
          <cell r="J333">
            <v>823</v>
          </cell>
        </row>
        <row r="334">
          <cell r="H334">
            <v>17264.2</v>
          </cell>
          <cell r="I334">
            <v>16998.849999999999</v>
          </cell>
          <cell r="J334">
            <v>1047</v>
          </cell>
        </row>
        <row r="335">
          <cell r="H335">
            <v>17801.07</v>
          </cell>
          <cell r="I335">
            <v>17536.61</v>
          </cell>
          <cell r="J335">
            <v>1041</v>
          </cell>
        </row>
        <row r="336">
          <cell r="H336">
            <v>25046.26</v>
          </cell>
          <cell r="I336">
            <v>24632.87</v>
          </cell>
          <cell r="J336">
            <v>1324</v>
          </cell>
        </row>
        <row r="337">
          <cell r="H337">
            <v>26475.360000000001</v>
          </cell>
          <cell r="I337">
            <v>25946.79</v>
          </cell>
          <cell r="J337">
            <v>1317</v>
          </cell>
        </row>
        <row r="338">
          <cell r="H338">
            <v>24030.02</v>
          </cell>
          <cell r="I338">
            <v>23515.19</v>
          </cell>
          <cell r="J338">
            <v>1124</v>
          </cell>
        </row>
        <row r="339">
          <cell r="H339">
            <v>13279.16</v>
          </cell>
          <cell r="I339">
            <v>13031.89</v>
          </cell>
          <cell r="J339">
            <v>803</v>
          </cell>
        </row>
        <row r="340">
          <cell r="H340">
            <v>15138.45</v>
          </cell>
          <cell r="I340">
            <v>14829.02</v>
          </cell>
          <cell r="J340">
            <v>908</v>
          </cell>
        </row>
        <row r="341">
          <cell r="H341">
            <v>18612.77</v>
          </cell>
          <cell r="I341">
            <v>18121.060000000001</v>
          </cell>
          <cell r="J341">
            <v>1063</v>
          </cell>
        </row>
        <row r="342">
          <cell r="H342">
            <v>16325.24</v>
          </cell>
          <cell r="I342">
            <v>16000.11</v>
          </cell>
          <cell r="J342">
            <v>981</v>
          </cell>
        </row>
        <row r="343">
          <cell r="H343">
            <v>26008.09</v>
          </cell>
          <cell r="I343">
            <v>25492.87</v>
          </cell>
          <cell r="J343">
            <v>1408</v>
          </cell>
        </row>
        <row r="344">
          <cell r="H344">
            <v>25100.14</v>
          </cell>
          <cell r="I344">
            <v>24491.73</v>
          </cell>
          <cell r="J344">
            <v>1255</v>
          </cell>
        </row>
        <row r="345">
          <cell r="H345">
            <v>23398.81</v>
          </cell>
          <cell r="I345">
            <v>22841.56</v>
          </cell>
          <cell r="J345">
            <v>1129</v>
          </cell>
        </row>
        <row r="346">
          <cell r="H346">
            <v>14028.33</v>
          </cell>
          <cell r="I346">
            <v>13775.56</v>
          </cell>
          <cell r="J346">
            <v>869</v>
          </cell>
        </row>
        <row r="347">
          <cell r="H347">
            <v>16722.580000000002</v>
          </cell>
          <cell r="I347">
            <v>16472.560000000001</v>
          </cell>
          <cell r="J347">
            <v>954</v>
          </cell>
        </row>
        <row r="348">
          <cell r="H348">
            <v>19662.07</v>
          </cell>
          <cell r="I348">
            <v>19294.060000000001</v>
          </cell>
          <cell r="J348">
            <v>1122</v>
          </cell>
        </row>
        <row r="349">
          <cell r="H349">
            <v>17960.060000000001</v>
          </cell>
          <cell r="I349">
            <v>17674.78</v>
          </cell>
          <cell r="J349">
            <v>988</v>
          </cell>
        </row>
        <row r="350">
          <cell r="H350">
            <v>26346.42</v>
          </cell>
          <cell r="I350">
            <v>25889.72</v>
          </cell>
          <cell r="J350">
            <v>1366</v>
          </cell>
        </row>
        <row r="351">
          <cell r="H351">
            <v>24048.36</v>
          </cell>
          <cell r="I351">
            <v>23621.65</v>
          </cell>
          <cell r="J351">
            <v>1258</v>
          </cell>
        </row>
        <row r="352">
          <cell r="H352">
            <v>27006.55</v>
          </cell>
          <cell r="I352">
            <v>26450.560000000001</v>
          </cell>
          <cell r="J352">
            <v>1218</v>
          </cell>
        </row>
        <row r="353">
          <cell r="H353">
            <v>15376.02</v>
          </cell>
          <cell r="I353">
            <v>15139.61</v>
          </cell>
          <cell r="J353">
            <v>955</v>
          </cell>
        </row>
        <row r="354">
          <cell r="H354">
            <v>16487.07</v>
          </cell>
          <cell r="I354">
            <v>16197</v>
          </cell>
          <cell r="J354">
            <v>958</v>
          </cell>
        </row>
        <row r="355">
          <cell r="H355">
            <v>19268.439999999999</v>
          </cell>
          <cell r="I355">
            <v>18949.23</v>
          </cell>
          <cell r="J355">
            <v>1123</v>
          </cell>
        </row>
        <row r="356">
          <cell r="H356">
            <v>18134.61</v>
          </cell>
          <cell r="I356">
            <v>17836.34</v>
          </cell>
          <cell r="J356">
            <v>1031</v>
          </cell>
        </row>
        <row r="357">
          <cell r="H357">
            <v>27773.63</v>
          </cell>
          <cell r="I357">
            <v>27221.16</v>
          </cell>
          <cell r="J357">
            <v>1470</v>
          </cell>
        </row>
        <row r="358">
          <cell r="H358">
            <v>26877.79</v>
          </cell>
          <cell r="I358">
            <v>26353.24</v>
          </cell>
          <cell r="J358">
            <v>1306</v>
          </cell>
        </row>
        <row r="359">
          <cell r="H359">
            <v>22353.31</v>
          </cell>
          <cell r="I359">
            <v>21926</v>
          </cell>
          <cell r="J359">
            <v>1092</v>
          </cell>
        </row>
        <row r="360">
          <cell r="H360">
            <v>20949.68</v>
          </cell>
          <cell r="I360">
            <v>20493.650000000001</v>
          </cell>
          <cell r="J360">
            <v>1137</v>
          </cell>
        </row>
        <row r="361">
          <cell r="H361">
            <v>21503.119999999999</v>
          </cell>
          <cell r="I361">
            <v>21220.7</v>
          </cell>
          <cell r="J361">
            <v>1105</v>
          </cell>
        </row>
        <row r="362">
          <cell r="H362">
            <v>9706.5499999999993</v>
          </cell>
          <cell r="I362">
            <v>9575.6</v>
          </cell>
          <cell r="J362">
            <v>557</v>
          </cell>
        </row>
        <row r="363">
          <cell r="H363">
            <v>0</v>
          </cell>
          <cell r="I363">
            <v>0</v>
          </cell>
          <cell r="J363">
            <v>0</v>
          </cell>
        </row>
        <row r="364">
          <cell r="H364">
            <v>28837.69</v>
          </cell>
          <cell r="I364">
            <v>28421.83</v>
          </cell>
          <cell r="J364">
            <v>1303</v>
          </cell>
        </row>
        <row r="365">
          <cell r="H365">
            <v>30746.42</v>
          </cell>
          <cell r="I365">
            <v>30371.78</v>
          </cell>
          <cell r="J365">
            <v>1359</v>
          </cell>
        </row>
        <row r="366">
          <cell r="H366">
            <v>25905.62</v>
          </cell>
          <cell r="I366">
            <v>25569.95</v>
          </cell>
          <cell r="J366">
            <v>1180</v>
          </cell>
        </row>
        <row r="367">
          <cell r="H367">
            <v>21301.040000000001</v>
          </cell>
          <cell r="I367">
            <v>20998.09</v>
          </cell>
          <cell r="J367">
            <v>1057</v>
          </cell>
        </row>
        <row r="368">
          <cell r="H368">
            <v>22874.9</v>
          </cell>
          <cell r="I368">
            <v>22598.61</v>
          </cell>
          <cell r="J368">
            <v>1130</v>
          </cell>
        </row>
        <row r="369">
          <cell r="H369">
            <v>10578.09</v>
          </cell>
          <cell r="I369">
            <v>10412.44</v>
          </cell>
          <cell r="J369">
            <v>606</v>
          </cell>
        </row>
      </sheetData>
      <sheetData sheetId="4">
        <row r="5">
          <cell r="H5">
            <v>36941.949999999997</v>
          </cell>
          <cell r="I5">
            <v>36036.5</v>
          </cell>
          <cell r="J5">
            <v>1660</v>
          </cell>
        </row>
        <row r="6">
          <cell r="H6">
            <v>17782.21</v>
          </cell>
          <cell r="I6">
            <v>17326.93</v>
          </cell>
          <cell r="J6">
            <v>944</v>
          </cell>
        </row>
        <row r="7">
          <cell r="H7">
            <v>18199.61</v>
          </cell>
          <cell r="I7">
            <v>17850.8</v>
          </cell>
          <cell r="J7">
            <v>996</v>
          </cell>
        </row>
        <row r="8">
          <cell r="H8">
            <v>15044.47</v>
          </cell>
          <cell r="I8">
            <v>14652.28</v>
          </cell>
          <cell r="J8">
            <v>852</v>
          </cell>
        </row>
        <row r="9">
          <cell r="H9">
            <v>15676.81</v>
          </cell>
          <cell r="I9">
            <v>15263.38</v>
          </cell>
          <cell r="J9">
            <v>797</v>
          </cell>
        </row>
        <row r="10">
          <cell r="H10">
            <v>8456.82</v>
          </cell>
          <cell r="I10">
            <v>8278.52</v>
          </cell>
          <cell r="J10">
            <v>498</v>
          </cell>
        </row>
        <row r="11">
          <cell r="H11">
            <v>9497.94</v>
          </cell>
          <cell r="I11">
            <v>9297.5300000000007</v>
          </cell>
          <cell r="J11">
            <v>573</v>
          </cell>
        </row>
        <row r="12">
          <cell r="H12">
            <v>10942.18</v>
          </cell>
          <cell r="I12">
            <v>10650.72</v>
          </cell>
          <cell r="J12">
            <v>636</v>
          </cell>
        </row>
        <row r="13">
          <cell r="H13">
            <v>8865.89</v>
          </cell>
          <cell r="I13">
            <v>8708.57</v>
          </cell>
          <cell r="J13">
            <v>540</v>
          </cell>
        </row>
        <row r="14">
          <cell r="H14">
            <v>13428.21</v>
          </cell>
          <cell r="I14">
            <v>13201.23</v>
          </cell>
          <cell r="J14">
            <v>834</v>
          </cell>
        </row>
        <row r="15">
          <cell r="H15">
            <v>16348.51</v>
          </cell>
          <cell r="I15">
            <v>15997.91</v>
          </cell>
          <cell r="J15">
            <v>900</v>
          </cell>
        </row>
        <row r="16">
          <cell r="H16">
            <v>14802.29</v>
          </cell>
          <cell r="I16">
            <v>14465.61</v>
          </cell>
          <cell r="J16">
            <v>754</v>
          </cell>
        </row>
        <row r="17">
          <cell r="H17">
            <v>8932.0300000000007</v>
          </cell>
          <cell r="I17">
            <v>8727.31</v>
          </cell>
          <cell r="J17">
            <v>554</v>
          </cell>
        </row>
        <row r="18">
          <cell r="H18">
            <v>9228.01</v>
          </cell>
          <cell r="I18">
            <v>9059.8799999999992</v>
          </cell>
          <cell r="J18">
            <v>584</v>
          </cell>
        </row>
        <row r="19">
          <cell r="H19">
            <v>10737.5</v>
          </cell>
          <cell r="I19">
            <v>10528.44</v>
          </cell>
          <cell r="J19">
            <v>613</v>
          </cell>
        </row>
        <row r="20">
          <cell r="H20">
            <v>9307.19</v>
          </cell>
          <cell r="I20">
            <v>9160.0499999999993</v>
          </cell>
          <cell r="J20">
            <v>555</v>
          </cell>
        </row>
        <row r="21">
          <cell r="H21">
            <v>14777.96</v>
          </cell>
          <cell r="I21">
            <v>14499.42</v>
          </cell>
          <cell r="J21">
            <v>912</v>
          </cell>
        </row>
        <row r="22">
          <cell r="H22">
            <v>14592.33</v>
          </cell>
          <cell r="I22">
            <v>14341.11</v>
          </cell>
          <cell r="J22">
            <v>874</v>
          </cell>
        </row>
        <row r="23">
          <cell r="H23">
            <v>15755.11</v>
          </cell>
          <cell r="I23">
            <v>15487.12</v>
          </cell>
          <cell r="J23">
            <v>862</v>
          </cell>
        </row>
        <row r="24">
          <cell r="H24">
            <v>9122.0300000000007</v>
          </cell>
          <cell r="I24">
            <v>8974.5400000000009</v>
          </cell>
          <cell r="J24">
            <v>552</v>
          </cell>
        </row>
        <row r="25">
          <cell r="H25">
            <v>9560.85</v>
          </cell>
          <cell r="I25">
            <v>9445.14</v>
          </cell>
          <cell r="J25">
            <v>569</v>
          </cell>
        </row>
        <row r="26">
          <cell r="H26">
            <v>10712.73</v>
          </cell>
          <cell r="I26">
            <v>10513.57</v>
          </cell>
          <cell r="J26">
            <v>661</v>
          </cell>
        </row>
        <row r="27">
          <cell r="H27">
            <v>9177.68</v>
          </cell>
          <cell r="I27">
            <v>9005.02</v>
          </cell>
          <cell r="J27">
            <v>584</v>
          </cell>
        </row>
        <row r="28">
          <cell r="H28">
            <v>13427.27</v>
          </cell>
          <cell r="I28">
            <v>13235.25</v>
          </cell>
          <cell r="J28">
            <v>828</v>
          </cell>
        </row>
        <row r="29">
          <cell r="H29">
            <v>18168.75</v>
          </cell>
          <cell r="I29">
            <v>17850.23</v>
          </cell>
          <cell r="J29">
            <v>1042</v>
          </cell>
        </row>
        <row r="30">
          <cell r="H30">
            <v>14341.51</v>
          </cell>
          <cell r="I30">
            <v>14122.02</v>
          </cell>
          <cell r="J30">
            <v>778</v>
          </cell>
        </row>
        <row r="31">
          <cell r="H31">
            <v>8039.43</v>
          </cell>
          <cell r="I31">
            <v>7875.29</v>
          </cell>
          <cell r="J31">
            <v>505</v>
          </cell>
        </row>
        <row r="32">
          <cell r="H32">
            <v>9018.27</v>
          </cell>
          <cell r="I32">
            <v>8837.9599999999991</v>
          </cell>
          <cell r="J32">
            <v>527</v>
          </cell>
        </row>
        <row r="33">
          <cell r="H33">
            <v>10749.71</v>
          </cell>
          <cell r="I33">
            <v>10549.65</v>
          </cell>
          <cell r="J33">
            <v>671</v>
          </cell>
        </row>
        <row r="34">
          <cell r="H34">
            <v>8662.32</v>
          </cell>
          <cell r="I34">
            <v>8521.42</v>
          </cell>
          <cell r="J34">
            <v>555</v>
          </cell>
        </row>
        <row r="35">
          <cell r="H35">
            <v>13806.57</v>
          </cell>
          <cell r="I35">
            <v>13608.09</v>
          </cell>
          <cell r="J35">
            <v>804</v>
          </cell>
        </row>
        <row r="36">
          <cell r="H36">
            <v>16133.82</v>
          </cell>
          <cell r="I36">
            <v>15824.21</v>
          </cell>
          <cell r="J36">
            <v>891</v>
          </cell>
        </row>
        <row r="37">
          <cell r="H37">
            <v>16417.830000000002</v>
          </cell>
          <cell r="I37">
            <v>16161.32</v>
          </cell>
          <cell r="J37">
            <v>834</v>
          </cell>
        </row>
        <row r="38">
          <cell r="H38">
            <v>9243.6200000000008</v>
          </cell>
          <cell r="I38">
            <v>9079.15</v>
          </cell>
          <cell r="J38">
            <v>557</v>
          </cell>
        </row>
        <row r="39">
          <cell r="H39">
            <v>9941.6299999999992</v>
          </cell>
          <cell r="I39">
            <v>9803.98</v>
          </cell>
          <cell r="J39">
            <v>585</v>
          </cell>
        </row>
        <row r="40">
          <cell r="H40">
            <v>11959.23</v>
          </cell>
          <cell r="I40">
            <v>11834.74</v>
          </cell>
          <cell r="J40">
            <v>718</v>
          </cell>
        </row>
        <row r="41">
          <cell r="H41">
            <v>10481.69</v>
          </cell>
          <cell r="I41">
            <v>10312.44</v>
          </cell>
          <cell r="J41">
            <v>627</v>
          </cell>
        </row>
        <row r="42">
          <cell r="H42">
            <v>16195.72</v>
          </cell>
          <cell r="I42">
            <v>16005.41</v>
          </cell>
          <cell r="J42">
            <v>878</v>
          </cell>
        </row>
        <row r="43">
          <cell r="H43">
            <v>18333.98</v>
          </cell>
          <cell r="I43">
            <v>18036.03</v>
          </cell>
          <cell r="J43">
            <v>1023</v>
          </cell>
        </row>
        <row r="44">
          <cell r="H44">
            <v>18530.490000000002</v>
          </cell>
          <cell r="I44">
            <v>18211.349999999999</v>
          </cell>
          <cell r="J44">
            <v>1033</v>
          </cell>
        </row>
        <row r="45">
          <cell r="H45">
            <v>7787.28</v>
          </cell>
          <cell r="I45">
            <v>7680.56</v>
          </cell>
          <cell r="J45">
            <v>490</v>
          </cell>
        </row>
        <row r="46">
          <cell r="H46">
            <v>9406.86</v>
          </cell>
          <cell r="I46">
            <v>9229.56</v>
          </cell>
          <cell r="J46">
            <v>549</v>
          </cell>
        </row>
        <row r="47">
          <cell r="H47">
            <v>11530.54</v>
          </cell>
          <cell r="I47">
            <v>11348.82</v>
          </cell>
          <cell r="J47">
            <v>686</v>
          </cell>
        </row>
        <row r="48">
          <cell r="H48">
            <v>9468.41</v>
          </cell>
          <cell r="I48">
            <v>9266.8799999999992</v>
          </cell>
          <cell r="J48">
            <v>611</v>
          </cell>
        </row>
        <row r="49">
          <cell r="H49">
            <v>16631.78</v>
          </cell>
          <cell r="I49">
            <v>16439.330000000002</v>
          </cell>
          <cell r="J49">
            <v>958</v>
          </cell>
        </row>
        <row r="50">
          <cell r="H50">
            <v>21099.42</v>
          </cell>
          <cell r="I50">
            <v>20786.62</v>
          </cell>
          <cell r="J50">
            <v>1155</v>
          </cell>
        </row>
        <row r="51">
          <cell r="H51">
            <v>19802.86</v>
          </cell>
          <cell r="I51">
            <v>19432.8</v>
          </cell>
          <cell r="J51">
            <v>1068</v>
          </cell>
        </row>
        <row r="52">
          <cell r="H52">
            <v>8822.64</v>
          </cell>
          <cell r="I52">
            <v>8746.59</v>
          </cell>
          <cell r="J52">
            <v>551</v>
          </cell>
        </row>
        <row r="53">
          <cell r="H53">
            <v>9891.23</v>
          </cell>
          <cell r="I53">
            <v>9740.9599999999991</v>
          </cell>
          <cell r="J53">
            <v>609</v>
          </cell>
        </row>
        <row r="54">
          <cell r="H54">
            <v>11298.84</v>
          </cell>
          <cell r="I54">
            <v>11142.39</v>
          </cell>
          <cell r="J54">
            <v>683</v>
          </cell>
        </row>
        <row r="55">
          <cell r="H55">
            <v>11023.34</v>
          </cell>
          <cell r="I55">
            <v>10904.53</v>
          </cell>
          <cell r="J55">
            <v>657</v>
          </cell>
        </row>
        <row r="56">
          <cell r="H56">
            <v>16000.58</v>
          </cell>
          <cell r="I56">
            <v>15758.98</v>
          </cell>
          <cell r="J56">
            <v>960</v>
          </cell>
        </row>
        <row r="57">
          <cell r="H57">
            <v>16065.94</v>
          </cell>
          <cell r="I57">
            <v>15791.79</v>
          </cell>
          <cell r="J57">
            <v>905</v>
          </cell>
        </row>
        <row r="58">
          <cell r="H58">
            <v>17129.79</v>
          </cell>
          <cell r="I58">
            <v>16847.62</v>
          </cell>
          <cell r="J58">
            <v>916</v>
          </cell>
        </row>
        <row r="59">
          <cell r="H59">
            <v>12414.56</v>
          </cell>
          <cell r="I59">
            <v>12186.77</v>
          </cell>
          <cell r="J59">
            <v>749</v>
          </cell>
        </row>
        <row r="60">
          <cell r="H60">
            <v>11847.06</v>
          </cell>
          <cell r="I60">
            <v>11678.03</v>
          </cell>
          <cell r="J60">
            <v>730</v>
          </cell>
        </row>
        <row r="61">
          <cell r="H61">
            <v>13080.33</v>
          </cell>
          <cell r="I61">
            <v>12819.67</v>
          </cell>
          <cell r="J61">
            <v>794</v>
          </cell>
        </row>
        <row r="62">
          <cell r="H62">
            <v>14075.69</v>
          </cell>
          <cell r="I62">
            <v>13790.14</v>
          </cell>
          <cell r="J62">
            <v>837</v>
          </cell>
        </row>
        <row r="63">
          <cell r="H63">
            <v>17439.650000000001</v>
          </cell>
          <cell r="I63">
            <v>17168.939999999999</v>
          </cell>
          <cell r="J63">
            <v>1049</v>
          </cell>
        </row>
        <row r="64">
          <cell r="H64">
            <v>16725.3</v>
          </cell>
          <cell r="I64">
            <v>16473.78</v>
          </cell>
          <cell r="J64">
            <v>929</v>
          </cell>
        </row>
        <row r="65">
          <cell r="H65">
            <v>18393.05</v>
          </cell>
          <cell r="I65">
            <v>18141.46</v>
          </cell>
          <cell r="J65">
            <v>978</v>
          </cell>
        </row>
        <row r="66">
          <cell r="H66">
            <v>13688.45</v>
          </cell>
          <cell r="I66">
            <v>13475.26</v>
          </cell>
          <cell r="J66">
            <v>813</v>
          </cell>
        </row>
        <row r="67">
          <cell r="H67">
            <v>13948.13</v>
          </cell>
          <cell r="I67">
            <v>13693.75</v>
          </cell>
          <cell r="J67">
            <v>810</v>
          </cell>
        </row>
        <row r="68">
          <cell r="H68">
            <v>14142.55</v>
          </cell>
          <cell r="I68">
            <v>13884.02</v>
          </cell>
          <cell r="J68">
            <v>821</v>
          </cell>
        </row>
        <row r="69">
          <cell r="H69">
            <v>12878.85</v>
          </cell>
          <cell r="I69">
            <v>12715.12</v>
          </cell>
          <cell r="J69">
            <v>769</v>
          </cell>
        </row>
        <row r="70">
          <cell r="H70">
            <v>17568.759999999998</v>
          </cell>
          <cell r="I70">
            <v>17286.38</v>
          </cell>
          <cell r="J70">
            <v>1033</v>
          </cell>
        </row>
        <row r="71">
          <cell r="H71">
            <v>17182.939999999999</v>
          </cell>
          <cell r="I71">
            <v>16920.509999999998</v>
          </cell>
          <cell r="J71">
            <v>995</v>
          </cell>
        </row>
        <row r="72">
          <cell r="H72">
            <v>16521.240000000002</v>
          </cell>
          <cell r="I72">
            <v>16244.99</v>
          </cell>
          <cell r="J72">
            <v>874</v>
          </cell>
        </row>
        <row r="73">
          <cell r="H73">
            <v>8426.42</v>
          </cell>
          <cell r="I73">
            <v>8304.68</v>
          </cell>
          <cell r="J73">
            <v>530</v>
          </cell>
        </row>
        <row r="74">
          <cell r="H74">
            <v>9205.2800000000007</v>
          </cell>
          <cell r="I74">
            <v>9124.74</v>
          </cell>
          <cell r="J74">
            <v>552</v>
          </cell>
        </row>
        <row r="75">
          <cell r="H75">
            <v>10806.52</v>
          </cell>
          <cell r="I75">
            <v>10634.16</v>
          </cell>
          <cell r="J75">
            <v>659</v>
          </cell>
        </row>
        <row r="76">
          <cell r="H76">
            <v>9122.75</v>
          </cell>
          <cell r="I76">
            <v>8963.4</v>
          </cell>
          <cell r="J76">
            <v>562</v>
          </cell>
        </row>
        <row r="77">
          <cell r="H77">
            <v>12726.24</v>
          </cell>
          <cell r="I77">
            <v>12541.63</v>
          </cell>
          <cell r="J77">
            <v>752</v>
          </cell>
        </row>
        <row r="78">
          <cell r="H78">
            <v>13536.7</v>
          </cell>
          <cell r="I78">
            <v>13390.16</v>
          </cell>
          <cell r="J78">
            <v>732</v>
          </cell>
        </row>
        <row r="79">
          <cell r="H79">
            <v>15953.81</v>
          </cell>
          <cell r="I79">
            <v>15754.42</v>
          </cell>
          <cell r="J79">
            <v>846</v>
          </cell>
        </row>
        <row r="80">
          <cell r="H80">
            <v>8034.95</v>
          </cell>
          <cell r="I80">
            <v>7900.86</v>
          </cell>
          <cell r="J80">
            <v>498</v>
          </cell>
        </row>
        <row r="81">
          <cell r="H81">
            <v>9934.65</v>
          </cell>
          <cell r="I81">
            <v>9830.75</v>
          </cell>
          <cell r="J81">
            <v>603</v>
          </cell>
        </row>
        <row r="82">
          <cell r="H82">
            <v>11412.99</v>
          </cell>
          <cell r="I82">
            <v>11262.05</v>
          </cell>
          <cell r="J82">
            <v>721</v>
          </cell>
        </row>
        <row r="83">
          <cell r="H83">
            <v>10331.48</v>
          </cell>
          <cell r="I83">
            <v>10197.6</v>
          </cell>
          <cell r="J83">
            <v>647</v>
          </cell>
        </row>
        <row r="84">
          <cell r="H84">
            <v>12245.2</v>
          </cell>
          <cell r="I84">
            <v>12096.11</v>
          </cell>
          <cell r="J84">
            <v>813</v>
          </cell>
        </row>
        <row r="85">
          <cell r="H85">
            <v>15180.45</v>
          </cell>
          <cell r="I85">
            <v>14969.51</v>
          </cell>
          <cell r="J85">
            <v>915</v>
          </cell>
        </row>
        <row r="86">
          <cell r="H86">
            <v>19211.23</v>
          </cell>
          <cell r="I86">
            <v>18923.7</v>
          </cell>
          <cell r="J86">
            <v>1021</v>
          </cell>
        </row>
        <row r="87">
          <cell r="H87">
            <v>8226.93</v>
          </cell>
          <cell r="I87">
            <v>8114.59</v>
          </cell>
          <cell r="J87">
            <v>503</v>
          </cell>
        </row>
        <row r="88">
          <cell r="H88">
            <v>10502.44</v>
          </cell>
          <cell r="I88">
            <v>10318.200000000001</v>
          </cell>
          <cell r="J88">
            <v>652</v>
          </cell>
        </row>
        <row r="89">
          <cell r="H89">
            <v>10802.8</v>
          </cell>
          <cell r="I89">
            <v>10557.07</v>
          </cell>
          <cell r="J89">
            <v>678</v>
          </cell>
        </row>
        <row r="90">
          <cell r="H90">
            <v>11141.66</v>
          </cell>
          <cell r="I90">
            <v>10951.76</v>
          </cell>
          <cell r="J90">
            <v>643</v>
          </cell>
        </row>
        <row r="91">
          <cell r="H91">
            <v>14977.07</v>
          </cell>
          <cell r="I91">
            <v>14566.23</v>
          </cell>
          <cell r="J91">
            <v>884</v>
          </cell>
        </row>
        <row r="92">
          <cell r="H92">
            <v>17162.259999999998</v>
          </cell>
          <cell r="I92">
            <v>16701.11</v>
          </cell>
          <cell r="J92">
            <v>997</v>
          </cell>
        </row>
        <row r="93">
          <cell r="H93">
            <v>22204.09</v>
          </cell>
          <cell r="I93">
            <v>21685.84</v>
          </cell>
          <cell r="J93">
            <v>1248</v>
          </cell>
        </row>
        <row r="94">
          <cell r="H94">
            <v>9617.51</v>
          </cell>
          <cell r="I94">
            <v>9452.9599999999991</v>
          </cell>
          <cell r="J94">
            <v>617</v>
          </cell>
        </row>
        <row r="95">
          <cell r="H95">
            <v>11940.36</v>
          </cell>
          <cell r="I95">
            <v>11699.36</v>
          </cell>
          <cell r="J95">
            <v>718</v>
          </cell>
        </row>
        <row r="96">
          <cell r="H96">
            <v>14296.72</v>
          </cell>
          <cell r="I96">
            <v>13815.59</v>
          </cell>
          <cell r="J96">
            <v>861</v>
          </cell>
        </row>
        <row r="97">
          <cell r="H97">
            <v>12027.94</v>
          </cell>
          <cell r="I97">
            <v>11804.2</v>
          </cell>
          <cell r="J97">
            <v>755</v>
          </cell>
        </row>
        <row r="98">
          <cell r="H98">
            <v>18350.939999999999</v>
          </cell>
          <cell r="I98">
            <v>17944.77</v>
          </cell>
          <cell r="J98">
            <v>1111</v>
          </cell>
        </row>
        <row r="99">
          <cell r="H99">
            <v>22260.04</v>
          </cell>
          <cell r="I99">
            <v>21704.91</v>
          </cell>
          <cell r="J99">
            <v>1268</v>
          </cell>
        </row>
        <row r="100">
          <cell r="H100">
            <v>26156.22</v>
          </cell>
          <cell r="I100">
            <v>25645.63</v>
          </cell>
          <cell r="J100">
            <v>1442</v>
          </cell>
        </row>
        <row r="101">
          <cell r="H101">
            <v>11480.71</v>
          </cell>
          <cell r="I101">
            <v>11265.61</v>
          </cell>
          <cell r="J101">
            <v>714</v>
          </cell>
        </row>
        <row r="102">
          <cell r="H102">
            <v>12844.4</v>
          </cell>
          <cell r="I102">
            <v>12624.4</v>
          </cell>
          <cell r="J102">
            <v>784</v>
          </cell>
        </row>
        <row r="103">
          <cell r="H103">
            <v>14695.2</v>
          </cell>
          <cell r="I103">
            <v>14430.43</v>
          </cell>
          <cell r="J103">
            <v>949</v>
          </cell>
        </row>
        <row r="104">
          <cell r="H104">
            <v>12628.31</v>
          </cell>
          <cell r="I104">
            <v>12439.44</v>
          </cell>
          <cell r="J104">
            <v>790</v>
          </cell>
        </row>
        <row r="105">
          <cell r="H105">
            <v>19952.169999999998</v>
          </cell>
          <cell r="I105">
            <v>19698.259999999998</v>
          </cell>
          <cell r="J105">
            <v>1270</v>
          </cell>
        </row>
        <row r="106">
          <cell r="H106">
            <v>21338.05</v>
          </cell>
          <cell r="I106">
            <v>21024.42</v>
          </cell>
          <cell r="J106">
            <v>1238</v>
          </cell>
        </row>
        <row r="107">
          <cell r="H107">
            <v>19029.68</v>
          </cell>
          <cell r="I107">
            <v>18664.669999999998</v>
          </cell>
          <cell r="J107">
            <v>942</v>
          </cell>
        </row>
        <row r="108">
          <cell r="H108">
            <v>9385.0400000000009</v>
          </cell>
          <cell r="I108">
            <v>9235.18</v>
          </cell>
          <cell r="J108">
            <v>574</v>
          </cell>
        </row>
        <row r="109">
          <cell r="H109">
            <v>10748.45</v>
          </cell>
          <cell r="I109">
            <v>10595.96</v>
          </cell>
          <cell r="J109">
            <v>639</v>
          </cell>
        </row>
        <row r="110">
          <cell r="H110">
            <v>10996.26</v>
          </cell>
          <cell r="I110">
            <v>10791.21</v>
          </cell>
          <cell r="J110">
            <v>665</v>
          </cell>
        </row>
        <row r="111">
          <cell r="H111">
            <v>11084.17</v>
          </cell>
          <cell r="I111">
            <v>10926.31</v>
          </cell>
          <cell r="J111">
            <v>638</v>
          </cell>
        </row>
        <row r="112">
          <cell r="H112">
            <v>17947.39</v>
          </cell>
          <cell r="I112">
            <v>17740.23</v>
          </cell>
          <cell r="J112">
            <v>1076</v>
          </cell>
        </row>
        <row r="113">
          <cell r="H113">
            <v>19036.939999999999</v>
          </cell>
          <cell r="I113">
            <v>18735.38</v>
          </cell>
          <cell r="J113">
            <v>1166</v>
          </cell>
        </row>
        <row r="114">
          <cell r="H114">
            <v>19463.18</v>
          </cell>
          <cell r="I114">
            <v>19238.759999999998</v>
          </cell>
          <cell r="J114">
            <v>1126</v>
          </cell>
        </row>
        <row r="115">
          <cell r="H115">
            <v>18782.310000000001</v>
          </cell>
          <cell r="I115">
            <v>18483.55</v>
          </cell>
          <cell r="J115">
            <v>1067</v>
          </cell>
        </row>
        <row r="116">
          <cell r="H116">
            <v>15781.68</v>
          </cell>
          <cell r="I116">
            <v>15546.63</v>
          </cell>
          <cell r="J116">
            <v>974</v>
          </cell>
        </row>
        <row r="117">
          <cell r="H117">
            <v>12775.99</v>
          </cell>
          <cell r="I117">
            <v>12577.46</v>
          </cell>
          <cell r="J117">
            <v>770</v>
          </cell>
        </row>
        <row r="118">
          <cell r="H118">
            <v>13473.77</v>
          </cell>
          <cell r="I118">
            <v>13224.75</v>
          </cell>
          <cell r="J118">
            <v>857</v>
          </cell>
        </row>
        <row r="119">
          <cell r="H119">
            <v>18175.37</v>
          </cell>
          <cell r="I119">
            <v>17882.169999999998</v>
          </cell>
          <cell r="J119">
            <v>1153</v>
          </cell>
        </row>
        <row r="120">
          <cell r="H120">
            <v>16753.740000000002</v>
          </cell>
          <cell r="I120">
            <v>16514.64</v>
          </cell>
          <cell r="J120">
            <v>1011</v>
          </cell>
        </row>
        <row r="121">
          <cell r="H121">
            <v>17510.48</v>
          </cell>
          <cell r="I121">
            <v>17177.810000000001</v>
          </cell>
          <cell r="J121">
            <v>973</v>
          </cell>
        </row>
        <row r="122">
          <cell r="H122">
            <v>13284.2</v>
          </cell>
          <cell r="I122">
            <v>13093.33</v>
          </cell>
          <cell r="J122">
            <v>831</v>
          </cell>
        </row>
        <row r="123">
          <cell r="H123">
            <v>15479.39</v>
          </cell>
          <cell r="I123">
            <v>15245.02</v>
          </cell>
          <cell r="J123">
            <v>955</v>
          </cell>
        </row>
        <row r="124">
          <cell r="H124">
            <v>19838.03</v>
          </cell>
          <cell r="I124">
            <v>19532.02</v>
          </cell>
          <cell r="J124">
            <v>1201</v>
          </cell>
        </row>
        <row r="125">
          <cell r="H125">
            <v>27956.720000000001</v>
          </cell>
          <cell r="I125">
            <v>27555.16</v>
          </cell>
          <cell r="J125">
            <v>1605</v>
          </cell>
        </row>
        <row r="126">
          <cell r="H126">
            <v>19894.259999999998</v>
          </cell>
          <cell r="I126">
            <v>19552.169999999998</v>
          </cell>
          <cell r="J126">
            <v>1182</v>
          </cell>
        </row>
        <row r="127">
          <cell r="H127">
            <v>17664.95</v>
          </cell>
          <cell r="I127">
            <v>17444.47</v>
          </cell>
          <cell r="J127">
            <v>1032</v>
          </cell>
        </row>
        <row r="128">
          <cell r="H128">
            <v>16733.599999999999</v>
          </cell>
          <cell r="I128">
            <v>16419.78</v>
          </cell>
          <cell r="J128">
            <v>849</v>
          </cell>
        </row>
        <row r="129">
          <cell r="H129">
            <v>9703.3700000000008</v>
          </cell>
          <cell r="I129">
            <v>9563.7800000000007</v>
          </cell>
          <cell r="J129">
            <v>568</v>
          </cell>
        </row>
        <row r="130">
          <cell r="H130">
            <v>11340.16</v>
          </cell>
          <cell r="I130">
            <v>11166.33</v>
          </cell>
          <cell r="J130">
            <v>685</v>
          </cell>
        </row>
        <row r="131">
          <cell r="H131">
            <v>12967.68</v>
          </cell>
          <cell r="I131">
            <v>12746.24</v>
          </cell>
          <cell r="J131">
            <v>787</v>
          </cell>
        </row>
        <row r="132">
          <cell r="H132">
            <v>18130.82</v>
          </cell>
          <cell r="I132">
            <v>17807.400000000001</v>
          </cell>
          <cell r="J132">
            <v>1108</v>
          </cell>
        </row>
        <row r="133">
          <cell r="H133">
            <v>15573.37</v>
          </cell>
          <cell r="I133">
            <v>15353.75</v>
          </cell>
          <cell r="J133">
            <v>946</v>
          </cell>
        </row>
        <row r="134">
          <cell r="H134">
            <v>17502.84</v>
          </cell>
          <cell r="I134">
            <v>17252.84</v>
          </cell>
          <cell r="J134">
            <v>1165</v>
          </cell>
        </row>
        <row r="135">
          <cell r="H135">
            <v>18905.87</v>
          </cell>
          <cell r="I135">
            <v>18655.79</v>
          </cell>
          <cell r="J135">
            <v>1030</v>
          </cell>
        </row>
        <row r="136">
          <cell r="H136">
            <v>8854.85</v>
          </cell>
          <cell r="I136">
            <v>8755.65</v>
          </cell>
          <cell r="J136">
            <v>569</v>
          </cell>
        </row>
        <row r="137">
          <cell r="H137">
            <v>10272.99</v>
          </cell>
          <cell r="I137">
            <v>10173.23</v>
          </cell>
          <cell r="J137">
            <v>673</v>
          </cell>
        </row>
        <row r="138">
          <cell r="H138">
            <v>13847.05</v>
          </cell>
          <cell r="I138">
            <v>13638.3</v>
          </cell>
          <cell r="J138">
            <v>927</v>
          </cell>
        </row>
        <row r="139">
          <cell r="H139">
            <v>12761.93</v>
          </cell>
          <cell r="I139">
            <v>12608.22</v>
          </cell>
          <cell r="J139">
            <v>867</v>
          </cell>
        </row>
        <row r="140">
          <cell r="H140">
            <v>16698.919999999998</v>
          </cell>
          <cell r="I140">
            <v>16446.669999999998</v>
          </cell>
          <cell r="J140">
            <v>1069</v>
          </cell>
        </row>
        <row r="141">
          <cell r="H141">
            <v>19551.21</v>
          </cell>
          <cell r="I141">
            <v>19298.169999999998</v>
          </cell>
          <cell r="J141">
            <v>1150</v>
          </cell>
        </row>
        <row r="142">
          <cell r="H142">
            <v>21314.51</v>
          </cell>
          <cell r="I142">
            <v>21028.49</v>
          </cell>
          <cell r="J142">
            <v>1296</v>
          </cell>
        </row>
        <row r="143">
          <cell r="H143">
            <v>8445.49</v>
          </cell>
          <cell r="I143">
            <v>8362.9699999999993</v>
          </cell>
          <cell r="J143">
            <v>553</v>
          </cell>
        </row>
        <row r="144">
          <cell r="H144">
            <v>10340.94</v>
          </cell>
          <cell r="I144">
            <v>10183.299999999999</v>
          </cell>
          <cell r="J144">
            <v>629</v>
          </cell>
        </row>
        <row r="145">
          <cell r="H145">
            <v>12196.15</v>
          </cell>
          <cell r="I145">
            <v>11985.79</v>
          </cell>
          <cell r="J145">
            <v>782</v>
          </cell>
        </row>
        <row r="146">
          <cell r="H146">
            <v>10807.84</v>
          </cell>
          <cell r="I146">
            <v>10619.4</v>
          </cell>
          <cell r="J146">
            <v>692</v>
          </cell>
        </row>
        <row r="147">
          <cell r="H147">
            <v>15345.21</v>
          </cell>
          <cell r="I147">
            <v>15146.95</v>
          </cell>
          <cell r="J147">
            <v>961</v>
          </cell>
        </row>
        <row r="148">
          <cell r="H148">
            <v>18508.91</v>
          </cell>
          <cell r="I148">
            <v>18235.490000000002</v>
          </cell>
          <cell r="J148">
            <v>1123</v>
          </cell>
        </row>
        <row r="149">
          <cell r="H149">
            <v>17232.82</v>
          </cell>
          <cell r="I149">
            <v>16923.29</v>
          </cell>
          <cell r="J149">
            <v>927</v>
          </cell>
        </row>
        <row r="150">
          <cell r="H150">
            <v>10557.18</v>
          </cell>
          <cell r="I150">
            <v>10468.69</v>
          </cell>
          <cell r="J150">
            <v>643</v>
          </cell>
        </row>
        <row r="151">
          <cell r="H151">
            <v>12196.52</v>
          </cell>
          <cell r="I151">
            <v>12073.71</v>
          </cell>
          <cell r="J151">
            <v>742</v>
          </cell>
        </row>
        <row r="152">
          <cell r="H152">
            <v>17299.53</v>
          </cell>
          <cell r="I152">
            <v>17032.86</v>
          </cell>
          <cell r="J152">
            <v>981</v>
          </cell>
        </row>
        <row r="153">
          <cell r="H153">
            <v>22591.75</v>
          </cell>
          <cell r="I153">
            <v>22241.21</v>
          </cell>
          <cell r="J153">
            <v>1370</v>
          </cell>
        </row>
        <row r="154">
          <cell r="H154">
            <v>23360.49</v>
          </cell>
          <cell r="I154">
            <v>23049.86</v>
          </cell>
          <cell r="J154">
            <v>1414</v>
          </cell>
        </row>
        <row r="155">
          <cell r="H155">
            <v>19086.82</v>
          </cell>
          <cell r="I155">
            <v>18876.259999999998</v>
          </cell>
          <cell r="J155">
            <v>1151</v>
          </cell>
        </row>
        <row r="156">
          <cell r="H156">
            <v>23363.78</v>
          </cell>
          <cell r="I156">
            <v>23057.27</v>
          </cell>
          <cell r="J156">
            <v>1240</v>
          </cell>
        </row>
        <row r="157">
          <cell r="H157">
            <v>9887.8700000000008</v>
          </cell>
          <cell r="I157">
            <v>9724.85</v>
          </cell>
          <cell r="J157">
            <v>565</v>
          </cell>
        </row>
        <row r="158">
          <cell r="H158">
            <v>11945.84</v>
          </cell>
          <cell r="I158">
            <v>11794.26</v>
          </cell>
          <cell r="J158">
            <v>725</v>
          </cell>
        </row>
        <row r="159">
          <cell r="H159">
            <v>11783.31</v>
          </cell>
          <cell r="I159">
            <v>11562.56</v>
          </cell>
          <cell r="J159">
            <v>693</v>
          </cell>
        </row>
        <row r="160">
          <cell r="H160">
            <v>12768.46</v>
          </cell>
          <cell r="I160">
            <v>12554.8</v>
          </cell>
          <cell r="J160">
            <v>778</v>
          </cell>
        </row>
        <row r="161">
          <cell r="H161">
            <v>16005.91</v>
          </cell>
          <cell r="I161">
            <v>15791</v>
          </cell>
          <cell r="J161">
            <v>950</v>
          </cell>
        </row>
        <row r="162">
          <cell r="H162">
            <v>17721.650000000001</v>
          </cell>
          <cell r="I162">
            <v>17451.060000000001</v>
          </cell>
          <cell r="J162">
            <v>1003</v>
          </cell>
        </row>
        <row r="163">
          <cell r="H163">
            <v>23460.38</v>
          </cell>
          <cell r="I163">
            <v>23113.53</v>
          </cell>
          <cell r="J163">
            <v>1260</v>
          </cell>
        </row>
        <row r="164">
          <cell r="H164">
            <v>20654.16</v>
          </cell>
          <cell r="I164">
            <v>20343.86</v>
          </cell>
          <cell r="J164">
            <v>1266</v>
          </cell>
        </row>
        <row r="165">
          <cell r="H165">
            <v>12587.06</v>
          </cell>
          <cell r="I165">
            <v>12450.05</v>
          </cell>
          <cell r="J165">
            <v>822</v>
          </cell>
        </row>
        <row r="166">
          <cell r="H166">
            <v>14145.6</v>
          </cell>
          <cell r="I166">
            <v>13940.06</v>
          </cell>
          <cell r="J166">
            <v>974</v>
          </cell>
        </row>
        <row r="167">
          <cell r="H167">
            <v>15696.71</v>
          </cell>
          <cell r="I167">
            <v>15523.71</v>
          </cell>
          <cell r="J167">
            <v>1059</v>
          </cell>
        </row>
        <row r="168">
          <cell r="H168">
            <v>18593.28</v>
          </cell>
          <cell r="I168">
            <v>18279.57</v>
          </cell>
          <cell r="J168">
            <v>1185</v>
          </cell>
        </row>
        <row r="169">
          <cell r="H169">
            <v>21484.2</v>
          </cell>
          <cell r="I169">
            <v>21125.88</v>
          </cell>
          <cell r="J169">
            <v>1286</v>
          </cell>
        </row>
        <row r="170">
          <cell r="H170">
            <v>17433.330000000002</v>
          </cell>
          <cell r="I170">
            <v>17159.669999999998</v>
          </cell>
          <cell r="J170">
            <v>971</v>
          </cell>
        </row>
        <row r="171">
          <cell r="H171">
            <v>11506.69</v>
          </cell>
          <cell r="I171">
            <v>11326.17</v>
          </cell>
          <cell r="J171">
            <v>766</v>
          </cell>
        </row>
        <row r="172">
          <cell r="H172">
            <v>13520.88</v>
          </cell>
          <cell r="I172">
            <v>13265.73</v>
          </cell>
          <cell r="J172">
            <v>921</v>
          </cell>
        </row>
        <row r="173">
          <cell r="H173">
            <v>15311.1</v>
          </cell>
          <cell r="I173">
            <v>14982.97</v>
          </cell>
          <cell r="J173">
            <v>1065</v>
          </cell>
        </row>
        <row r="174">
          <cell r="H174">
            <v>15254.68</v>
          </cell>
          <cell r="I174">
            <v>14976.19</v>
          </cell>
          <cell r="J174">
            <v>1080</v>
          </cell>
        </row>
        <row r="175">
          <cell r="H175">
            <v>18777.599999999999</v>
          </cell>
          <cell r="I175">
            <v>18459.2</v>
          </cell>
          <cell r="J175">
            <v>1215</v>
          </cell>
        </row>
        <row r="176">
          <cell r="H176">
            <v>20647.87</v>
          </cell>
          <cell r="I176">
            <v>20277.45</v>
          </cell>
          <cell r="J176">
            <v>1303</v>
          </cell>
        </row>
        <row r="177">
          <cell r="H177">
            <v>24704.98</v>
          </cell>
          <cell r="I177">
            <v>24348.86</v>
          </cell>
          <cell r="J177">
            <v>1532</v>
          </cell>
        </row>
        <row r="178">
          <cell r="H178">
            <v>12536.16</v>
          </cell>
          <cell r="I178">
            <v>12381.14</v>
          </cell>
          <cell r="J178">
            <v>859</v>
          </cell>
        </row>
        <row r="179">
          <cell r="H179">
            <v>14256.94</v>
          </cell>
          <cell r="I179">
            <v>14027.27</v>
          </cell>
          <cell r="J179">
            <v>917</v>
          </cell>
        </row>
        <row r="180">
          <cell r="H180">
            <v>17572.59</v>
          </cell>
          <cell r="I180">
            <v>17210.64</v>
          </cell>
          <cell r="J180">
            <v>1181</v>
          </cell>
        </row>
        <row r="181">
          <cell r="H181">
            <v>16631.990000000002</v>
          </cell>
          <cell r="I181">
            <v>16388.669999999998</v>
          </cell>
          <cell r="J181">
            <v>1153</v>
          </cell>
        </row>
        <row r="182">
          <cell r="H182">
            <v>19171.79</v>
          </cell>
          <cell r="I182">
            <v>18960.45</v>
          </cell>
          <cell r="J182">
            <v>1238</v>
          </cell>
        </row>
        <row r="183">
          <cell r="H183">
            <v>21120.35</v>
          </cell>
          <cell r="I183">
            <v>20720.169999999998</v>
          </cell>
          <cell r="J183">
            <v>1312</v>
          </cell>
        </row>
        <row r="184">
          <cell r="H184">
            <v>25176.97</v>
          </cell>
          <cell r="I184">
            <v>24798.69</v>
          </cell>
          <cell r="J184">
            <v>1440</v>
          </cell>
        </row>
        <row r="185">
          <cell r="H185">
            <v>16807.080000000002</v>
          </cell>
          <cell r="I185">
            <v>16600.689999999999</v>
          </cell>
          <cell r="J185">
            <v>1149</v>
          </cell>
        </row>
        <row r="186">
          <cell r="H186">
            <v>17314.669999999998</v>
          </cell>
          <cell r="I186">
            <v>17046.66</v>
          </cell>
          <cell r="J186">
            <v>1084</v>
          </cell>
        </row>
        <row r="187">
          <cell r="H187">
            <v>19611.169999999998</v>
          </cell>
          <cell r="I187">
            <v>19352.8</v>
          </cell>
          <cell r="J187">
            <v>1282</v>
          </cell>
        </row>
        <row r="188">
          <cell r="H188">
            <v>20253.310000000001</v>
          </cell>
          <cell r="I188">
            <v>19999.77</v>
          </cell>
          <cell r="J188">
            <v>1389</v>
          </cell>
        </row>
        <row r="189">
          <cell r="H189">
            <v>23723.25</v>
          </cell>
          <cell r="I189">
            <v>23315</v>
          </cell>
          <cell r="J189">
            <v>1364</v>
          </cell>
        </row>
        <row r="190">
          <cell r="H190">
            <v>22186.92</v>
          </cell>
          <cell r="I190">
            <v>21828.25</v>
          </cell>
          <cell r="J190">
            <v>1268</v>
          </cell>
        </row>
        <row r="191">
          <cell r="H191">
            <v>22166.65</v>
          </cell>
          <cell r="I191">
            <v>21808.82</v>
          </cell>
          <cell r="J191">
            <v>1157</v>
          </cell>
        </row>
        <row r="192">
          <cell r="H192">
            <v>15326.94</v>
          </cell>
          <cell r="I192">
            <v>14973.44</v>
          </cell>
          <cell r="J192">
            <v>866</v>
          </cell>
        </row>
        <row r="193">
          <cell r="H193">
            <v>15489.25</v>
          </cell>
          <cell r="I193">
            <v>15174.35</v>
          </cell>
          <cell r="J193">
            <v>948</v>
          </cell>
        </row>
        <row r="194">
          <cell r="H194">
            <v>13091.98</v>
          </cell>
          <cell r="I194">
            <v>12888.1</v>
          </cell>
          <cell r="J194">
            <v>869</v>
          </cell>
        </row>
        <row r="195">
          <cell r="H195">
            <v>15021.42</v>
          </cell>
          <cell r="I195">
            <v>14797.52</v>
          </cell>
          <cell r="J195">
            <v>1041</v>
          </cell>
        </row>
        <row r="196">
          <cell r="H196">
            <v>17147.810000000001</v>
          </cell>
          <cell r="I196">
            <v>16875.3</v>
          </cell>
          <cell r="J196">
            <v>1098</v>
          </cell>
        </row>
        <row r="197">
          <cell r="H197">
            <v>16678.439999999999</v>
          </cell>
          <cell r="I197">
            <v>16437.32</v>
          </cell>
          <cell r="J197">
            <v>1070</v>
          </cell>
        </row>
        <row r="198">
          <cell r="H198">
            <v>24161.71</v>
          </cell>
          <cell r="I198">
            <v>23840.1</v>
          </cell>
          <cell r="J198">
            <v>1309</v>
          </cell>
        </row>
        <row r="199">
          <cell r="H199">
            <v>22575.62</v>
          </cell>
          <cell r="I199">
            <v>22189.1</v>
          </cell>
          <cell r="J199">
            <v>1279</v>
          </cell>
        </row>
        <row r="200">
          <cell r="H200">
            <v>15073.58</v>
          </cell>
          <cell r="I200">
            <v>14820.35</v>
          </cell>
          <cell r="J200">
            <v>987</v>
          </cell>
        </row>
        <row r="201">
          <cell r="H201">
            <v>16756.509999999998</v>
          </cell>
          <cell r="I201">
            <v>16500.580000000002</v>
          </cell>
          <cell r="J201">
            <v>1027</v>
          </cell>
        </row>
        <row r="202">
          <cell r="H202">
            <v>18111.95</v>
          </cell>
          <cell r="I202">
            <v>17776.02</v>
          </cell>
          <cell r="J202">
            <v>1233</v>
          </cell>
        </row>
        <row r="203">
          <cell r="H203">
            <v>19434.560000000001</v>
          </cell>
          <cell r="I203">
            <v>19046.14</v>
          </cell>
          <cell r="J203">
            <v>1196</v>
          </cell>
        </row>
        <row r="204">
          <cell r="H204">
            <v>16836.509999999998</v>
          </cell>
          <cell r="I204">
            <v>16578.55</v>
          </cell>
          <cell r="J204">
            <v>965</v>
          </cell>
        </row>
        <row r="205">
          <cell r="H205">
            <v>19293.68</v>
          </cell>
          <cell r="I205">
            <v>19039.330000000002</v>
          </cell>
          <cell r="J205">
            <v>1007</v>
          </cell>
        </row>
        <row r="206">
          <cell r="H206">
            <v>13373.84</v>
          </cell>
          <cell r="I206">
            <v>13167.72</v>
          </cell>
          <cell r="J206">
            <v>881</v>
          </cell>
        </row>
        <row r="207">
          <cell r="H207">
            <v>13943.91</v>
          </cell>
          <cell r="I207">
            <v>13679.21</v>
          </cell>
          <cell r="J207">
            <v>920</v>
          </cell>
        </row>
        <row r="208">
          <cell r="H208">
            <v>14442.71</v>
          </cell>
          <cell r="I208">
            <v>14225.21</v>
          </cell>
          <cell r="J208">
            <v>879</v>
          </cell>
        </row>
        <row r="209">
          <cell r="H209">
            <v>16891.21</v>
          </cell>
          <cell r="I209">
            <v>16641.2</v>
          </cell>
          <cell r="J209">
            <v>1130</v>
          </cell>
        </row>
        <row r="210">
          <cell r="H210">
            <v>18031.5</v>
          </cell>
          <cell r="I210">
            <v>17783.3</v>
          </cell>
          <cell r="J210">
            <v>1095</v>
          </cell>
        </row>
        <row r="211">
          <cell r="H211">
            <v>15468.22</v>
          </cell>
          <cell r="I211">
            <v>15115.71</v>
          </cell>
          <cell r="J211">
            <v>908</v>
          </cell>
        </row>
        <row r="212">
          <cell r="H212">
            <v>19594.3</v>
          </cell>
          <cell r="I212">
            <v>19234.599999999999</v>
          </cell>
          <cell r="J212">
            <v>1026</v>
          </cell>
        </row>
        <row r="213">
          <cell r="H213">
            <v>13123.06</v>
          </cell>
          <cell r="I213">
            <v>12930.08</v>
          </cell>
          <cell r="J213">
            <v>757</v>
          </cell>
        </row>
        <row r="214">
          <cell r="H214">
            <v>15898.81</v>
          </cell>
          <cell r="I214">
            <v>15703.74</v>
          </cell>
          <cell r="J214">
            <v>945</v>
          </cell>
        </row>
        <row r="215">
          <cell r="H215">
            <v>14410.21</v>
          </cell>
          <cell r="I215">
            <v>14216.25</v>
          </cell>
          <cell r="J215">
            <v>892</v>
          </cell>
        </row>
        <row r="216">
          <cell r="H216">
            <v>18153.72</v>
          </cell>
          <cell r="I216">
            <v>17873.400000000001</v>
          </cell>
          <cell r="J216">
            <v>1174</v>
          </cell>
        </row>
        <row r="217">
          <cell r="H217">
            <v>17961.900000000001</v>
          </cell>
          <cell r="I217">
            <v>17773.330000000002</v>
          </cell>
          <cell r="J217">
            <v>1091</v>
          </cell>
        </row>
        <row r="218">
          <cell r="H218">
            <v>19123.84</v>
          </cell>
          <cell r="I218">
            <v>19123.84</v>
          </cell>
          <cell r="J218">
            <v>1035</v>
          </cell>
        </row>
        <row r="219">
          <cell r="H219">
            <v>20753.43</v>
          </cell>
          <cell r="I219">
            <v>20418.88</v>
          </cell>
          <cell r="J219">
            <v>1116</v>
          </cell>
        </row>
        <row r="220">
          <cell r="H220">
            <v>15218.51</v>
          </cell>
          <cell r="I220">
            <v>14993.16</v>
          </cell>
          <cell r="J220">
            <v>898</v>
          </cell>
        </row>
        <row r="221">
          <cell r="H221">
            <v>17243</v>
          </cell>
          <cell r="I221">
            <v>16972.2</v>
          </cell>
          <cell r="J221">
            <v>1037</v>
          </cell>
        </row>
        <row r="222">
          <cell r="H222">
            <v>16294.42</v>
          </cell>
          <cell r="I222">
            <v>16033.58</v>
          </cell>
          <cell r="J222">
            <v>946</v>
          </cell>
        </row>
        <row r="223">
          <cell r="H223">
            <v>20290.400000000001</v>
          </cell>
          <cell r="I223">
            <v>19848.240000000002</v>
          </cell>
          <cell r="J223">
            <v>1261</v>
          </cell>
        </row>
        <row r="224">
          <cell r="H224">
            <v>18485.97</v>
          </cell>
          <cell r="I224">
            <v>18147.04</v>
          </cell>
          <cell r="J224">
            <v>1091</v>
          </cell>
        </row>
        <row r="225">
          <cell r="H225">
            <v>19514.05</v>
          </cell>
          <cell r="I225">
            <v>19159.32</v>
          </cell>
          <cell r="J225">
            <v>1130</v>
          </cell>
        </row>
        <row r="226">
          <cell r="H226">
            <v>22382.18</v>
          </cell>
          <cell r="I226">
            <v>22009.42</v>
          </cell>
          <cell r="J226">
            <v>1241</v>
          </cell>
        </row>
        <row r="227">
          <cell r="H227">
            <v>17177.34</v>
          </cell>
          <cell r="I227">
            <v>17177.34</v>
          </cell>
          <cell r="J227">
            <v>996</v>
          </cell>
        </row>
        <row r="228">
          <cell r="H228">
            <v>15922.77</v>
          </cell>
          <cell r="I228">
            <v>15620.57</v>
          </cell>
          <cell r="J228">
            <v>940</v>
          </cell>
        </row>
        <row r="229">
          <cell r="H229">
            <v>15617.23</v>
          </cell>
          <cell r="I229">
            <v>15336.87</v>
          </cell>
          <cell r="J229">
            <v>939</v>
          </cell>
        </row>
        <row r="230">
          <cell r="H230">
            <v>18713.95</v>
          </cell>
          <cell r="I230">
            <v>18358.650000000001</v>
          </cell>
          <cell r="J230">
            <v>1127</v>
          </cell>
        </row>
        <row r="231">
          <cell r="H231">
            <v>30565.51</v>
          </cell>
          <cell r="I231">
            <v>30085.53</v>
          </cell>
          <cell r="J231">
            <v>1611</v>
          </cell>
        </row>
        <row r="232">
          <cell r="H232">
            <v>18802.689999999999</v>
          </cell>
          <cell r="I232">
            <v>18479.43</v>
          </cell>
          <cell r="J232">
            <v>1113</v>
          </cell>
        </row>
        <row r="233">
          <cell r="H233">
            <v>21410.39</v>
          </cell>
          <cell r="I233">
            <v>20983.37</v>
          </cell>
          <cell r="J233">
            <v>1182</v>
          </cell>
        </row>
        <row r="234">
          <cell r="H234">
            <v>16499</v>
          </cell>
          <cell r="I234">
            <v>16235.17</v>
          </cell>
          <cell r="J234">
            <v>937</v>
          </cell>
        </row>
        <row r="235">
          <cell r="H235">
            <v>14582.14</v>
          </cell>
          <cell r="I235">
            <v>14277.95</v>
          </cell>
          <cell r="J235">
            <v>852</v>
          </cell>
        </row>
        <row r="236">
          <cell r="H236">
            <v>14905</v>
          </cell>
          <cell r="I236">
            <v>14630.36</v>
          </cell>
          <cell r="J236">
            <v>840</v>
          </cell>
        </row>
        <row r="237">
          <cell r="H237">
            <v>16627.939999999999</v>
          </cell>
          <cell r="I237">
            <v>16246.35</v>
          </cell>
          <cell r="J237">
            <v>957</v>
          </cell>
        </row>
        <row r="238">
          <cell r="H238">
            <v>17125.77</v>
          </cell>
          <cell r="I238">
            <v>16840.740000000002</v>
          </cell>
          <cell r="J238">
            <v>1016</v>
          </cell>
        </row>
        <row r="239">
          <cell r="H239">
            <v>18936.41</v>
          </cell>
          <cell r="I239">
            <v>18607.07</v>
          </cell>
          <cell r="J239">
            <v>1070</v>
          </cell>
        </row>
        <row r="240">
          <cell r="H240">
            <v>21493.55</v>
          </cell>
          <cell r="I240">
            <v>21141.35</v>
          </cell>
          <cell r="J240">
            <v>1160</v>
          </cell>
        </row>
        <row r="241">
          <cell r="H241">
            <v>14240.95</v>
          </cell>
          <cell r="I241">
            <v>13967.38</v>
          </cell>
          <cell r="J241">
            <v>917</v>
          </cell>
        </row>
        <row r="242">
          <cell r="H242">
            <v>14440.61</v>
          </cell>
          <cell r="I242">
            <v>14152.78</v>
          </cell>
          <cell r="J242">
            <v>901</v>
          </cell>
        </row>
        <row r="243">
          <cell r="H243">
            <v>12797.2</v>
          </cell>
          <cell r="I243">
            <v>12574.12</v>
          </cell>
          <cell r="J243">
            <v>799</v>
          </cell>
        </row>
        <row r="244">
          <cell r="H244">
            <v>13877.46</v>
          </cell>
          <cell r="I244">
            <v>13628.93</v>
          </cell>
          <cell r="J244">
            <v>814</v>
          </cell>
        </row>
        <row r="245">
          <cell r="H245">
            <v>16925.45</v>
          </cell>
          <cell r="I245">
            <v>16632.490000000002</v>
          </cell>
          <cell r="J245">
            <v>980</v>
          </cell>
        </row>
        <row r="246">
          <cell r="H246">
            <v>15878.94</v>
          </cell>
          <cell r="I246">
            <v>15643.5</v>
          </cell>
          <cell r="J246">
            <v>957</v>
          </cell>
        </row>
        <row r="247">
          <cell r="H247">
            <v>19051.8</v>
          </cell>
          <cell r="I247">
            <v>18746.3</v>
          </cell>
          <cell r="J247">
            <v>1038</v>
          </cell>
        </row>
        <row r="248">
          <cell r="H248">
            <v>10939.31</v>
          </cell>
          <cell r="I248">
            <v>10768.55</v>
          </cell>
          <cell r="J248">
            <v>613</v>
          </cell>
        </row>
        <row r="249">
          <cell r="H249">
            <v>10004.48</v>
          </cell>
          <cell r="I249">
            <v>9764.81</v>
          </cell>
          <cell r="J249">
            <v>586</v>
          </cell>
        </row>
        <row r="250">
          <cell r="H250">
            <v>12769.55</v>
          </cell>
          <cell r="I250">
            <v>12400.36</v>
          </cell>
          <cell r="J250">
            <v>761</v>
          </cell>
        </row>
        <row r="251">
          <cell r="H251">
            <v>10847.76</v>
          </cell>
          <cell r="I251">
            <v>10560.59</v>
          </cell>
          <cell r="J251">
            <v>612</v>
          </cell>
        </row>
        <row r="252">
          <cell r="H252">
            <v>16293.91</v>
          </cell>
          <cell r="I252">
            <v>15875.09</v>
          </cell>
          <cell r="J252">
            <v>971</v>
          </cell>
        </row>
        <row r="253">
          <cell r="H253">
            <v>17416.21</v>
          </cell>
          <cell r="I253">
            <v>16941.63</v>
          </cell>
          <cell r="J253">
            <v>1011</v>
          </cell>
        </row>
        <row r="254">
          <cell r="H254">
            <v>20013.68</v>
          </cell>
          <cell r="I254">
            <v>19490.32</v>
          </cell>
          <cell r="J254">
            <v>1041</v>
          </cell>
        </row>
        <row r="255">
          <cell r="H255">
            <v>9371.2999999999993</v>
          </cell>
          <cell r="I255">
            <v>9088.14</v>
          </cell>
          <cell r="J255">
            <v>555</v>
          </cell>
        </row>
        <row r="256">
          <cell r="H256">
            <v>10689.14</v>
          </cell>
          <cell r="I256">
            <v>10444.549999999999</v>
          </cell>
          <cell r="J256">
            <v>645</v>
          </cell>
        </row>
        <row r="257">
          <cell r="H257">
            <v>12405.81</v>
          </cell>
          <cell r="I257">
            <v>12191.47</v>
          </cell>
          <cell r="J257">
            <v>735</v>
          </cell>
        </row>
        <row r="258">
          <cell r="H258">
            <v>10274.219999999999</v>
          </cell>
          <cell r="I258">
            <v>10114.459999999999</v>
          </cell>
          <cell r="J258">
            <v>637</v>
          </cell>
        </row>
        <row r="259">
          <cell r="H259">
            <v>14496.8</v>
          </cell>
          <cell r="I259">
            <v>14325.68</v>
          </cell>
          <cell r="J259">
            <v>910</v>
          </cell>
        </row>
        <row r="260">
          <cell r="H260">
            <v>15636.38</v>
          </cell>
          <cell r="I260">
            <v>15338.41</v>
          </cell>
          <cell r="J260">
            <v>920</v>
          </cell>
        </row>
        <row r="261">
          <cell r="H261">
            <v>17604.849999999999</v>
          </cell>
          <cell r="I261">
            <v>17288.41</v>
          </cell>
          <cell r="J261">
            <v>954</v>
          </cell>
        </row>
        <row r="262">
          <cell r="H262">
            <v>7918.14</v>
          </cell>
          <cell r="I262">
            <v>7820.89</v>
          </cell>
          <cell r="J262">
            <v>494</v>
          </cell>
        </row>
        <row r="263">
          <cell r="H263">
            <v>9404.73</v>
          </cell>
          <cell r="I263">
            <v>9293.83</v>
          </cell>
          <cell r="J263">
            <v>578</v>
          </cell>
        </row>
        <row r="264">
          <cell r="H264">
            <v>12226.09</v>
          </cell>
          <cell r="I264">
            <v>12031.5</v>
          </cell>
          <cell r="J264">
            <v>739</v>
          </cell>
        </row>
        <row r="265">
          <cell r="H265">
            <v>11337.1</v>
          </cell>
          <cell r="I265">
            <v>11163.31</v>
          </cell>
          <cell r="J265">
            <v>702</v>
          </cell>
        </row>
        <row r="266">
          <cell r="H266">
            <v>15004.18</v>
          </cell>
          <cell r="I266">
            <v>14783.55</v>
          </cell>
          <cell r="J266">
            <v>922</v>
          </cell>
        </row>
        <row r="267">
          <cell r="H267">
            <v>17312.02</v>
          </cell>
          <cell r="I267">
            <v>17043.25</v>
          </cell>
          <cell r="J267">
            <v>1092</v>
          </cell>
        </row>
        <row r="268">
          <cell r="H268">
            <v>16339.7</v>
          </cell>
          <cell r="I268">
            <v>16021.41</v>
          </cell>
          <cell r="J268">
            <v>809</v>
          </cell>
        </row>
        <row r="269">
          <cell r="H269">
            <v>8681.9599999999991</v>
          </cell>
          <cell r="I269">
            <v>8568.3799999999992</v>
          </cell>
          <cell r="J269">
            <v>496</v>
          </cell>
        </row>
        <row r="270">
          <cell r="H270">
            <v>8430.61</v>
          </cell>
          <cell r="I270">
            <v>8284.93</v>
          </cell>
          <cell r="J270">
            <v>497</v>
          </cell>
        </row>
        <row r="271">
          <cell r="H271">
            <v>9321.2000000000007</v>
          </cell>
          <cell r="I271">
            <v>9102.5499999999993</v>
          </cell>
          <cell r="J271">
            <v>538</v>
          </cell>
        </row>
        <row r="272">
          <cell r="H272">
            <v>9870.24</v>
          </cell>
          <cell r="I272">
            <v>9671.84</v>
          </cell>
          <cell r="J272">
            <v>570</v>
          </cell>
        </row>
        <row r="273">
          <cell r="H273">
            <v>13408.31</v>
          </cell>
          <cell r="I273">
            <v>13057.4</v>
          </cell>
          <cell r="J273">
            <v>787</v>
          </cell>
        </row>
        <row r="274">
          <cell r="H274">
            <v>14619.63</v>
          </cell>
          <cell r="I274">
            <v>14304.84</v>
          </cell>
          <cell r="J274">
            <v>865</v>
          </cell>
        </row>
        <row r="275">
          <cell r="H275">
            <v>16568.13</v>
          </cell>
          <cell r="I275">
            <v>16051.62</v>
          </cell>
          <cell r="J275">
            <v>904</v>
          </cell>
        </row>
        <row r="276">
          <cell r="H276">
            <v>8896.44</v>
          </cell>
          <cell r="I276">
            <v>8710.5300000000007</v>
          </cell>
          <cell r="J276">
            <v>532</v>
          </cell>
        </row>
        <row r="277">
          <cell r="H277">
            <v>9578.11</v>
          </cell>
          <cell r="I277">
            <v>9324.94</v>
          </cell>
          <cell r="J277">
            <v>559</v>
          </cell>
        </row>
        <row r="278">
          <cell r="H278">
            <v>11321.38</v>
          </cell>
          <cell r="I278">
            <v>10995.76</v>
          </cell>
          <cell r="J278">
            <v>664</v>
          </cell>
        </row>
        <row r="279">
          <cell r="H279">
            <v>10334.620000000001</v>
          </cell>
          <cell r="I279">
            <v>10152.06</v>
          </cell>
          <cell r="J279">
            <v>612</v>
          </cell>
        </row>
        <row r="280">
          <cell r="H280">
            <v>14629.24</v>
          </cell>
          <cell r="I280">
            <v>14299.47</v>
          </cell>
          <cell r="J280">
            <v>918</v>
          </cell>
        </row>
        <row r="281">
          <cell r="H281">
            <v>19434.18</v>
          </cell>
          <cell r="I281">
            <v>19053.740000000002</v>
          </cell>
          <cell r="J281">
            <v>1017</v>
          </cell>
        </row>
        <row r="282">
          <cell r="H282">
            <v>18969.04</v>
          </cell>
          <cell r="I282">
            <v>18582.22</v>
          </cell>
          <cell r="J282">
            <v>962</v>
          </cell>
        </row>
        <row r="283">
          <cell r="H283">
            <v>9903.06</v>
          </cell>
          <cell r="I283">
            <v>9771.9</v>
          </cell>
          <cell r="J283">
            <v>607</v>
          </cell>
        </row>
        <row r="284">
          <cell r="H284">
            <v>10391.34</v>
          </cell>
          <cell r="I284">
            <v>10185.17</v>
          </cell>
          <cell r="J284">
            <v>586</v>
          </cell>
        </row>
        <row r="285">
          <cell r="H285">
            <v>12249.4</v>
          </cell>
          <cell r="I285">
            <v>11967.27</v>
          </cell>
          <cell r="J285">
            <v>699</v>
          </cell>
        </row>
        <row r="286">
          <cell r="H286">
            <v>10189.32</v>
          </cell>
          <cell r="I286">
            <v>10036.11</v>
          </cell>
          <cell r="J286">
            <v>613</v>
          </cell>
        </row>
        <row r="287">
          <cell r="H287">
            <v>14424.17</v>
          </cell>
          <cell r="I287">
            <v>14156.41</v>
          </cell>
          <cell r="J287">
            <v>856</v>
          </cell>
        </row>
        <row r="288">
          <cell r="H288">
            <v>16719.48</v>
          </cell>
          <cell r="I288">
            <v>16379.59</v>
          </cell>
          <cell r="J288">
            <v>933</v>
          </cell>
        </row>
        <row r="289">
          <cell r="H289">
            <v>17704.82</v>
          </cell>
          <cell r="I289">
            <v>17416.29</v>
          </cell>
          <cell r="J289">
            <v>928</v>
          </cell>
        </row>
        <row r="290">
          <cell r="H290">
            <v>8324.81</v>
          </cell>
          <cell r="I290">
            <v>8151.46</v>
          </cell>
          <cell r="J290">
            <v>489</v>
          </cell>
        </row>
        <row r="291">
          <cell r="H291">
            <v>9124.92</v>
          </cell>
          <cell r="I291">
            <v>8989.84</v>
          </cell>
          <cell r="J291">
            <v>544</v>
          </cell>
        </row>
        <row r="292">
          <cell r="H292">
            <v>12247.69</v>
          </cell>
          <cell r="I292">
            <v>12035.51</v>
          </cell>
          <cell r="J292">
            <v>673</v>
          </cell>
        </row>
        <row r="293">
          <cell r="H293">
            <v>10983.81</v>
          </cell>
          <cell r="I293">
            <v>10817.68</v>
          </cell>
          <cell r="J293">
            <v>658</v>
          </cell>
        </row>
        <row r="294">
          <cell r="H294">
            <v>15087.41</v>
          </cell>
          <cell r="I294">
            <v>14867.99</v>
          </cell>
          <cell r="J294">
            <v>908</v>
          </cell>
        </row>
        <row r="295">
          <cell r="H295">
            <v>16275.09</v>
          </cell>
          <cell r="I295">
            <v>15976.4</v>
          </cell>
          <cell r="J295">
            <v>936</v>
          </cell>
        </row>
        <row r="296">
          <cell r="H296">
            <v>16199.81</v>
          </cell>
          <cell r="I296">
            <v>15868.39</v>
          </cell>
          <cell r="J296">
            <v>872</v>
          </cell>
        </row>
        <row r="297">
          <cell r="H297">
            <v>11440.24</v>
          </cell>
          <cell r="I297">
            <v>11216.55</v>
          </cell>
          <cell r="J297">
            <v>679</v>
          </cell>
        </row>
        <row r="298">
          <cell r="H298">
            <v>12549.04</v>
          </cell>
          <cell r="I298">
            <v>12294.22</v>
          </cell>
          <cell r="J298">
            <v>700</v>
          </cell>
        </row>
        <row r="299">
          <cell r="H299">
            <v>12054.2</v>
          </cell>
          <cell r="I299">
            <v>11853.2</v>
          </cell>
          <cell r="J299">
            <v>684</v>
          </cell>
        </row>
        <row r="300">
          <cell r="H300">
            <v>12265.69</v>
          </cell>
          <cell r="I300">
            <v>12036.58</v>
          </cell>
          <cell r="J300">
            <v>673</v>
          </cell>
        </row>
        <row r="301">
          <cell r="H301">
            <v>13355.94</v>
          </cell>
          <cell r="I301">
            <v>13172.3</v>
          </cell>
          <cell r="J301">
            <v>784</v>
          </cell>
        </row>
        <row r="302">
          <cell r="H302">
            <v>14290.15</v>
          </cell>
          <cell r="I302">
            <v>14013.63</v>
          </cell>
          <cell r="J302">
            <v>775</v>
          </cell>
        </row>
        <row r="303">
          <cell r="H303">
            <v>14715.75</v>
          </cell>
          <cell r="I303">
            <v>14414.69</v>
          </cell>
          <cell r="J303">
            <v>763</v>
          </cell>
        </row>
        <row r="304">
          <cell r="H304">
            <v>10599.29</v>
          </cell>
          <cell r="I304">
            <v>10340.73</v>
          </cell>
          <cell r="J304">
            <v>616</v>
          </cell>
        </row>
        <row r="305">
          <cell r="H305">
            <v>13357.94</v>
          </cell>
          <cell r="I305">
            <v>13122.43</v>
          </cell>
          <cell r="J305">
            <v>800</v>
          </cell>
        </row>
        <row r="306">
          <cell r="H306">
            <v>14052.76</v>
          </cell>
          <cell r="I306">
            <v>13823.8</v>
          </cell>
          <cell r="J306">
            <v>762</v>
          </cell>
        </row>
        <row r="307">
          <cell r="H307">
            <v>13376.23</v>
          </cell>
          <cell r="I307">
            <v>13125.4</v>
          </cell>
          <cell r="J307">
            <v>772</v>
          </cell>
        </row>
        <row r="308">
          <cell r="H308">
            <v>14348.63</v>
          </cell>
          <cell r="I308">
            <v>14084.28</v>
          </cell>
          <cell r="J308">
            <v>838</v>
          </cell>
        </row>
        <row r="309">
          <cell r="H309">
            <v>14880.22</v>
          </cell>
          <cell r="I309">
            <v>14583.01</v>
          </cell>
          <cell r="J309">
            <v>816</v>
          </cell>
        </row>
        <row r="310">
          <cell r="H310">
            <v>14145.6</v>
          </cell>
          <cell r="I310">
            <v>13808.45</v>
          </cell>
          <cell r="J310">
            <v>684</v>
          </cell>
        </row>
        <row r="311">
          <cell r="H311">
            <v>8605.16</v>
          </cell>
          <cell r="I311">
            <v>8482</v>
          </cell>
          <cell r="J311">
            <v>511</v>
          </cell>
        </row>
        <row r="312">
          <cell r="H312">
            <v>8332.92</v>
          </cell>
          <cell r="I312">
            <v>8207.19</v>
          </cell>
          <cell r="J312">
            <v>499</v>
          </cell>
        </row>
        <row r="313">
          <cell r="H313">
            <v>10435.64</v>
          </cell>
          <cell r="I313">
            <v>10171.44</v>
          </cell>
          <cell r="J313">
            <v>613</v>
          </cell>
        </row>
        <row r="314">
          <cell r="H314">
            <v>10061.26</v>
          </cell>
          <cell r="I314">
            <v>9903.94</v>
          </cell>
          <cell r="J314">
            <v>600</v>
          </cell>
        </row>
        <row r="315">
          <cell r="H315">
            <v>14191.98</v>
          </cell>
          <cell r="I315">
            <v>13896.89</v>
          </cell>
          <cell r="J315">
            <v>863</v>
          </cell>
        </row>
        <row r="316">
          <cell r="H316">
            <v>16249.92</v>
          </cell>
          <cell r="I316">
            <v>15973.86</v>
          </cell>
          <cell r="J316">
            <v>990</v>
          </cell>
        </row>
        <row r="317">
          <cell r="H317">
            <v>18169.38</v>
          </cell>
          <cell r="I317">
            <v>17845.830000000002</v>
          </cell>
          <cell r="J317">
            <v>931</v>
          </cell>
        </row>
        <row r="318">
          <cell r="H318">
            <v>13165.04</v>
          </cell>
          <cell r="I318">
            <v>12902.01</v>
          </cell>
          <cell r="J318">
            <v>745</v>
          </cell>
        </row>
        <row r="319">
          <cell r="H319">
            <v>15668.44</v>
          </cell>
          <cell r="I319">
            <v>15335.48</v>
          </cell>
          <cell r="J319">
            <v>891</v>
          </cell>
        </row>
        <row r="320">
          <cell r="H320">
            <v>9543.0499999999993</v>
          </cell>
          <cell r="I320">
            <v>9358.6299999999992</v>
          </cell>
          <cell r="J320">
            <v>561</v>
          </cell>
        </row>
        <row r="321">
          <cell r="H321">
            <v>8333.43</v>
          </cell>
          <cell r="I321">
            <v>8238.67</v>
          </cell>
          <cell r="J321">
            <v>519</v>
          </cell>
        </row>
        <row r="322">
          <cell r="H322">
            <v>13090.67</v>
          </cell>
          <cell r="I322">
            <v>12894.93</v>
          </cell>
          <cell r="J322">
            <v>789</v>
          </cell>
        </row>
        <row r="323">
          <cell r="H323">
            <v>14509.34</v>
          </cell>
          <cell r="I323">
            <v>14151.88</v>
          </cell>
          <cell r="J323">
            <v>821</v>
          </cell>
        </row>
        <row r="324">
          <cell r="H324">
            <v>14395.2</v>
          </cell>
          <cell r="I324">
            <v>14009.62</v>
          </cell>
          <cell r="J324">
            <v>732</v>
          </cell>
        </row>
        <row r="325">
          <cell r="H325">
            <v>7677.9</v>
          </cell>
          <cell r="I325">
            <v>7520.73</v>
          </cell>
          <cell r="J325">
            <v>465</v>
          </cell>
        </row>
        <row r="326">
          <cell r="H326">
            <v>8127.44</v>
          </cell>
          <cell r="I326">
            <v>8036.11</v>
          </cell>
          <cell r="J326">
            <v>495</v>
          </cell>
        </row>
        <row r="327">
          <cell r="H327">
            <v>10501.61</v>
          </cell>
          <cell r="I327">
            <v>10290.450000000001</v>
          </cell>
          <cell r="J327">
            <v>599</v>
          </cell>
        </row>
        <row r="328">
          <cell r="H328">
            <v>7879.24</v>
          </cell>
          <cell r="I328">
            <v>7718.16</v>
          </cell>
          <cell r="J328">
            <v>509</v>
          </cell>
        </row>
        <row r="329">
          <cell r="H329">
            <v>12300.54</v>
          </cell>
          <cell r="I329">
            <v>12075.37</v>
          </cell>
          <cell r="J329">
            <v>736</v>
          </cell>
        </row>
        <row r="330">
          <cell r="H330">
            <v>12935.18</v>
          </cell>
          <cell r="I330">
            <v>12755.47</v>
          </cell>
          <cell r="J330">
            <v>718</v>
          </cell>
        </row>
        <row r="331">
          <cell r="H331">
            <v>13253.08</v>
          </cell>
          <cell r="I331">
            <v>12983.52</v>
          </cell>
          <cell r="J331">
            <v>660</v>
          </cell>
        </row>
        <row r="332">
          <cell r="H332">
            <v>8370.4500000000007</v>
          </cell>
          <cell r="I332">
            <v>8180.33</v>
          </cell>
          <cell r="J332">
            <v>516</v>
          </cell>
        </row>
        <row r="333">
          <cell r="H333">
            <v>7148.87</v>
          </cell>
          <cell r="I333">
            <v>7011.79</v>
          </cell>
          <cell r="J333">
            <v>417</v>
          </cell>
        </row>
        <row r="334">
          <cell r="H334">
            <v>10657.89</v>
          </cell>
          <cell r="I334">
            <v>10428.969999999999</v>
          </cell>
          <cell r="J334">
            <v>589</v>
          </cell>
        </row>
        <row r="335">
          <cell r="H335">
            <v>9328.16</v>
          </cell>
          <cell r="I335">
            <v>9110.2099999999991</v>
          </cell>
          <cell r="J335">
            <v>543</v>
          </cell>
        </row>
        <row r="336">
          <cell r="H336">
            <v>12667.25</v>
          </cell>
          <cell r="I336">
            <v>12344.44</v>
          </cell>
          <cell r="J336">
            <v>747</v>
          </cell>
        </row>
        <row r="337">
          <cell r="H337">
            <v>13771.53</v>
          </cell>
          <cell r="I337">
            <v>13431.89</v>
          </cell>
          <cell r="J337">
            <v>758</v>
          </cell>
        </row>
        <row r="338">
          <cell r="H338">
            <v>14813.95</v>
          </cell>
          <cell r="I338">
            <v>14408.3</v>
          </cell>
          <cell r="J338">
            <v>714</v>
          </cell>
        </row>
        <row r="339">
          <cell r="H339">
            <v>6976.1</v>
          </cell>
          <cell r="I339">
            <v>6798.58</v>
          </cell>
          <cell r="J339">
            <v>429</v>
          </cell>
        </row>
        <row r="340">
          <cell r="H340">
            <v>8422.91</v>
          </cell>
          <cell r="I340">
            <v>8150.74</v>
          </cell>
          <cell r="J340">
            <v>453</v>
          </cell>
        </row>
        <row r="341">
          <cell r="H341">
            <v>11535.12</v>
          </cell>
          <cell r="I341">
            <v>11216.76</v>
          </cell>
          <cell r="J341">
            <v>645</v>
          </cell>
        </row>
        <row r="342">
          <cell r="H342">
            <v>8598.07</v>
          </cell>
          <cell r="I342">
            <v>8373.75</v>
          </cell>
          <cell r="J342">
            <v>506</v>
          </cell>
        </row>
        <row r="343">
          <cell r="H343">
            <v>13124.15</v>
          </cell>
          <cell r="I343">
            <v>12771.7</v>
          </cell>
          <cell r="J343">
            <v>737</v>
          </cell>
        </row>
        <row r="344">
          <cell r="H344">
            <v>14721.47</v>
          </cell>
          <cell r="I344">
            <v>14246.55</v>
          </cell>
          <cell r="J344">
            <v>809</v>
          </cell>
        </row>
        <row r="345">
          <cell r="H345">
            <v>13022.63</v>
          </cell>
          <cell r="I345">
            <v>12571.96</v>
          </cell>
          <cell r="J345">
            <v>630</v>
          </cell>
        </row>
        <row r="346">
          <cell r="H346">
            <v>7637.59</v>
          </cell>
          <cell r="I346">
            <v>7389.93</v>
          </cell>
          <cell r="J346">
            <v>475</v>
          </cell>
        </row>
        <row r="347">
          <cell r="H347">
            <v>9744.8700000000008</v>
          </cell>
          <cell r="I347">
            <v>9480.23</v>
          </cell>
          <cell r="J347">
            <v>538</v>
          </cell>
        </row>
        <row r="348">
          <cell r="H348">
            <v>12668.72</v>
          </cell>
          <cell r="I348">
            <v>11981.37</v>
          </cell>
          <cell r="J348">
            <v>670</v>
          </cell>
        </row>
        <row r="349">
          <cell r="H349">
            <v>9325.41</v>
          </cell>
          <cell r="I349">
            <v>9119.0300000000007</v>
          </cell>
          <cell r="J349">
            <v>558</v>
          </cell>
        </row>
        <row r="350">
          <cell r="H350">
            <v>13433.35</v>
          </cell>
          <cell r="I350">
            <v>13104.63</v>
          </cell>
          <cell r="J350">
            <v>805</v>
          </cell>
        </row>
        <row r="351">
          <cell r="H351">
            <v>16288.17</v>
          </cell>
          <cell r="I351">
            <v>15839.13</v>
          </cell>
          <cell r="J351">
            <v>827</v>
          </cell>
        </row>
        <row r="352">
          <cell r="H352">
            <v>15987.18</v>
          </cell>
          <cell r="I352">
            <v>15510.38</v>
          </cell>
          <cell r="J352">
            <v>770</v>
          </cell>
        </row>
        <row r="353">
          <cell r="H353">
            <v>8335.1299999999992</v>
          </cell>
          <cell r="I353">
            <v>8120.7</v>
          </cell>
          <cell r="J353">
            <v>474</v>
          </cell>
        </row>
        <row r="354">
          <cell r="H354">
            <v>8242.68</v>
          </cell>
          <cell r="I354">
            <v>8000.63</v>
          </cell>
          <cell r="J354">
            <v>487</v>
          </cell>
        </row>
        <row r="355">
          <cell r="H355">
            <v>12203.32</v>
          </cell>
          <cell r="I355">
            <v>11853.67</v>
          </cell>
          <cell r="J355">
            <v>702</v>
          </cell>
        </row>
        <row r="356">
          <cell r="H356">
            <v>10759.01</v>
          </cell>
          <cell r="I356">
            <v>10603.29</v>
          </cell>
          <cell r="J356">
            <v>624</v>
          </cell>
        </row>
        <row r="357">
          <cell r="H357">
            <v>16112.63</v>
          </cell>
          <cell r="I357">
            <v>15737.08</v>
          </cell>
          <cell r="J357">
            <v>895</v>
          </cell>
        </row>
        <row r="358">
          <cell r="H358">
            <v>15090.96</v>
          </cell>
          <cell r="I358">
            <v>14829.83</v>
          </cell>
          <cell r="J358">
            <v>815</v>
          </cell>
        </row>
        <row r="359">
          <cell r="H359">
            <v>17415.39</v>
          </cell>
          <cell r="I359">
            <v>16891.490000000002</v>
          </cell>
          <cell r="J359">
            <v>860</v>
          </cell>
        </row>
        <row r="360">
          <cell r="H360">
            <v>13988.13</v>
          </cell>
          <cell r="I360">
            <v>13631.34</v>
          </cell>
          <cell r="J360">
            <v>777</v>
          </cell>
        </row>
        <row r="361">
          <cell r="H361">
            <v>13567.54</v>
          </cell>
          <cell r="I361">
            <v>13254.93</v>
          </cell>
          <cell r="J361">
            <v>740</v>
          </cell>
        </row>
        <row r="362">
          <cell r="H362">
            <v>5035.3100000000004</v>
          </cell>
          <cell r="I362">
            <v>4921.42</v>
          </cell>
          <cell r="J362">
            <v>278</v>
          </cell>
        </row>
        <row r="363">
          <cell r="H363">
            <v>13753.95</v>
          </cell>
          <cell r="I363">
            <v>13333.25</v>
          </cell>
          <cell r="J363">
            <v>657</v>
          </cell>
        </row>
        <row r="364">
          <cell r="H364">
            <v>16081</v>
          </cell>
          <cell r="I364">
            <v>15753.71</v>
          </cell>
          <cell r="J364">
            <v>839</v>
          </cell>
        </row>
        <row r="365">
          <cell r="H365">
            <v>16908.580000000002</v>
          </cell>
          <cell r="I365">
            <v>16567.13</v>
          </cell>
          <cell r="J365">
            <v>860</v>
          </cell>
        </row>
        <row r="366">
          <cell r="H366">
            <v>19832.650000000001</v>
          </cell>
          <cell r="I366">
            <v>19273.310000000001</v>
          </cell>
          <cell r="J366">
            <v>940</v>
          </cell>
        </row>
        <row r="367">
          <cell r="H367">
            <v>15952.46</v>
          </cell>
          <cell r="I367">
            <v>15509.5</v>
          </cell>
          <cell r="J367">
            <v>871</v>
          </cell>
        </row>
        <row r="368">
          <cell r="H368">
            <v>15591.18</v>
          </cell>
          <cell r="I368">
            <v>15299.84</v>
          </cell>
          <cell r="J368">
            <v>831</v>
          </cell>
        </row>
        <row r="369">
          <cell r="H369">
            <v>7044.11</v>
          </cell>
          <cell r="I369">
            <v>6928.44</v>
          </cell>
          <cell r="J369">
            <v>387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2">
          <cell r="F12">
            <v>240</v>
          </cell>
        </row>
        <row r="13">
          <cell r="F13">
            <v>268</v>
          </cell>
        </row>
        <row r="14">
          <cell r="F14">
            <v>248</v>
          </cell>
        </row>
        <row r="15">
          <cell r="F15">
            <v>305</v>
          </cell>
        </row>
        <row r="16">
          <cell r="F16">
            <v>258</v>
          </cell>
        </row>
        <row r="17">
          <cell r="F17">
            <v>274</v>
          </cell>
        </row>
        <row r="18">
          <cell r="F18">
            <v>235</v>
          </cell>
        </row>
        <row r="19">
          <cell r="F19">
            <v>220</v>
          </cell>
        </row>
        <row r="20">
          <cell r="F20">
            <v>249</v>
          </cell>
        </row>
        <row r="21">
          <cell r="F21">
            <v>270</v>
          </cell>
        </row>
        <row r="22">
          <cell r="F22">
            <v>226</v>
          </cell>
        </row>
        <row r="23">
          <cell r="F23">
            <v>228</v>
          </cell>
        </row>
      </sheetData>
      <sheetData sheetId="23"/>
      <sheetData sheetId="24"/>
      <sheetData sheetId="25"/>
      <sheetData sheetId="26"/>
      <sheetData sheetId="2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25"/>
      <sheetName val="GLOBAL 26"/>
      <sheetName val="GLOBAL PREV"/>
      <sheetName val="PREV 2026"/>
      <sheetName val="CHAMNORD"/>
      <sheetName val="AIX"/>
      <sheetName val="BELLEY"/>
      <sheetName val="STALBAN"/>
      <sheetName val="ABRETS"/>
      <sheetName val="PONT"/>
      <sheetName val="FRANCIN"/>
      <sheetName val="VIVIERS"/>
      <sheetName val="FRANCHISE"/>
      <sheetName val="DONNEES "/>
      <sheetName val="ANALYSE FINANCIERE"/>
      <sheetName val="ANALYSE QSP"/>
      <sheetName val="BEST OF THE BEST"/>
      <sheetName val="DRIVE 🏎️"/>
      <sheetName val="LAD 🛍️"/>
      <sheetName val="OPH"/>
      <sheetName val="RECORD 🥇"/>
      <sheetName val="INDICES CA 💵"/>
      <sheetName val="DIGITAL 💻"/>
      <sheetName val="INDICES QSP 🍔"/>
      <sheetName val="INDICES FINANCIERS 📈"/>
      <sheetName val="INDICES RH 🤝"/>
      <sheetName val="ANALYSES 🔬"/>
    </sheetNames>
    <sheetDataSet>
      <sheetData sheetId="0"/>
      <sheetData sheetId="1"/>
      <sheetData sheetId="2"/>
      <sheetData sheetId="3"/>
      <sheetData sheetId="4">
        <row r="6">
          <cell r="H6">
            <v>35452.730000000003</v>
          </cell>
          <cell r="I6">
            <v>34755.879999999997</v>
          </cell>
          <cell r="J6">
            <v>1539</v>
          </cell>
        </row>
        <row r="7">
          <cell r="H7">
            <v>29777.37</v>
          </cell>
          <cell r="I7">
            <v>29326.59</v>
          </cell>
          <cell r="J7">
            <v>1321</v>
          </cell>
        </row>
        <row r="8">
          <cell r="H8">
            <v>30478.2</v>
          </cell>
          <cell r="I8">
            <v>30086.43</v>
          </cell>
          <cell r="J8">
            <v>1444</v>
          </cell>
        </row>
        <row r="9">
          <cell r="H9">
            <v>23658.400000000001</v>
          </cell>
          <cell r="I9">
            <v>23316.49</v>
          </cell>
          <cell r="J9">
            <v>1080</v>
          </cell>
        </row>
        <row r="10">
          <cell r="H10">
            <v>14020.33</v>
          </cell>
          <cell r="I10">
            <v>13851.73</v>
          </cell>
          <cell r="J10">
            <v>812</v>
          </cell>
        </row>
        <row r="11">
          <cell r="H11">
            <v>13690.19</v>
          </cell>
          <cell r="I11">
            <v>13497.18</v>
          </cell>
          <cell r="J11">
            <v>831</v>
          </cell>
        </row>
        <row r="12">
          <cell r="H12">
            <v>17500.080000000002</v>
          </cell>
          <cell r="I12">
            <v>17150.57</v>
          </cell>
          <cell r="J12">
            <v>1023</v>
          </cell>
        </row>
        <row r="13">
          <cell r="H13">
            <v>14561.78</v>
          </cell>
          <cell r="I13">
            <v>14401.18</v>
          </cell>
          <cell r="J13">
            <v>788</v>
          </cell>
        </row>
        <row r="14">
          <cell r="H14">
            <v>25183.73</v>
          </cell>
          <cell r="I14">
            <v>24922.66</v>
          </cell>
          <cell r="J14">
            <v>1317</v>
          </cell>
        </row>
        <row r="15">
          <cell r="H15">
            <v>28987.31</v>
          </cell>
          <cell r="I15">
            <v>28589.06</v>
          </cell>
          <cell r="J15">
            <v>1405</v>
          </cell>
        </row>
        <row r="16">
          <cell r="H16">
            <v>24295.42</v>
          </cell>
          <cell r="I16">
            <v>23890.28</v>
          </cell>
          <cell r="J16">
            <v>1159</v>
          </cell>
        </row>
        <row r="17">
          <cell r="H17">
            <v>12459.53</v>
          </cell>
          <cell r="I17">
            <v>12302.34</v>
          </cell>
          <cell r="J17">
            <v>747</v>
          </cell>
        </row>
        <row r="18">
          <cell r="H18">
            <v>16074.3</v>
          </cell>
          <cell r="I18">
            <v>15884.71</v>
          </cell>
          <cell r="J18">
            <v>908</v>
          </cell>
        </row>
        <row r="19">
          <cell r="H19">
            <v>18153.47</v>
          </cell>
          <cell r="I19">
            <v>17905.810000000001</v>
          </cell>
          <cell r="J19">
            <v>1028</v>
          </cell>
        </row>
        <row r="20">
          <cell r="H20">
            <v>17835.849999999999</v>
          </cell>
          <cell r="I20">
            <v>17654.27</v>
          </cell>
          <cell r="J20">
            <v>1017</v>
          </cell>
        </row>
        <row r="21">
          <cell r="H21">
            <v>26687.200000000001</v>
          </cell>
          <cell r="I21">
            <v>26320.01</v>
          </cell>
          <cell r="J21">
            <v>1391</v>
          </cell>
        </row>
        <row r="22">
          <cell r="H22">
            <v>30558.35</v>
          </cell>
          <cell r="I22">
            <v>30120.91</v>
          </cell>
          <cell r="J22">
            <v>1514</v>
          </cell>
        </row>
        <row r="23">
          <cell r="H23">
            <v>22921.01</v>
          </cell>
          <cell r="I23">
            <v>22517.91</v>
          </cell>
          <cell r="J23">
            <v>1087</v>
          </cell>
        </row>
        <row r="24">
          <cell r="H24">
            <v>13024.01</v>
          </cell>
          <cell r="I24">
            <v>12877.08</v>
          </cell>
          <cell r="J24">
            <v>792</v>
          </cell>
        </row>
        <row r="25">
          <cell r="H25">
            <v>13633.75</v>
          </cell>
          <cell r="I25">
            <v>13461.86</v>
          </cell>
          <cell r="J25">
            <v>823</v>
          </cell>
        </row>
        <row r="26">
          <cell r="H26">
            <v>17361.53</v>
          </cell>
          <cell r="I26">
            <v>17117.91</v>
          </cell>
          <cell r="J26">
            <v>989</v>
          </cell>
        </row>
        <row r="27">
          <cell r="H27">
            <v>15922.56</v>
          </cell>
          <cell r="I27">
            <v>15763.96</v>
          </cell>
          <cell r="J27">
            <v>892</v>
          </cell>
        </row>
        <row r="28">
          <cell r="H28">
            <v>24513.599999999999</v>
          </cell>
          <cell r="I28">
            <v>24256.03</v>
          </cell>
          <cell r="J28">
            <v>1246</v>
          </cell>
        </row>
        <row r="29">
          <cell r="H29">
            <v>28946.23</v>
          </cell>
          <cell r="I29">
            <v>28615.5</v>
          </cell>
          <cell r="J29">
            <v>1410</v>
          </cell>
        </row>
        <row r="30">
          <cell r="H30">
            <v>23326.28</v>
          </cell>
          <cell r="I30">
            <v>23049.98</v>
          </cell>
          <cell r="J30">
            <v>1134</v>
          </cell>
        </row>
        <row r="31">
          <cell r="H31">
            <v>13199.75</v>
          </cell>
          <cell r="I31">
            <v>13060.9</v>
          </cell>
          <cell r="J31">
            <v>815</v>
          </cell>
        </row>
        <row r="32">
          <cell r="H32">
            <v>14185.83</v>
          </cell>
          <cell r="I32">
            <v>14008.87</v>
          </cell>
          <cell r="J32">
            <v>819</v>
          </cell>
        </row>
        <row r="33">
          <cell r="H33">
            <v>17025.93</v>
          </cell>
          <cell r="I33">
            <v>16747.71</v>
          </cell>
          <cell r="J33">
            <v>949</v>
          </cell>
        </row>
        <row r="34">
          <cell r="H34">
            <v>17482.07</v>
          </cell>
          <cell r="I34">
            <v>17273.060000000001</v>
          </cell>
          <cell r="J34">
            <v>983</v>
          </cell>
        </row>
        <row r="35">
          <cell r="H35">
            <v>25158.45</v>
          </cell>
          <cell r="I35">
            <v>24877.91</v>
          </cell>
          <cell r="J35">
            <v>1295</v>
          </cell>
        </row>
        <row r="36">
          <cell r="H36">
            <v>32604.25</v>
          </cell>
          <cell r="I36">
            <v>32046.22</v>
          </cell>
          <cell r="J36">
            <v>1517</v>
          </cell>
        </row>
        <row r="37">
          <cell r="H37">
            <v>24679.64</v>
          </cell>
          <cell r="I37">
            <v>24352.799999999999</v>
          </cell>
          <cell r="J37">
            <v>1147</v>
          </cell>
        </row>
        <row r="38">
          <cell r="H38">
            <v>13315.67</v>
          </cell>
          <cell r="I38">
            <v>13214.7</v>
          </cell>
          <cell r="J38">
            <v>808</v>
          </cell>
        </row>
        <row r="39">
          <cell r="H39">
            <v>15351.35</v>
          </cell>
          <cell r="I39">
            <v>15171.34</v>
          </cell>
          <cell r="J39">
            <v>899</v>
          </cell>
        </row>
        <row r="40">
          <cell r="H40">
            <v>18464.27</v>
          </cell>
          <cell r="I40">
            <v>18194.3</v>
          </cell>
          <cell r="J40">
            <v>1071</v>
          </cell>
        </row>
        <row r="41">
          <cell r="H41">
            <v>18598.78</v>
          </cell>
          <cell r="I41">
            <v>18450.86</v>
          </cell>
          <cell r="J41">
            <v>1044</v>
          </cell>
        </row>
        <row r="42">
          <cell r="H42">
            <v>28945.05</v>
          </cell>
          <cell r="I42">
            <v>28568.49</v>
          </cell>
          <cell r="J42">
            <v>1478</v>
          </cell>
        </row>
        <row r="43">
          <cell r="H43">
            <v>30509.83</v>
          </cell>
          <cell r="I43">
            <v>30154.18</v>
          </cell>
          <cell r="J43">
            <v>1508</v>
          </cell>
        </row>
        <row r="44">
          <cell r="H44">
            <v>26941.47</v>
          </cell>
          <cell r="I44">
            <v>26492.6</v>
          </cell>
          <cell r="J44">
            <v>1315</v>
          </cell>
        </row>
        <row r="45">
          <cell r="H45">
            <v>15462.78</v>
          </cell>
          <cell r="I45">
            <v>15218.89</v>
          </cell>
          <cell r="J45">
            <v>874</v>
          </cell>
        </row>
        <row r="46">
          <cell r="H46">
            <v>18006.599999999999</v>
          </cell>
          <cell r="I46">
            <v>17680.490000000002</v>
          </cell>
          <cell r="J46">
            <v>1027</v>
          </cell>
        </row>
        <row r="47">
          <cell r="H47">
            <v>18736.27</v>
          </cell>
          <cell r="I47">
            <v>18527.5</v>
          </cell>
          <cell r="J47">
            <v>1048</v>
          </cell>
        </row>
        <row r="48">
          <cell r="H48">
            <v>20924.38</v>
          </cell>
          <cell r="I48">
            <v>20632.86</v>
          </cell>
          <cell r="J48">
            <v>1153</v>
          </cell>
        </row>
        <row r="49">
          <cell r="H49">
            <v>32569.99</v>
          </cell>
          <cell r="I49">
            <v>32176.98</v>
          </cell>
          <cell r="J49">
            <v>1527</v>
          </cell>
        </row>
        <row r="50">
          <cell r="H50">
            <v>32818.730000000003</v>
          </cell>
          <cell r="I50">
            <v>32291.200000000001</v>
          </cell>
          <cell r="J50">
            <v>1529</v>
          </cell>
        </row>
        <row r="51">
          <cell r="H51">
            <v>24987.56</v>
          </cell>
          <cell r="I51">
            <v>24558.95</v>
          </cell>
          <cell r="J51">
            <v>1131</v>
          </cell>
        </row>
        <row r="52">
          <cell r="H52">
            <v>15906.59</v>
          </cell>
          <cell r="I52">
            <v>15695.02</v>
          </cell>
          <cell r="J52">
            <v>911</v>
          </cell>
        </row>
        <row r="53">
          <cell r="H53">
            <v>16666.45</v>
          </cell>
          <cell r="I53">
            <v>16403.740000000002</v>
          </cell>
          <cell r="J53">
            <v>952</v>
          </cell>
        </row>
        <row r="54">
          <cell r="H54">
            <v>16500.63</v>
          </cell>
          <cell r="I54">
            <v>16243.76</v>
          </cell>
          <cell r="J54">
            <v>936</v>
          </cell>
        </row>
        <row r="55">
          <cell r="H55">
            <v>17647.8</v>
          </cell>
          <cell r="I55">
            <v>17383.37</v>
          </cell>
          <cell r="J55">
            <v>928</v>
          </cell>
        </row>
        <row r="56">
          <cell r="H56">
            <v>30197.57</v>
          </cell>
          <cell r="I56">
            <v>29791.78</v>
          </cell>
          <cell r="J56">
            <v>1343</v>
          </cell>
        </row>
        <row r="57">
          <cell r="H57">
            <v>31756.84</v>
          </cell>
          <cell r="I57">
            <v>31330.87</v>
          </cell>
          <cell r="J57">
            <v>1413</v>
          </cell>
        </row>
        <row r="58">
          <cell r="H58">
            <v>23932.58</v>
          </cell>
          <cell r="I58">
            <v>23559.37</v>
          </cell>
          <cell r="J58">
            <v>1075</v>
          </cell>
        </row>
        <row r="59">
          <cell r="H59">
            <v>11966.29</v>
          </cell>
          <cell r="I59">
            <v>11816.36</v>
          </cell>
          <cell r="J59">
            <v>692</v>
          </cell>
        </row>
        <row r="60">
          <cell r="H60">
            <v>13333.44</v>
          </cell>
          <cell r="I60">
            <v>13207.86</v>
          </cell>
          <cell r="J60">
            <v>777</v>
          </cell>
        </row>
        <row r="61">
          <cell r="H61">
            <v>17362.240000000002</v>
          </cell>
          <cell r="I61">
            <v>17157.48</v>
          </cell>
          <cell r="J61">
            <v>974</v>
          </cell>
        </row>
        <row r="62">
          <cell r="H62">
            <v>16380.88</v>
          </cell>
          <cell r="I62">
            <v>16181.15</v>
          </cell>
          <cell r="J62">
            <v>943</v>
          </cell>
        </row>
        <row r="63">
          <cell r="H63">
            <v>28595.15</v>
          </cell>
          <cell r="I63">
            <v>28292.26</v>
          </cell>
          <cell r="J63">
            <v>1347</v>
          </cell>
        </row>
        <row r="64">
          <cell r="H64">
            <v>27144.06</v>
          </cell>
          <cell r="I64">
            <v>26791.18</v>
          </cell>
          <cell r="J64">
            <v>1273</v>
          </cell>
        </row>
        <row r="65">
          <cell r="H65">
            <v>24146.39</v>
          </cell>
          <cell r="I65">
            <v>23718.880000000001</v>
          </cell>
          <cell r="J65">
            <v>1106</v>
          </cell>
        </row>
        <row r="66">
          <cell r="H66">
            <v>12164.19</v>
          </cell>
          <cell r="I66">
            <v>11956.87</v>
          </cell>
          <cell r="J66">
            <v>737</v>
          </cell>
        </row>
        <row r="67">
          <cell r="H67">
            <v>13752.64</v>
          </cell>
          <cell r="I67">
            <v>13620.41</v>
          </cell>
          <cell r="J67">
            <v>798</v>
          </cell>
        </row>
        <row r="68">
          <cell r="H68">
            <v>15238.98</v>
          </cell>
          <cell r="I68">
            <v>15004.75</v>
          </cell>
          <cell r="J68">
            <v>860</v>
          </cell>
        </row>
        <row r="69">
          <cell r="H69">
            <v>17359.47</v>
          </cell>
          <cell r="I69">
            <v>17126.91</v>
          </cell>
          <cell r="J69">
            <v>981</v>
          </cell>
        </row>
        <row r="70">
          <cell r="H70">
            <v>25224.21</v>
          </cell>
          <cell r="I70">
            <v>24878.61</v>
          </cell>
          <cell r="J70">
            <v>1244</v>
          </cell>
        </row>
        <row r="71">
          <cell r="H71">
            <v>28926.400000000001</v>
          </cell>
          <cell r="I71">
            <v>28517.29</v>
          </cell>
          <cell r="J71">
            <v>1430</v>
          </cell>
        </row>
        <row r="72">
          <cell r="H72">
            <v>24632.48</v>
          </cell>
          <cell r="I72">
            <v>24267.16</v>
          </cell>
          <cell r="J72">
            <v>1151</v>
          </cell>
        </row>
        <row r="73">
          <cell r="H73">
            <v>12137.68</v>
          </cell>
          <cell r="I73">
            <v>12006.64</v>
          </cell>
          <cell r="J73">
            <v>736</v>
          </cell>
        </row>
        <row r="74">
          <cell r="H74">
            <v>13518.26</v>
          </cell>
          <cell r="I74">
            <v>13368.3</v>
          </cell>
          <cell r="J74">
            <v>784</v>
          </cell>
        </row>
        <row r="75">
          <cell r="H75">
            <v>17999.990000000002</v>
          </cell>
          <cell r="I75">
            <v>17717.78</v>
          </cell>
          <cell r="J75">
            <v>967</v>
          </cell>
        </row>
        <row r="76">
          <cell r="H76">
            <v>15393.46</v>
          </cell>
          <cell r="I76">
            <v>15246.78</v>
          </cell>
          <cell r="J76">
            <v>882</v>
          </cell>
        </row>
        <row r="77">
          <cell r="H77">
            <v>24630.03</v>
          </cell>
          <cell r="I77">
            <v>24303.03</v>
          </cell>
          <cell r="J77">
            <v>1315</v>
          </cell>
        </row>
        <row r="78">
          <cell r="H78">
            <v>28102.61</v>
          </cell>
          <cell r="I78">
            <v>27712</v>
          </cell>
          <cell r="J78">
            <v>1384</v>
          </cell>
        </row>
        <row r="79">
          <cell r="H79">
            <v>23324.83</v>
          </cell>
          <cell r="I79">
            <v>22992.95</v>
          </cell>
          <cell r="J79">
            <v>1148</v>
          </cell>
        </row>
        <row r="80">
          <cell r="H80">
            <v>13124.37</v>
          </cell>
          <cell r="I80">
            <v>12976.45</v>
          </cell>
          <cell r="J80">
            <v>781</v>
          </cell>
        </row>
        <row r="81">
          <cell r="H81">
            <v>14835.63</v>
          </cell>
          <cell r="I81">
            <v>14679.6</v>
          </cell>
          <cell r="J81">
            <v>829</v>
          </cell>
        </row>
        <row r="82">
          <cell r="H82">
            <v>15485.65</v>
          </cell>
          <cell r="I82">
            <v>15229.08</v>
          </cell>
          <cell r="J82">
            <v>884</v>
          </cell>
        </row>
        <row r="83">
          <cell r="H83">
            <v>17005.689999999999</v>
          </cell>
          <cell r="I83">
            <v>16860.79</v>
          </cell>
          <cell r="J83">
            <v>978</v>
          </cell>
        </row>
        <row r="84">
          <cell r="H84">
            <v>25393.279999999999</v>
          </cell>
          <cell r="I84">
            <v>25039.69</v>
          </cell>
          <cell r="J84">
            <v>1356</v>
          </cell>
        </row>
        <row r="85">
          <cell r="H85">
            <v>25627.59</v>
          </cell>
          <cell r="I85">
            <v>25266.7</v>
          </cell>
          <cell r="J85">
            <v>1342</v>
          </cell>
        </row>
        <row r="86">
          <cell r="H86">
            <v>24955.46</v>
          </cell>
          <cell r="I86">
            <v>24584.93</v>
          </cell>
          <cell r="J86">
            <v>1212</v>
          </cell>
        </row>
        <row r="87">
          <cell r="H87">
            <v>12883.05</v>
          </cell>
          <cell r="I87">
            <v>12734.56</v>
          </cell>
          <cell r="J87">
            <v>772</v>
          </cell>
        </row>
        <row r="88">
          <cell r="H88">
            <v>14182.45</v>
          </cell>
          <cell r="I88">
            <v>13973.91</v>
          </cell>
          <cell r="J88">
            <v>813</v>
          </cell>
        </row>
        <row r="89">
          <cell r="H89">
            <v>18112.89</v>
          </cell>
          <cell r="I89">
            <v>17730.259999999998</v>
          </cell>
          <cell r="J89">
            <v>995</v>
          </cell>
        </row>
        <row r="90">
          <cell r="H90">
            <v>18279.939999999999</v>
          </cell>
          <cell r="I90">
            <v>17952.400000000001</v>
          </cell>
          <cell r="J90">
            <v>995</v>
          </cell>
        </row>
        <row r="91">
          <cell r="H91">
            <v>27328.19</v>
          </cell>
          <cell r="I91">
            <v>26781.119999999999</v>
          </cell>
          <cell r="J91">
            <v>1383</v>
          </cell>
        </row>
        <row r="92">
          <cell r="H92">
            <v>28398.81</v>
          </cell>
          <cell r="I92">
            <v>27874.63</v>
          </cell>
          <cell r="J92">
            <v>1381</v>
          </cell>
        </row>
        <row r="93">
          <cell r="H93">
            <v>26679.67</v>
          </cell>
          <cell r="I93">
            <v>26164.51</v>
          </cell>
          <cell r="J93">
            <v>1248</v>
          </cell>
        </row>
        <row r="94">
          <cell r="H94">
            <v>14059.31</v>
          </cell>
          <cell r="I94">
            <v>13780.2</v>
          </cell>
          <cell r="J94">
            <v>789</v>
          </cell>
        </row>
        <row r="95">
          <cell r="H95">
            <v>16610.93</v>
          </cell>
          <cell r="I95">
            <v>16309.26</v>
          </cell>
          <cell r="J95">
            <v>902</v>
          </cell>
        </row>
        <row r="96">
          <cell r="H96">
            <v>17941.349999999999</v>
          </cell>
          <cell r="I96">
            <v>17551.61</v>
          </cell>
          <cell r="J96">
            <v>999</v>
          </cell>
        </row>
        <row r="97">
          <cell r="H97">
            <v>17295.75</v>
          </cell>
          <cell r="I97">
            <v>16990.04</v>
          </cell>
          <cell r="J97">
            <v>915</v>
          </cell>
        </row>
        <row r="98">
          <cell r="H98">
            <v>25980.15</v>
          </cell>
          <cell r="I98">
            <v>25475.34</v>
          </cell>
          <cell r="J98">
            <v>1284</v>
          </cell>
        </row>
        <row r="99">
          <cell r="H99">
            <v>26042.42</v>
          </cell>
          <cell r="I99">
            <v>25532</v>
          </cell>
          <cell r="J99">
            <v>1275</v>
          </cell>
        </row>
        <row r="100">
          <cell r="H100">
            <v>17848.05</v>
          </cell>
          <cell r="I100">
            <v>17408.310000000001</v>
          </cell>
          <cell r="J100">
            <v>909</v>
          </cell>
        </row>
        <row r="101">
          <cell r="H101">
            <v>21202.78</v>
          </cell>
          <cell r="I101">
            <v>20832.490000000002</v>
          </cell>
          <cell r="J101">
            <v>1013</v>
          </cell>
        </row>
        <row r="102">
          <cell r="H102">
            <v>16443.939999999999</v>
          </cell>
          <cell r="I102">
            <v>16088.8</v>
          </cell>
          <cell r="J102">
            <v>910</v>
          </cell>
        </row>
        <row r="103">
          <cell r="H103">
            <v>17145.82</v>
          </cell>
          <cell r="I103">
            <v>16800.439999999999</v>
          </cell>
          <cell r="J103">
            <v>941</v>
          </cell>
        </row>
        <row r="104">
          <cell r="H104">
            <v>16954.439999999999</v>
          </cell>
          <cell r="I104">
            <v>16616.54</v>
          </cell>
          <cell r="J104">
            <v>928</v>
          </cell>
        </row>
        <row r="105">
          <cell r="H105">
            <v>24229.86</v>
          </cell>
          <cell r="I105">
            <v>23718.1</v>
          </cell>
          <cell r="J105">
            <v>1193</v>
          </cell>
        </row>
        <row r="106">
          <cell r="H106">
            <v>23958.57</v>
          </cell>
          <cell r="I106">
            <v>23473.47</v>
          </cell>
          <cell r="J106">
            <v>1169</v>
          </cell>
        </row>
        <row r="107">
          <cell r="H107">
            <v>24242.959999999999</v>
          </cell>
          <cell r="I107">
            <v>23759.38</v>
          </cell>
          <cell r="J107">
            <v>1131</v>
          </cell>
        </row>
        <row r="108">
          <cell r="H108">
            <v>15895.22</v>
          </cell>
          <cell r="I108">
            <v>15559.22</v>
          </cell>
          <cell r="J108">
            <v>842</v>
          </cell>
        </row>
        <row r="109">
          <cell r="H109">
            <v>17595.63</v>
          </cell>
          <cell r="I109">
            <v>17214.490000000002</v>
          </cell>
          <cell r="J109">
            <v>987</v>
          </cell>
        </row>
        <row r="110">
          <cell r="H110">
            <v>16930.09</v>
          </cell>
          <cell r="I110">
            <v>16516.32</v>
          </cell>
          <cell r="J110">
            <v>900</v>
          </cell>
        </row>
        <row r="111">
          <cell r="H111">
            <v>17229.62</v>
          </cell>
          <cell r="I111">
            <v>16946.919999999998</v>
          </cell>
          <cell r="J111">
            <v>934</v>
          </cell>
        </row>
        <row r="112">
          <cell r="H112">
            <v>23193.54</v>
          </cell>
          <cell r="I112">
            <v>22793.56</v>
          </cell>
          <cell r="J112">
            <v>1160</v>
          </cell>
        </row>
        <row r="113">
          <cell r="H113">
            <v>22770.86</v>
          </cell>
          <cell r="I113">
            <v>22330.67</v>
          </cell>
          <cell r="J113">
            <v>1144</v>
          </cell>
        </row>
        <row r="114">
          <cell r="H114">
            <v>22127</v>
          </cell>
          <cell r="I114">
            <v>21673.96</v>
          </cell>
          <cell r="J114">
            <v>1032</v>
          </cell>
        </row>
        <row r="115">
          <cell r="H115">
            <v>13467.91</v>
          </cell>
          <cell r="I115">
            <v>13253.47</v>
          </cell>
          <cell r="J115">
            <v>809</v>
          </cell>
        </row>
        <row r="116">
          <cell r="H116">
            <v>14194.36</v>
          </cell>
          <cell r="I116">
            <v>13975.44</v>
          </cell>
          <cell r="J116">
            <v>823</v>
          </cell>
        </row>
        <row r="117">
          <cell r="H117">
            <v>16727.27</v>
          </cell>
          <cell r="I117">
            <v>16445.59</v>
          </cell>
          <cell r="J117">
            <v>934</v>
          </cell>
        </row>
        <row r="118">
          <cell r="H118">
            <v>17388.73</v>
          </cell>
          <cell r="I118">
            <v>17140.89</v>
          </cell>
          <cell r="J118">
            <v>996</v>
          </cell>
        </row>
        <row r="119">
          <cell r="H119">
            <v>19826.37</v>
          </cell>
          <cell r="I119">
            <v>19448.28</v>
          </cell>
          <cell r="J119">
            <v>1068</v>
          </cell>
        </row>
        <row r="120">
          <cell r="H120">
            <v>25233.07</v>
          </cell>
          <cell r="I120">
            <v>24826.46</v>
          </cell>
          <cell r="J120">
            <v>1288</v>
          </cell>
        </row>
        <row r="121">
          <cell r="H121">
            <v>23791.41</v>
          </cell>
          <cell r="I121">
            <v>23379.9</v>
          </cell>
          <cell r="J121">
            <v>1100</v>
          </cell>
        </row>
        <row r="122">
          <cell r="H122">
            <v>12436.01</v>
          </cell>
          <cell r="I122">
            <v>12251.97</v>
          </cell>
          <cell r="J122">
            <v>742</v>
          </cell>
        </row>
        <row r="123">
          <cell r="H123">
            <v>13805.13</v>
          </cell>
          <cell r="I123">
            <v>13606.23</v>
          </cell>
          <cell r="J123">
            <v>807</v>
          </cell>
        </row>
        <row r="124">
          <cell r="H124">
            <v>18763.82</v>
          </cell>
          <cell r="I124">
            <v>18416.54</v>
          </cell>
          <cell r="J124">
            <v>1023</v>
          </cell>
        </row>
        <row r="125">
          <cell r="H125">
            <v>20542.080000000002</v>
          </cell>
          <cell r="I125">
            <v>20241.59</v>
          </cell>
          <cell r="J125">
            <v>1053</v>
          </cell>
        </row>
        <row r="126">
          <cell r="H126">
            <v>24400.13</v>
          </cell>
          <cell r="I126">
            <v>23918.880000000001</v>
          </cell>
          <cell r="J126">
            <v>1151</v>
          </cell>
        </row>
        <row r="127">
          <cell r="H127">
            <v>20274.88</v>
          </cell>
          <cell r="I127">
            <v>19924.849999999999</v>
          </cell>
          <cell r="J127">
            <v>1044</v>
          </cell>
        </row>
        <row r="128">
          <cell r="H128">
            <v>23725.8</v>
          </cell>
          <cell r="I128">
            <v>23244.69</v>
          </cell>
          <cell r="J128">
            <v>1077</v>
          </cell>
        </row>
        <row r="129">
          <cell r="H129">
            <v>12843.11</v>
          </cell>
          <cell r="I129">
            <v>12683.32</v>
          </cell>
          <cell r="J129">
            <v>755</v>
          </cell>
        </row>
        <row r="130">
          <cell r="H130">
            <v>15630.01</v>
          </cell>
          <cell r="I130">
            <v>15345.55</v>
          </cell>
          <cell r="J130">
            <v>917</v>
          </cell>
        </row>
        <row r="131">
          <cell r="H131">
            <v>18264.75</v>
          </cell>
          <cell r="I131">
            <v>17931.689999999999</v>
          </cell>
          <cell r="J131">
            <v>998</v>
          </cell>
        </row>
        <row r="132">
          <cell r="H132">
            <v>20263.849999999999</v>
          </cell>
          <cell r="I132">
            <v>19921.11</v>
          </cell>
          <cell r="J132">
            <v>1135</v>
          </cell>
        </row>
        <row r="133">
          <cell r="H133">
            <v>19809.09</v>
          </cell>
          <cell r="I133">
            <v>19429.11</v>
          </cell>
          <cell r="J133">
            <v>1061</v>
          </cell>
        </row>
        <row r="134">
          <cell r="H134">
            <v>19197.63</v>
          </cell>
          <cell r="I134">
            <v>18812.68</v>
          </cell>
          <cell r="J134">
            <v>1065</v>
          </cell>
        </row>
        <row r="135">
          <cell r="H135">
            <v>22662.71</v>
          </cell>
          <cell r="I135">
            <v>22283.200000000001</v>
          </cell>
          <cell r="J135">
            <v>1079</v>
          </cell>
        </row>
        <row r="136">
          <cell r="H136">
            <v>13390.03</v>
          </cell>
          <cell r="I136">
            <v>13164.09</v>
          </cell>
          <cell r="J136">
            <v>815</v>
          </cell>
        </row>
        <row r="137">
          <cell r="H137">
            <v>15352.88</v>
          </cell>
          <cell r="I137">
            <v>15105.04</v>
          </cell>
          <cell r="J137">
            <v>929</v>
          </cell>
        </row>
        <row r="138">
          <cell r="H138">
            <v>21058.04</v>
          </cell>
          <cell r="I138">
            <v>20708.98</v>
          </cell>
          <cell r="J138">
            <v>1158</v>
          </cell>
        </row>
        <row r="139">
          <cell r="H139">
            <v>18681.62</v>
          </cell>
          <cell r="I139">
            <v>18273.25</v>
          </cell>
          <cell r="J139">
            <v>931</v>
          </cell>
        </row>
        <row r="140">
          <cell r="H140">
            <v>20395.52</v>
          </cell>
          <cell r="I140">
            <v>19972.55</v>
          </cell>
          <cell r="J140">
            <v>1077</v>
          </cell>
        </row>
        <row r="141">
          <cell r="H141">
            <v>17395.55</v>
          </cell>
          <cell r="I141">
            <v>17081.73</v>
          </cell>
          <cell r="J141">
            <v>979</v>
          </cell>
        </row>
        <row r="142">
          <cell r="H142">
            <v>22522.5</v>
          </cell>
          <cell r="I142">
            <v>22147.59</v>
          </cell>
          <cell r="J142">
            <v>1039</v>
          </cell>
        </row>
        <row r="143">
          <cell r="H143">
            <v>11863.76</v>
          </cell>
          <cell r="I143">
            <v>11722.96</v>
          </cell>
          <cell r="J143">
            <v>727</v>
          </cell>
        </row>
        <row r="144">
          <cell r="H144">
            <v>13648.69</v>
          </cell>
          <cell r="I144">
            <v>13516.25</v>
          </cell>
          <cell r="J144">
            <v>757</v>
          </cell>
        </row>
        <row r="145">
          <cell r="H145">
            <v>14907.18</v>
          </cell>
          <cell r="I145">
            <v>14701.44</v>
          </cell>
          <cell r="J145">
            <v>869</v>
          </cell>
        </row>
        <row r="146">
          <cell r="H146">
            <v>14473.49</v>
          </cell>
          <cell r="I146">
            <v>14304.26</v>
          </cell>
          <cell r="J146">
            <v>904</v>
          </cell>
        </row>
        <row r="147">
          <cell r="H147">
            <v>19000.43</v>
          </cell>
          <cell r="I147">
            <v>18798.189999999999</v>
          </cell>
          <cell r="J147">
            <v>1094</v>
          </cell>
        </row>
        <row r="148">
          <cell r="H148">
            <v>17548.900000000001</v>
          </cell>
          <cell r="I148">
            <v>17297.21</v>
          </cell>
          <cell r="J148">
            <v>981</v>
          </cell>
        </row>
        <row r="149">
          <cell r="H149">
            <v>20492.97</v>
          </cell>
          <cell r="I149">
            <v>20239.689999999999</v>
          </cell>
          <cell r="J149">
            <v>1032</v>
          </cell>
        </row>
        <row r="150">
          <cell r="H150">
            <v>20205.060000000001</v>
          </cell>
          <cell r="I150">
            <v>19893.419999999998</v>
          </cell>
          <cell r="J150">
            <v>987</v>
          </cell>
        </row>
        <row r="151">
          <cell r="H151">
            <v>12710.9</v>
          </cell>
          <cell r="I151">
            <v>12627.07</v>
          </cell>
          <cell r="J151">
            <v>774</v>
          </cell>
        </row>
        <row r="152">
          <cell r="H152">
            <v>18460.61</v>
          </cell>
          <cell r="I152">
            <v>18195.3</v>
          </cell>
          <cell r="J152">
            <v>1030</v>
          </cell>
        </row>
        <row r="153">
          <cell r="H153">
            <v>15983.45</v>
          </cell>
          <cell r="I153">
            <v>15783.14</v>
          </cell>
          <cell r="J153">
            <v>953</v>
          </cell>
        </row>
        <row r="154">
          <cell r="H154">
            <v>20109.63</v>
          </cell>
          <cell r="I154">
            <v>19875.669999999998</v>
          </cell>
          <cell r="J154">
            <v>1075</v>
          </cell>
        </row>
        <row r="155">
          <cell r="H155">
            <v>21648.31</v>
          </cell>
          <cell r="I155">
            <v>21317.06</v>
          </cell>
          <cell r="J155">
            <v>1140</v>
          </cell>
        </row>
        <row r="156">
          <cell r="H156">
            <v>21037.55</v>
          </cell>
          <cell r="I156">
            <v>20774.490000000002</v>
          </cell>
          <cell r="J156">
            <v>1010</v>
          </cell>
        </row>
        <row r="157">
          <cell r="H157">
            <v>13724.08</v>
          </cell>
          <cell r="I157">
            <v>13601.64</v>
          </cell>
          <cell r="J157">
            <v>804</v>
          </cell>
        </row>
        <row r="158">
          <cell r="H158">
            <v>16567.04</v>
          </cell>
          <cell r="I158">
            <v>16317.16</v>
          </cell>
          <cell r="J158">
            <v>959</v>
          </cell>
        </row>
        <row r="159">
          <cell r="H159">
            <v>17358.55</v>
          </cell>
          <cell r="I159">
            <v>17098.89</v>
          </cell>
          <cell r="J159">
            <v>970</v>
          </cell>
        </row>
        <row r="160">
          <cell r="H160">
            <v>16081.01</v>
          </cell>
          <cell r="I160">
            <v>15858.07</v>
          </cell>
          <cell r="J160">
            <v>866</v>
          </cell>
        </row>
        <row r="161">
          <cell r="H161">
            <v>22919.3</v>
          </cell>
          <cell r="I161">
            <v>22499.49</v>
          </cell>
          <cell r="J161">
            <v>1252</v>
          </cell>
        </row>
        <row r="162">
          <cell r="H162">
            <v>23615.78</v>
          </cell>
          <cell r="I162">
            <v>23296.959999999999</v>
          </cell>
          <cell r="J162">
            <v>1270</v>
          </cell>
        </row>
        <row r="163">
          <cell r="H163">
            <v>22432.16</v>
          </cell>
          <cell r="I163">
            <v>22013.439999999999</v>
          </cell>
          <cell r="J163">
            <v>1108</v>
          </cell>
        </row>
        <row r="164">
          <cell r="H164">
            <v>13195.25</v>
          </cell>
          <cell r="I164">
            <v>12972.57</v>
          </cell>
          <cell r="J164">
            <v>807</v>
          </cell>
        </row>
        <row r="165">
          <cell r="H165">
            <v>15291.39</v>
          </cell>
          <cell r="I165">
            <v>14981.42</v>
          </cell>
          <cell r="J165">
            <v>905</v>
          </cell>
        </row>
        <row r="166">
          <cell r="H166">
            <v>17576.580000000002</v>
          </cell>
          <cell r="I166">
            <v>17117.91</v>
          </cell>
          <cell r="J166">
            <v>996</v>
          </cell>
        </row>
        <row r="167">
          <cell r="H167">
            <v>15944.3</v>
          </cell>
          <cell r="I167">
            <v>15628.22</v>
          </cell>
          <cell r="J167">
            <v>988</v>
          </cell>
        </row>
        <row r="168">
          <cell r="H168">
            <v>22496.02</v>
          </cell>
          <cell r="I168">
            <v>22062.39</v>
          </cell>
          <cell r="J168">
            <v>1237</v>
          </cell>
        </row>
        <row r="169">
          <cell r="H169">
            <v>20423.93</v>
          </cell>
          <cell r="I169">
            <v>20009.09</v>
          </cell>
          <cell r="J169">
            <v>1104</v>
          </cell>
        </row>
        <row r="170">
          <cell r="H170">
            <v>22724.48</v>
          </cell>
          <cell r="I170">
            <v>22264.73</v>
          </cell>
          <cell r="J170">
            <v>1158</v>
          </cell>
        </row>
        <row r="171">
          <cell r="H171">
            <v>13648.82</v>
          </cell>
          <cell r="I171">
            <v>13394.91</v>
          </cell>
          <cell r="J171">
            <v>850</v>
          </cell>
        </row>
        <row r="172">
          <cell r="H172">
            <v>0</v>
          </cell>
          <cell r="I172">
            <v>0</v>
          </cell>
          <cell r="J172">
            <v>0</v>
          </cell>
        </row>
        <row r="173">
          <cell r="H173">
            <v>0</v>
          </cell>
          <cell r="I173">
            <v>0</v>
          </cell>
          <cell r="J173">
            <v>0</v>
          </cell>
        </row>
        <row r="174">
          <cell r="H174">
            <v>0</v>
          </cell>
          <cell r="I174">
            <v>0</v>
          </cell>
          <cell r="J174">
            <v>0</v>
          </cell>
        </row>
        <row r="175">
          <cell r="H175">
            <v>0</v>
          </cell>
          <cell r="I175">
            <v>0</v>
          </cell>
          <cell r="J175">
            <v>0</v>
          </cell>
        </row>
        <row r="176">
          <cell r="H176">
            <v>0</v>
          </cell>
          <cell r="I176">
            <v>0</v>
          </cell>
          <cell r="J176">
            <v>0</v>
          </cell>
        </row>
        <row r="177">
          <cell r="H177">
            <v>0</v>
          </cell>
          <cell r="I177">
            <v>0</v>
          </cell>
          <cell r="J177">
            <v>0</v>
          </cell>
        </row>
        <row r="178">
          <cell r="H178">
            <v>0</v>
          </cell>
          <cell r="I178">
            <v>0</v>
          </cell>
          <cell r="J178">
            <v>0</v>
          </cell>
        </row>
        <row r="179">
          <cell r="H179">
            <v>0</v>
          </cell>
          <cell r="I179">
            <v>0</v>
          </cell>
          <cell r="J179">
            <v>0</v>
          </cell>
        </row>
        <row r="180">
          <cell r="H180">
            <v>0</v>
          </cell>
          <cell r="I180">
            <v>0</v>
          </cell>
          <cell r="J180">
            <v>0</v>
          </cell>
        </row>
        <row r="181">
          <cell r="H181">
            <v>0</v>
          </cell>
          <cell r="I181">
            <v>0</v>
          </cell>
          <cell r="J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</row>
        <row r="183">
          <cell r="H183">
            <v>0</v>
          </cell>
          <cell r="I183">
            <v>0</v>
          </cell>
          <cell r="J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</row>
        <row r="191">
          <cell r="H191">
            <v>0</v>
          </cell>
          <cell r="I191">
            <v>0</v>
          </cell>
          <cell r="J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</row>
        <row r="194">
          <cell r="H194">
            <v>0</v>
          </cell>
          <cell r="I194">
            <v>0</v>
          </cell>
          <cell r="J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</row>
        <row r="196">
          <cell r="H196">
            <v>0</v>
          </cell>
          <cell r="I196">
            <v>0</v>
          </cell>
          <cell r="J196">
            <v>0</v>
          </cell>
        </row>
        <row r="197">
          <cell r="H197">
            <v>0</v>
          </cell>
          <cell r="I197">
            <v>0</v>
          </cell>
          <cell r="J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</row>
        <row r="199">
          <cell r="H199">
            <v>0</v>
          </cell>
          <cell r="I199">
            <v>0</v>
          </cell>
          <cell r="J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</row>
        <row r="201">
          <cell r="H201">
            <v>0</v>
          </cell>
          <cell r="I201">
            <v>0</v>
          </cell>
          <cell r="J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</row>
        <row r="203">
          <cell r="H203">
            <v>0</v>
          </cell>
          <cell r="I203">
            <v>0</v>
          </cell>
          <cell r="J203">
            <v>0</v>
          </cell>
        </row>
        <row r="204">
          <cell r="H204">
            <v>0</v>
          </cell>
          <cell r="I204">
            <v>0</v>
          </cell>
          <cell r="J204">
            <v>0</v>
          </cell>
        </row>
        <row r="205">
          <cell r="H205">
            <v>0</v>
          </cell>
          <cell r="I205">
            <v>0</v>
          </cell>
          <cell r="J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</row>
        <row r="207">
          <cell r="H207">
            <v>0</v>
          </cell>
          <cell r="I207">
            <v>0</v>
          </cell>
          <cell r="J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</row>
        <row r="210">
          <cell r="H210">
            <v>0</v>
          </cell>
          <cell r="I210">
            <v>0</v>
          </cell>
          <cell r="J210">
            <v>0</v>
          </cell>
        </row>
        <row r="211">
          <cell r="H211">
            <v>0</v>
          </cell>
          <cell r="I211">
            <v>0</v>
          </cell>
          <cell r="J211">
            <v>0</v>
          </cell>
        </row>
        <row r="212">
          <cell r="H212">
            <v>0</v>
          </cell>
          <cell r="I212">
            <v>0</v>
          </cell>
          <cell r="J212">
            <v>0</v>
          </cell>
        </row>
        <row r="213">
          <cell r="H213">
            <v>0</v>
          </cell>
          <cell r="I213">
            <v>0</v>
          </cell>
          <cell r="J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</row>
        <row r="215">
          <cell r="H215">
            <v>0</v>
          </cell>
          <cell r="I215">
            <v>0</v>
          </cell>
          <cell r="J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</row>
        <row r="217">
          <cell r="H217">
            <v>0</v>
          </cell>
          <cell r="I217">
            <v>0</v>
          </cell>
          <cell r="J217">
            <v>0</v>
          </cell>
        </row>
        <row r="218">
          <cell r="H218">
            <v>0</v>
          </cell>
          <cell r="I218">
            <v>0</v>
          </cell>
          <cell r="J218">
            <v>0</v>
          </cell>
        </row>
        <row r="219">
          <cell r="H219">
            <v>0</v>
          </cell>
          <cell r="I219">
            <v>0</v>
          </cell>
          <cell r="J219">
            <v>0</v>
          </cell>
        </row>
        <row r="220">
          <cell r="H220">
            <v>0</v>
          </cell>
          <cell r="I220">
            <v>0</v>
          </cell>
          <cell r="J220">
            <v>0</v>
          </cell>
        </row>
        <row r="221">
          <cell r="H221">
            <v>0</v>
          </cell>
          <cell r="I221">
            <v>0</v>
          </cell>
          <cell r="J221">
            <v>0</v>
          </cell>
        </row>
        <row r="222">
          <cell r="H222">
            <v>0</v>
          </cell>
          <cell r="I222">
            <v>0</v>
          </cell>
          <cell r="J222">
            <v>0</v>
          </cell>
        </row>
        <row r="223">
          <cell r="H223">
            <v>0</v>
          </cell>
          <cell r="I223">
            <v>0</v>
          </cell>
          <cell r="J223">
            <v>0</v>
          </cell>
        </row>
        <row r="224">
          <cell r="H224">
            <v>0</v>
          </cell>
          <cell r="I224">
            <v>0</v>
          </cell>
          <cell r="J224">
            <v>0</v>
          </cell>
        </row>
        <row r="225">
          <cell r="H225">
            <v>0</v>
          </cell>
          <cell r="I225">
            <v>0</v>
          </cell>
          <cell r="J225">
            <v>0</v>
          </cell>
        </row>
        <row r="226">
          <cell r="H226">
            <v>0</v>
          </cell>
          <cell r="I226">
            <v>0</v>
          </cell>
          <cell r="J226">
            <v>0</v>
          </cell>
        </row>
        <row r="227">
          <cell r="H227">
            <v>0</v>
          </cell>
          <cell r="I227">
            <v>0</v>
          </cell>
          <cell r="J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</row>
        <row r="229">
          <cell r="H229">
            <v>0</v>
          </cell>
          <cell r="I229">
            <v>0</v>
          </cell>
          <cell r="J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</row>
        <row r="231">
          <cell r="H231">
            <v>0</v>
          </cell>
          <cell r="I231">
            <v>0</v>
          </cell>
          <cell r="J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</row>
        <row r="242">
          <cell r="H242">
            <v>0</v>
          </cell>
          <cell r="I242">
            <v>0</v>
          </cell>
          <cell r="J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</row>
        <row r="245">
          <cell r="H245">
            <v>0</v>
          </cell>
          <cell r="I245">
            <v>0</v>
          </cell>
          <cell r="J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</row>
        <row r="247">
          <cell r="H247">
            <v>0</v>
          </cell>
          <cell r="I247">
            <v>0</v>
          </cell>
          <cell r="J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</row>
        <row r="249">
          <cell r="H249">
            <v>0</v>
          </cell>
          <cell r="I249">
            <v>0</v>
          </cell>
          <cell r="J249">
            <v>0</v>
          </cell>
        </row>
        <row r="250">
          <cell r="H250">
            <v>0</v>
          </cell>
          <cell r="I250">
            <v>0</v>
          </cell>
          <cell r="J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</row>
        <row r="254">
          <cell r="H254">
            <v>0</v>
          </cell>
          <cell r="I254">
            <v>0</v>
          </cell>
          <cell r="J254">
            <v>0</v>
          </cell>
        </row>
        <row r="255">
          <cell r="H255">
            <v>0</v>
          </cell>
          <cell r="I255">
            <v>0</v>
          </cell>
          <cell r="J255">
            <v>0</v>
          </cell>
        </row>
        <row r="256">
          <cell r="H256">
            <v>0</v>
          </cell>
          <cell r="I256">
            <v>0</v>
          </cell>
          <cell r="J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</row>
        <row r="258">
          <cell r="H258">
            <v>0</v>
          </cell>
          <cell r="I258">
            <v>0</v>
          </cell>
          <cell r="J258">
            <v>0</v>
          </cell>
        </row>
        <row r="259">
          <cell r="H259">
            <v>0</v>
          </cell>
          <cell r="I259">
            <v>0</v>
          </cell>
          <cell r="J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</row>
        <row r="261">
          <cell r="H261">
            <v>0</v>
          </cell>
          <cell r="I261">
            <v>0</v>
          </cell>
          <cell r="J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</row>
        <row r="263">
          <cell r="H263">
            <v>0</v>
          </cell>
          <cell r="I263">
            <v>0</v>
          </cell>
          <cell r="J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</row>
        <row r="269">
          <cell r="H269">
            <v>0</v>
          </cell>
          <cell r="I269">
            <v>0</v>
          </cell>
          <cell r="J269">
            <v>0</v>
          </cell>
        </row>
        <row r="270">
          <cell r="H270">
            <v>0</v>
          </cell>
          <cell r="I270">
            <v>0</v>
          </cell>
          <cell r="J270">
            <v>0</v>
          </cell>
        </row>
        <row r="271">
          <cell r="H271">
            <v>0</v>
          </cell>
          <cell r="I271">
            <v>0</v>
          </cell>
          <cell r="J271">
            <v>0</v>
          </cell>
        </row>
        <row r="272">
          <cell r="H272">
            <v>0</v>
          </cell>
          <cell r="I272">
            <v>0</v>
          </cell>
          <cell r="J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</row>
        <row r="274">
          <cell r="H274">
            <v>0</v>
          </cell>
          <cell r="I274">
            <v>0</v>
          </cell>
          <cell r="J274">
            <v>0</v>
          </cell>
        </row>
        <row r="275">
          <cell r="H275">
            <v>0</v>
          </cell>
          <cell r="I275">
            <v>0</v>
          </cell>
          <cell r="J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</row>
        <row r="277">
          <cell r="H277">
            <v>0</v>
          </cell>
          <cell r="I277">
            <v>0</v>
          </cell>
          <cell r="J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</row>
        <row r="279">
          <cell r="H279">
            <v>0</v>
          </cell>
          <cell r="I279">
            <v>0</v>
          </cell>
          <cell r="J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</row>
        <row r="283">
          <cell r="H283">
            <v>0</v>
          </cell>
          <cell r="I283">
            <v>0</v>
          </cell>
          <cell r="J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</row>
        <row r="285">
          <cell r="H285">
            <v>0</v>
          </cell>
          <cell r="I285">
            <v>0</v>
          </cell>
          <cell r="J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</row>
        <row r="287">
          <cell r="H287">
            <v>0</v>
          </cell>
          <cell r="I287">
            <v>0</v>
          </cell>
          <cell r="J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</row>
        <row r="290">
          <cell r="H290">
            <v>0</v>
          </cell>
          <cell r="I290">
            <v>0</v>
          </cell>
          <cell r="J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</row>
        <row r="292">
          <cell r="H292">
            <v>0</v>
          </cell>
          <cell r="I292">
            <v>0</v>
          </cell>
          <cell r="J292">
            <v>0</v>
          </cell>
        </row>
        <row r="293">
          <cell r="H293">
            <v>0</v>
          </cell>
          <cell r="I293">
            <v>0</v>
          </cell>
          <cell r="J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</row>
        <row r="295">
          <cell r="H295">
            <v>0</v>
          </cell>
          <cell r="I295">
            <v>0</v>
          </cell>
          <cell r="J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</row>
        <row r="306">
          <cell r="H306">
            <v>0</v>
          </cell>
          <cell r="I306">
            <v>0</v>
          </cell>
          <cell r="J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</row>
        <row r="309">
          <cell r="H309">
            <v>0</v>
          </cell>
          <cell r="I309">
            <v>0</v>
          </cell>
          <cell r="J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</row>
        <row r="311">
          <cell r="H311">
            <v>0</v>
          </cell>
          <cell r="I311">
            <v>0</v>
          </cell>
          <cell r="J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</row>
        <row r="325">
          <cell r="H325">
            <v>0</v>
          </cell>
          <cell r="I325">
            <v>0</v>
          </cell>
          <cell r="J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</row>
        <row r="327">
          <cell r="H327">
            <v>0</v>
          </cell>
          <cell r="I327">
            <v>0</v>
          </cell>
          <cell r="J327">
            <v>0</v>
          </cell>
        </row>
        <row r="328">
          <cell r="H328">
            <v>0</v>
          </cell>
          <cell r="I328">
            <v>0</v>
          </cell>
          <cell r="J328">
            <v>0</v>
          </cell>
        </row>
        <row r="329">
          <cell r="H329">
            <v>0</v>
          </cell>
          <cell r="I329">
            <v>0</v>
          </cell>
          <cell r="J329">
            <v>0</v>
          </cell>
        </row>
        <row r="330">
          <cell r="H330">
            <v>0</v>
          </cell>
          <cell r="I330">
            <v>0</v>
          </cell>
          <cell r="J330">
            <v>0</v>
          </cell>
        </row>
        <row r="331">
          <cell r="H331">
            <v>0</v>
          </cell>
          <cell r="I331">
            <v>0</v>
          </cell>
          <cell r="J331">
            <v>0</v>
          </cell>
        </row>
        <row r="332">
          <cell r="H332">
            <v>0</v>
          </cell>
          <cell r="I332">
            <v>0</v>
          </cell>
          <cell r="J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</row>
        <row r="334">
          <cell r="H334">
            <v>0</v>
          </cell>
          <cell r="I334">
            <v>0</v>
          </cell>
          <cell r="J334">
            <v>0</v>
          </cell>
        </row>
        <row r="335">
          <cell r="H335">
            <v>0</v>
          </cell>
          <cell r="I335">
            <v>0</v>
          </cell>
          <cell r="J335">
            <v>0</v>
          </cell>
        </row>
        <row r="336">
          <cell r="H336">
            <v>0</v>
          </cell>
          <cell r="I336">
            <v>0</v>
          </cell>
          <cell r="J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</row>
        <row r="338">
          <cell r="H338">
            <v>0</v>
          </cell>
          <cell r="I338">
            <v>0</v>
          </cell>
          <cell r="J338">
            <v>0</v>
          </cell>
        </row>
        <row r="339">
          <cell r="H339">
            <v>0</v>
          </cell>
          <cell r="I339">
            <v>0</v>
          </cell>
          <cell r="J339">
            <v>0</v>
          </cell>
        </row>
        <row r="340">
          <cell r="H340">
            <v>0</v>
          </cell>
          <cell r="I340">
            <v>0</v>
          </cell>
          <cell r="J340">
            <v>0</v>
          </cell>
        </row>
        <row r="341">
          <cell r="H341">
            <v>0</v>
          </cell>
          <cell r="I341">
            <v>0</v>
          </cell>
          <cell r="J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</row>
        <row r="343">
          <cell r="H343">
            <v>0</v>
          </cell>
          <cell r="I343">
            <v>0</v>
          </cell>
          <cell r="J343">
            <v>0</v>
          </cell>
        </row>
        <row r="344">
          <cell r="H344">
            <v>0</v>
          </cell>
          <cell r="I344">
            <v>0</v>
          </cell>
          <cell r="J344">
            <v>0</v>
          </cell>
        </row>
        <row r="345">
          <cell r="H345">
            <v>0</v>
          </cell>
          <cell r="I345">
            <v>0</v>
          </cell>
          <cell r="J345">
            <v>0</v>
          </cell>
        </row>
        <row r="346">
          <cell r="H346">
            <v>0</v>
          </cell>
          <cell r="I346">
            <v>0</v>
          </cell>
          <cell r="J346">
            <v>0</v>
          </cell>
        </row>
        <row r="347">
          <cell r="H347">
            <v>0</v>
          </cell>
          <cell r="I347">
            <v>0</v>
          </cell>
          <cell r="J347">
            <v>0</v>
          </cell>
        </row>
        <row r="348">
          <cell r="H348">
            <v>0</v>
          </cell>
          <cell r="I348">
            <v>0</v>
          </cell>
          <cell r="J348">
            <v>0</v>
          </cell>
        </row>
        <row r="349">
          <cell r="H349">
            <v>0</v>
          </cell>
          <cell r="I349">
            <v>0</v>
          </cell>
          <cell r="J349">
            <v>0</v>
          </cell>
        </row>
        <row r="350">
          <cell r="H350">
            <v>0</v>
          </cell>
          <cell r="I350">
            <v>0</v>
          </cell>
          <cell r="J350">
            <v>0</v>
          </cell>
        </row>
        <row r="351">
          <cell r="H351">
            <v>0</v>
          </cell>
          <cell r="I351">
            <v>0</v>
          </cell>
          <cell r="J351">
            <v>0</v>
          </cell>
        </row>
        <row r="352">
          <cell r="H352">
            <v>0</v>
          </cell>
          <cell r="I352">
            <v>0</v>
          </cell>
          <cell r="J352">
            <v>0</v>
          </cell>
        </row>
        <row r="353">
          <cell r="H353">
            <v>0</v>
          </cell>
          <cell r="I353">
            <v>0</v>
          </cell>
          <cell r="J353">
            <v>0</v>
          </cell>
        </row>
        <row r="354">
          <cell r="H354">
            <v>0</v>
          </cell>
          <cell r="I354">
            <v>0</v>
          </cell>
          <cell r="J354">
            <v>0</v>
          </cell>
        </row>
        <row r="355">
          <cell r="H355">
            <v>0</v>
          </cell>
          <cell r="I355">
            <v>0</v>
          </cell>
          <cell r="J355">
            <v>0</v>
          </cell>
        </row>
        <row r="356">
          <cell r="H356">
            <v>0</v>
          </cell>
          <cell r="I356">
            <v>0</v>
          </cell>
          <cell r="J356">
            <v>0</v>
          </cell>
        </row>
        <row r="357">
          <cell r="H357">
            <v>0</v>
          </cell>
          <cell r="I357">
            <v>0</v>
          </cell>
          <cell r="J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</row>
        <row r="359">
          <cell r="H359">
            <v>0</v>
          </cell>
          <cell r="I359">
            <v>0</v>
          </cell>
          <cell r="J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</row>
      </sheetData>
      <sheetData sheetId="5">
        <row r="6">
          <cell r="H6">
            <v>32161</v>
          </cell>
          <cell r="I6">
            <v>31332.53</v>
          </cell>
          <cell r="J6">
            <v>1445</v>
          </cell>
        </row>
        <row r="7">
          <cell r="H7">
            <v>17063.2</v>
          </cell>
          <cell r="I7">
            <v>16719.599999999999</v>
          </cell>
          <cell r="J7">
            <v>930</v>
          </cell>
        </row>
        <row r="8">
          <cell r="H8">
            <v>16145.71</v>
          </cell>
          <cell r="I8">
            <v>15888.6</v>
          </cell>
          <cell r="J8">
            <v>819</v>
          </cell>
        </row>
        <row r="9">
          <cell r="H9">
            <v>15234.05</v>
          </cell>
          <cell r="I9">
            <v>14952.47</v>
          </cell>
          <cell r="J9">
            <v>758</v>
          </cell>
        </row>
        <row r="10">
          <cell r="H10">
            <v>8688.06</v>
          </cell>
          <cell r="I10">
            <v>8519.86</v>
          </cell>
          <cell r="J10">
            <v>486</v>
          </cell>
        </row>
        <row r="11">
          <cell r="H11">
            <v>8801.6299999999992</v>
          </cell>
          <cell r="I11">
            <v>8624.1</v>
          </cell>
          <cell r="J11">
            <v>487</v>
          </cell>
        </row>
        <row r="12">
          <cell r="H12">
            <v>9807.25</v>
          </cell>
          <cell r="I12">
            <v>9610.0499999999993</v>
          </cell>
          <cell r="J12">
            <v>561</v>
          </cell>
        </row>
        <row r="13">
          <cell r="H13">
            <v>7688.78</v>
          </cell>
          <cell r="I13">
            <v>7507.25</v>
          </cell>
          <cell r="J13">
            <v>433</v>
          </cell>
        </row>
        <row r="14">
          <cell r="H14">
            <v>12240.46</v>
          </cell>
          <cell r="I14">
            <v>11927.49</v>
          </cell>
          <cell r="J14">
            <v>680</v>
          </cell>
        </row>
        <row r="15">
          <cell r="H15">
            <v>14780.17</v>
          </cell>
          <cell r="I15">
            <v>14476.26</v>
          </cell>
          <cell r="J15">
            <v>785</v>
          </cell>
        </row>
        <row r="16">
          <cell r="H16">
            <v>14937.84</v>
          </cell>
          <cell r="I16">
            <v>14619.03</v>
          </cell>
          <cell r="J16">
            <v>749</v>
          </cell>
        </row>
        <row r="17">
          <cell r="H17">
            <v>7845.08</v>
          </cell>
          <cell r="I17">
            <v>7709.89</v>
          </cell>
          <cell r="J17">
            <v>453</v>
          </cell>
        </row>
        <row r="18">
          <cell r="H18">
            <v>9969.4599999999991</v>
          </cell>
          <cell r="I18">
            <v>9765.73</v>
          </cell>
          <cell r="J18">
            <v>555</v>
          </cell>
        </row>
        <row r="19">
          <cell r="H19">
            <v>11371.5</v>
          </cell>
          <cell r="I19">
            <v>11128.6</v>
          </cell>
          <cell r="J19">
            <v>631</v>
          </cell>
        </row>
        <row r="20">
          <cell r="H20">
            <v>9178.98</v>
          </cell>
          <cell r="I20">
            <v>9012.49</v>
          </cell>
          <cell r="J20">
            <v>561</v>
          </cell>
        </row>
        <row r="21">
          <cell r="H21">
            <v>14330.52</v>
          </cell>
          <cell r="I21">
            <v>14028.15</v>
          </cell>
          <cell r="J21">
            <v>828</v>
          </cell>
        </row>
        <row r="22">
          <cell r="H22">
            <v>14126.15</v>
          </cell>
          <cell r="I22">
            <v>13797.17</v>
          </cell>
          <cell r="J22">
            <v>743</v>
          </cell>
        </row>
        <row r="23">
          <cell r="H23">
            <v>15948.59</v>
          </cell>
          <cell r="I23">
            <v>15517.78</v>
          </cell>
          <cell r="J23">
            <v>757</v>
          </cell>
        </row>
        <row r="24">
          <cell r="H24">
            <v>8497.19</v>
          </cell>
          <cell r="I24">
            <v>8371.2800000000007</v>
          </cell>
          <cell r="J24">
            <v>516</v>
          </cell>
        </row>
        <row r="25">
          <cell r="H25">
            <v>8814.41</v>
          </cell>
          <cell r="I25">
            <v>8633.59</v>
          </cell>
          <cell r="J25">
            <v>525</v>
          </cell>
        </row>
        <row r="26">
          <cell r="H26">
            <v>10534.59</v>
          </cell>
          <cell r="I26">
            <v>10315.66</v>
          </cell>
          <cell r="J26">
            <v>635</v>
          </cell>
        </row>
        <row r="27">
          <cell r="H27">
            <v>8942.59</v>
          </cell>
          <cell r="I27">
            <v>8741.25</v>
          </cell>
          <cell r="J27">
            <v>531</v>
          </cell>
        </row>
        <row r="28">
          <cell r="H28">
            <v>12133.88</v>
          </cell>
          <cell r="I28">
            <v>11950.3</v>
          </cell>
          <cell r="J28">
            <v>697</v>
          </cell>
        </row>
        <row r="29">
          <cell r="H29">
            <v>14367.24</v>
          </cell>
          <cell r="I29">
            <v>14140.8</v>
          </cell>
          <cell r="J29">
            <v>814</v>
          </cell>
        </row>
        <row r="30">
          <cell r="H30">
            <v>16123.28</v>
          </cell>
          <cell r="I30">
            <v>15818.4</v>
          </cell>
          <cell r="J30">
            <v>762</v>
          </cell>
        </row>
        <row r="31">
          <cell r="H31">
            <v>6481.02</v>
          </cell>
          <cell r="I31">
            <v>6378.2</v>
          </cell>
          <cell r="J31">
            <v>414</v>
          </cell>
        </row>
        <row r="32">
          <cell r="H32">
            <v>8104.25</v>
          </cell>
          <cell r="I32">
            <v>7975.86</v>
          </cell>
          <cell r="J32">
            <v>481</v>
          </cell>
        </row>
        <row r="33">
          <cell r="H33">
            <v>10667.79</v>
          </cell>
          <cell r="I33">
            <v>10387.549999999999</v>
          </cell>
          <cell r="J33">
            <v>589</v>
          </cell>
        </row>
        <row r="34">
          <cell r="H34">
            <v>9009.7000000000007</v>
          </cell>
          <cell r="I34">
            <v>8811.98</v>
          </cell>
          <cell r="J34">
            <v>522</v>
          </cell>
        </row>
        <row r="35">
          <cell r="H35">
            <v>14072.77</v>
          </cell>
          <cell r="I35">
            <v>13782.73</v>
          </cell>
          <cell r="J35">
            <v>762</v>
          </cell>
        </row>
        <row r="36">
          <cell r="H36">
            <v>16653.52</v>
          </cell>
          <cell r="I36">
            <v>16343.04</v>
          </cell>
          <cell r="J36">
            <v>946</v>
          </cell>
        </row>
        <row r="37">
          <cell r="H37">
            <v>15997.43</v>
          </cell>
          <cell r="I37">
            <v>15604.25</v>
          </cell>
          <cell r="J37">
            <v>816</v>
          </cell>
        </row>
        <row r="38">
          <cell r="H38">
            <v>8346.26</v>
          </cell>
          <cell r="I38">
            <v>8189.63</v>
          </cell>
          <cell r="J38">
            <v>473</v>
          </cell>
        </row>
        <row r="39">
          <cell r="H39">
            <v>9936.5400000000009</v>
          </cell>
          <cell r="I39">
            <v>9782.36</v>
          </cell>
          <cell r="J39">
            <v>543</v>
          </cell>
        </row>
        <row r="40">
          <cell r="H40">
            <v>13105.45</v>
          </cell>
          <cell r="I40">
            <v>12804.03</v>
          </cell>
          <cell r="J40">
            <v>739</v>
          </cell>
        </row>
        <row r="41">
          <cell r="H41">
            <v>9779.7000000000007</v>
          </cell>
          <cell r="I41">
            <v>9564.02</v>
          </cell>
          <cell r="J41">
            <v>564</v>
          </cell>
        </row>
        <row r="42">
          <cell r="H42">
            <v>16112.76</v>
          </cell>
          <cell r="I42">
            <v>15752.93</v>
          </cell>
          <cell r="J42">
            <v>864</v>
          </cell>
        </row>
        <row r="43">
          <cell r="H43">
            <v>16394.96</v>
          </cell>
          <cell r="I43">
            <v>16088.51</v>
          </cell>
          <cell r="J43">
            <v>863</v>
          </cell>
        </row>
        <row r="44">
          <cell r="H44">
            <v>18012.2</v>
          </cell>
          <cell r="I44">
            <v>17633.82</v>
          </cell>
          <cell r="J44">
            <v>950</v>
          </cell>
        </row>
        <row r="45">
          <cell r="H45">
            <v>10611.56</v>
          </cell>
          <cell r="I45">
            <v>10380.219999999999</v>
          </cell>
          <cell r="J45">
            <v>637</v>
          </cell>
        </row>
        <row r="46">
          <cell r="H46">
            <v>11555.47</v>
          </cell>
          <cell r="I46">
            <v>11214.05</v>
          </cell>
          <cell r="J46">
            <v>676</v>
          </cell>
        </row>
        <row r="47">
          <cell r="H47">
            <v>12312.46</v>
          </cell>
          <cell r="I47">
            <v>12086.31</v>
          </cell>
          <cell r="J47">
            <v>676</v>
          </cell>
        </row>
        <row r="48">
          <cell r="H48">
            <v>12965.91</v>
          </cell>
          <cell r="I48">
            <v>12660.55</v>
          </cell>
          <cell r="J48">
            <v>670</v>
          </cell>
        </row>
        <row r="49">
          <cell r="H49">
            <v>17683.96</v>
          </cell>
          <cell r="I49">
            <v>17299.2</v>
          </cell>
          <cell r="J49">
            <v>990</v>
          </cell>
        </row>
        <row r="50">
          <cell r="H50">
            <v>18595.38</v>
          </cell>
          <cell r="I50">
            <v>18283.419999999998</v>
          </cell>
          <cell r="J50">
            <v>1021</v>
          </cell>
        </row>
        <row r="51">
          <cell r="H51">
            <v>18424.82</v>
          </cell>
          <cell r="I51">
            <v>18010.52</v>
          </cell>
          <cell r="J51">
            <v>905</v>
          </cell>
        </row>
        <row r="52">
          <cell r="H52">
            <v>11421.75</v>
          </cell>
          <cell r="I52">
            <v>11136.64</v>
          </cell>
          <cell r="J52">
            <v>663</v>
          </cell>
        </row>
        <row r="53">
          <cell r="H53">
            <v>13152.68</v>
          </cell>
          <cell r="I53">
            <v>12857.95</v>
          </cell>
          <cell r="J53">
            <v>752</v>
          </cell>
        </row>
        <row r="54">
          <cell r="H54">
            <v>13517.39</v>
          </cell>
          <cell r="I54">
            <v>13243.81</v>
          </cell>
          <cell r="J54">
            <v>752</v>
          </cell>
        </row>
        <row r="55">
          <cell r="H55">
            <v>12470.87</v>
          </cell>
          <cell r="I55">
            <v>12145.38</v>
          </cell>
          <cell r="J55">
            <v>690</v>
          </cell>
        </row>
        <row r="56">
          <cell r="H56">
            <v>15743.3</v>
          </cell>
          <cell r="I56">
            <v>15422.92</v>
          </cell>
          <cell r="J56">
            <v>844</v>
          </cell>
        </row>
        <row r="57">
          <cell r="H57">
            <v>17423.900000000001</v>
          </cell>
          <cell r="I57">
            <v>17123.490000000002</v>
          </cell>
          <cell r="J57">
            <v>927</v>
          </cell>
        </row>
        <row r="58">
          <cell r="H58">
            <v>16544.91</v>
          </cell>
          <cell r="I58">
            <v>16187.91</v>
          </cell>
          <cell r="J58">
            <v>846</v>
          </cell>
        </row>
        <row r="59">
          <cell r="H59">
            <v>8837.7999999999993</v>
          </cell>
          <cell r="I59">
            <v>8699.02</v>
          </cell>
          <cell r="J59">
            <v>523</v>
          </cell>
        </row>
        <row r="60">
          <cell r="H60">
            <v>9936.2999999999993</v>
          </cell>
          <cell r="I60">
            <v>9752.85</v>
          </cell>
          <cell r="J60">
            <v>597</v>
          </cell>
        </row>
        <row r="61">
          <cell r="H61">
            <v>11952.21</v>
          </cell>
          <cell r="I61">
            <v>11695.66</v>
          </cell>
          <cell r="J61">
            <v>714</v>
          </cell>
        </row>
        <row r="62">
          <cell r="H62">
            <v>9750.42</v>
          </cell>
          <cell r="I62">
            <v>9538.16</v>
          </cell>
          <cell r="J62">
            <v>566</v>
          </cell>
        </row>
        <row r="63">
          <cell r="H63">
            <v>16942.3</v>
          </cell>
          <cell r="I63">
            <v>16692.64</v>
          </cell>
          <cell r="J63">
            <v>982</v>
          </cell>
        </row>
        <row r="64">
          <cell r="H64">
            <v>16095.82</v>
          </cell>
          <cell r="I64">
            <v>15867.14</v>
          </cell>
          <cell r="J64">
            <v>927</v>
          </cell>
        </row>
        <row r="65">
          <cell r="H65">
            <v>20445.13</v>
          </cell>
          <cell r="I65">
            <v>20097.419999999998</v>
          </cell>
          <cell r="J65">
            <v>1032</v>
          </cell>
        </row>
        <row r="66">
          <cell r="H66">
            <v>9762.39</v>
          </cell>
          <cell r="I66">
            <v>9551.84</v>
          </cell>
          <cell r="J66">
            <v>548</v>
          </cell>
        </row>
        <row r="67">
          <cell r="H67">
            <v>9260.08</v>
          </cell>
          <cell r="I67">
            <v>9082.82</v>
          </cell>
          <cell r="J67">
            <v>550</v>
          </cell>
        </row>
        <row r="68">
          <cell r="H68">
            <v>12380.39</v>
          </cell>
          <cell r="I68">
            <v>12086.39</v>
          </cell>
          <cell r="J68">
            <v>705</v>
          </cell>
        </row>
        <row r="69">
          <cell r="H69">
            <v>9372.4</v>
          </cell>
          <cell r="I69">
            <v>9166.57</v>
          </cell>
          <cell r="J69">
            <v>560</v>
          </cell>
        </row>
        <row r="70">
          <cell r="H70">
            <v>13952.03</v>
          </cell>
          <cell r="I70">
            <v>13672.2</v>
          </cell>
          <cell r="J70">
            <v>796</v>
          </cell>
        </row>
        <row r="71">
          <cell r="H71">
            <v>19290.419999999998</v>
          </cell>
          <cell r="I71">
            <v>18913.52</v>
          </cell>
          <cell r="J71">
            <v>1065</v>
          </cell>
        </row>
        <row r="72">
          <cell r="H72">
            <v>18626.28</v>
          </cell>
          <cell r="I72">
            <v>18312.25</v>
          </cell>
          <cell r="J72">
            <v>1011</v>
          </cell>
        </row>
        <row r="73">
          <cell r="H73">
            <v>7939.67</v>
          </cell>
          <cell r="I73">
            <v>7829.9</v>
          </cell>
          <cell r="J73">
            <v>472</v>
          </cell>
        </row>
        <row r="74">
          <cell r="H74">
            <v>8656.69</v>
          </cell>
          <cell r="I74">
            <v>8491.8799999999992</v>
          </cell>
          <cell r="J74">
            <v>494</v>
          </cell>
        </row>
        <row r="75">
          <cell r="H75">
            <v>11708.15</v>
          </cell>
          <cell r="I75">
            <v>11459.45</v>
          </cell>
          <cell r="J75">
            <v>618</v>
          </cell>
        </row>
        <row r="76">
          <cell r="H76">
            <v>8821.4500000000007</v>
          </cell>
          <cell r="I76">
            <v>8673.24</v>
          </cell>
          <cell r="J76">
            <v>524</v>
          </cell>
        </row>
        <row r="77">
          <cell r="H77">
            <v>13370.08</v>
          </cell>
          <cell r="I77">
            <v>13125.36</v>
          </cell>
          <cell r="J77">
            <v>805</v>
          </cell>
        </row>
        <row r="78">
          <cell r="H78">
            <v>14286.51</v>
          </cell>
          <cell r="I78">
            <v>13948.74</v>
          </cell>
          <cell r="J78">
            <v>789</v>
          </cell>
        </row>
        <row r="79">
          <cell r="H79">
            <v>15224.84</v>
          </cell>
          <cell r="I79">
            <v>14919.99</v>
          </cell>
          <cell r="J79">
            <v>782</v>
          </cell>
        </row>
        <row r="80">
          <cell r="H80">
            <v>8190.35</v>
          </cell>
          <cell r="I80">
            <v>8058.41</v>
          </cell>
          <cell r="J80">
            <v>495</v>
          </cell>
        </row>
        <row r="81">
          <cell r="H81">
            <v>9243.81</v>
          </cell>
          <cell r="I81">
            <v>9096.08</v>
          </cell>
          <cell r="J81">
            <v>531</v>
          </cell>
        </row>
        <row r="82">
          <cell r="H82">
            <v>10952.5</v>
          </cell>
          <cell r="I82">
            <v>10719.36</v>
          </cell>
          <cell r="J82">
            <v>641</v>
          </cell>
        </row>
        <row r="83">
          <cell r="H83">
            <v>8769.68</v>
          </cell>
          <cell r="I83">
            <v>8602.2000000000007</v>
          </cell>
          <cell r="J83">
            <v>551</v>
          </cell>
        </row>
        <row r="84">
          <cell r="H84">
            <v>15639.58</v>
          </cell>
          <cell r="I84">
            <v>15348.66</v>
          </cell>
          <cell r="J84">
            <v>933</v>
          </cell>
        </row>
        <row r="85">
          <cell r="H85">
            <v>17388.919999999998</v>
          </cell>
          <cell r="I85">
            <v>17111.919999999998</v>
          </cell>
          <cell r="J85">
            <v>1004</v>
          </cell>
        </row>
        <row r="86">
          <cell r="H86">
            <v>16797.509999999998</v>
          </cell>
          <cell r="I86">
            <v>16466.86</v>
          </cell>
          <cell r="J86">
            <v>789</v>
          </cell>
        </row>
        <row r="87">
          <cell r="H87">
            <v>7827.75</v>
          </cell>
          <cell r="I87">
            <v>7672.94</v>
          </cell>
          <cell r="J87">
            <v>482</v>
          </cell>
        </row>
        <row r="88">
          <cell r="H88">
            <v>9647.68</v>
          </cell>
          <cell r="I88">
            <v>9458.1</v>
          </cell>
          <cell r="J88">
            <v>567</v>
          </cell>
        </row>
        <row r="89">
          <cell r="H89">
            <v>11111.74</v>
          </cell>
          <cell r="I89">
            <v>10752.24</v>
          </cell>
          <cell r="J89">
            <v>622</v>
          </cell>
        </row>
        <row r="90">
          <cell r="H90">
            <v>8719.91</v>
          </cell>
          <cell r="I90">
            <v>8559.0300000000007</v>
          </cell>
          <cell r="J90">
            <v>496</v>
          </cell>
        </row>
        <row r="91">
          <cell r="H91">
            <v>13732.83</v>
          </cell>
          <cell r="I91">
            <v>13442.51</v>
          </cell>
          <cell r="J91">
            <v>762</v>
          </cell>
        </row>
        <row r="92">
          <cell r="H92">
            <v>16149.54</v>
          </cell>
          <cell r="I92">
            <v>15795.13</v>
          </cell>
          <cell r="J92">
            <v>930</v>
          </cell>
        </row>
        <row r="93">
          <cell r="H93">
            <v>19387.150000000001</v>
          </cell>
          <cell r="I93">
            <v>18874.73</v>
          </cell>
          <cell r="J93">
            <v>907</v>
          </cell>
        </row>
        <row r="94">
          <cell r="H94">
            <v>8898.9699999999993</v>
          </cell>
          <cell r="I94">
            <v>8727.69</v>
          </cell>
          <cell r="J94">
            <v>476</v>
          </cell>
        </row>
        <row r="95">
          <cell r="H95">
            <v>9741.7999999999993</v>
          </cell>
          <cell r="I95">
            <v>9503.9</v>
          </cell>
          <cell r="J95">
            <v>558</v>
          </cell>
        </row>
        <row r="96">
          <cell r="H96">
            <v>13770.15</v>
          </cell>
          <cell r="I96">
            <v>13367.06</v>
          </cell>
          <cell r="J96">
            <v>747</v>
          </cell>
        </row>
        <row r="97">
          <cell r="H97">
            <v>10589.29</v>
          </cell>
          <cell r="I97">
            <v>10267.51</v>
          </cell>
          <cell r="J97">
            <v>613</v>
          </cell>
        </row>
        <row r="98">
          <cell r="H98">
            <v>16452.45</v>
          </cell>
          <cell r="I98">
            <v>15997.12</v>
          </cell>
          <cell r="J98">
            <v>912</v>
          </cell>
        </row>
        <row r="99">
          <cell r="H99">
            <v>20147.91</v>
          </cell>
          <cell r="I99">
            <v>19698.21</v>
          </cell>
          <cell r="J99">
            <v>1158</v>
          </cell>
        </row>
        <row r="100">
          <cell r="H100">
            <v>21943.96</v>
          </cell>
          <cell r="I100">
            <v>21393.39</v>
          </cell>
          <cell r="J100">
            <v>1231</v>
          </cell>
        </row>
        <row r="101">
          <cell r="H101">
            <v>20913.09</v>
          </cell>
          <cell r="I101">
            <v>20387.05</v>
          </cell>
          <cell r="J101">
            <v>1139</v>
          </cell>
        </row>
        <row r="102">
          <cell r="H102">
            <v>15323.83</v>
          </cell>
          <cell r="I102">
            <v>14991.35</v>
          </cell>
          <cell r="J102">
            <v>955</v>
          </cell>
        </row>
        <row r="103">
          <cell r="H103">
            <v>16947.2</v>
          </cell>
          <cell r="I103">
            <v>16538.939999999999</v>
          </cell>
          <cell r="J103">
            <v>1087</v>
          </cell>
        </row>
        <row r="104">
          <cell r="H104">
            <v>17218.009999999998</v>
          </cell>
          <cell r="I104">
            <v>16791.54</v>
          </cell>
          <cell r="J104">
            <v>1070</v>
          </cell>
        </row>
        <row r="105">
          <cell r="H105">
            <v>18961.900000000001</v>
          </cell>
          <cell r="I105">
            <v>18510.849999999999</v>
          </cell>
          <cell r="J105">
            <v>1107</v>
          </cell>
        </row>
        <row r="106">
          <cell r="H106">
            <v>18755.939999999999</v>
          </cell>
          <cell r="I106">
            <v>18324.310000000001</v>
          </cell>
          <cell r="J106">
            <v>1046</v>
          </cell>
        </row>
        <row r="107">
          <cell r="H107">
            <v>16053.62</v>
          </cell>
          <cell r="I107">
            <v>15504.04</v>
          </cell>
          <cell r="J107">
            <v>743</v>
          </cell>
        </row>
        <row r="108">
          <cell r="H108">
            <v>10967.43</v>
          </cell>
          <cell r="I108">
            <v>10648.08</v>
          </cell>
          <cell r="J108">
            <v>624</v>
          </cell>
        </row>
        <row r="109">
          <cell r="H109">
            <v>15038.03</v>
          </cell>
          <cell r="I109">
            <v>14624.29</v>
          </cell>
          <cell r="J109">
            <v>818</v>
          </cell>
        </row>
        <row r="110">
          <cell r="H110">
            <v>14914.76</v>
          </cell>
          <cell r="I110">
            <v>14514.7</v>
          </cell>
          <cell r="J110">
            <v>864</v>
          </cell>
        </row>
        <row r="111">
          <cell r="H111">
            <v>15192.68</v>
          </cell>
          <cell r="I111">
            <v>14852.28</v>
          </cell>
          <cell r="J111">
            <v>970</v>
          </cell>
        </row>
        <row r="112">
          <cell r="H112">
            <v>20169.650000000001</v>
          </cell>
          <cell r="I112">
            <v>19705.240000000002</v>
          </cell>
          <cell r="J112">
            <v>1225</v>
          </cell>
        </row>
        <row r="113">
          <cell r="H113">
            <v>19408.22</v>
          </cell>
          <cell r="I113">
            <v>18939.66</v>
          </cell>
          <cell r="J113">
            <v>1152</v>
          </cell>
        </row>
        <row r="114">
          <cell r="H114">
            <v>18661.29</v>
          </cell>
          <cell r="I114">
            <v>18300.29</v>
          </cell>
          <cell r="J114">
            <v>988</v>
          </cell>
        </row>
        <row r="115">
          <cell r="H115">
            <v>9748.68</v>
          </cell>
          <cell r="I115">
            <v>9548.67</v>
          </cell>
          <cell r="J115">
            <v>561</v>
          </cell>
        </row>
        <row r="116">
          <cell r="H116">
            <v>11147.55</v>
          </cell>
          <cell r="I116">
            <v>10858</v>
          </cell>
          <cell r="J116">
            <v>640</v>
          </cell>
        </row>
        <row r="117">
          <cell r="H117">
            <v>12563.37</v>
          </cell>
          <cell r="I117">
            <v>12282.22</v>
          </cell>
          <cell r="J117">
            <v>701</v>
          </cell>
        </row>
        <row r="118">
          <cell r="H118">
            <v>11488</v>
          </cell>
          <cell r="I118">
            <v>11299.75</v>
          </cell>
          <cell r="J118">
            <v>752</v>
          </cell>
        </row>
        <row r="119">
          <cell r="H119">
            <v>15854.07</v>
          </cell>
          <cell r="I119">
            <v>15491.18</v>
          </cell>
          <cell r="J119">
            <v>925</v>
          </cell>
        </row>
        <row r="120">
          <cell r="H120">
            <v>18998.21</v>
          </cell>
          <cell r="I120">
            <v>18667.97</v>
          </cell>
          <cell r="J120">
            <v>1132</v>
          </cell>
        </row>
        <row r="121">
          <cell r="H121">
            <v>19202.650000000001</v>
          </cell>
          <cell r="I121">
            <v>18904.810000000001</v>
          </cell>
          <cell r="J121">
            <v>1032</v>
          </cell>
        </row>
        <row r="122">
          <cell r="H122">
            <v>9606.15</v>
          </cell>
          <cell r="I122">
            <v>9423.06</v>
          </cell>
          <cell r="J122">
            <v>594</v>
          </cell>
        </row>
        <row r="123">
          <cell r="H123">
            <v>10127.81</v>
          </cell>
          <cell r="I123">
            <v>9816.36</v>
          </cell>
          <cell r="J123">
            <v>552</v>
          </cell>
        </row>
        <row r="124">
          <cell r="H124">
            <v>13902.72</v>
          </cell>
          <cell r="I124">
            <v>13584.96</v>
          </cell>
          <cell r="J124">
            <v>786</v>
          </cell>
        </row>
        <row r="125">
          <cell r="H125">
            <v>15344.66</v>
          </cell>
          <cell r="I125">
            <v>15062.95</v>
          </cell>
          <cell r="J125">
            <v>927</v>
          </cell>
        </row>
        <row r="126">
          <cell r="H126">
            <v>27041.98</v>
          </cell>
          <cell r="I126">
            <v>26489.91</v>
          </cell>
          <cell r="J126">
            <v>1550</v>
          </cell>
        </row>
        <row r="127">
          <cell r="H127">
            <v>17729.54</v>
          </cell>
          <cell r="I127">
            <v>17377.77</v>
          </cell>
          <cell r="J127">
            <v>1046</v>
          </cell>
        </row>
        <row r="128">
          <cell r="H128">
            <v>17969.21</v>
          </cell>
          <cell r="I128">
            <v>17544.05</v>
          </cell>
          <cell r="J128">
            <v>901</v>
          </cell>
        </row>
        <row r="129">
          <cell r="H129">
            <v>8688.85</v>
          </cell>
          <cell r="I129">
            <v>8492.15</v>
          </cell>
          <cell r="J129">
            <v>456</v>
          </cell>
        </row>
        <row r="130">
          <cell r="H130">
            <v>11370.99</v>
          </cell>
          <cell r="I130">
            <v>10938.76</v>
          </cell>
          <cell r="J130">
            <v>616</v>
          </cell>
        </row>
        <row r="131">
          <cell r="H131">
            <v>12272.4</v>
          </cell>
          <cell r="I131">
            <v>11945.03</v>
          </cell>
          <cell r="J131">
            <v>737</v>
          </cell>
        </row>
        <row r="132">
          <cell r="H132">
            <v>15414.94</v>
          </cell>
          <cell r="I132">
            <v>15093.09</v>
          </cell>
          <cell r="J132">
            <v>984</v>
          </cell>
        </row>
        <row r="133">
          <cell r="H133">
            <v>18914.37</v>
          </cell>
          <cell r="I133">
            <v>18518.89</v>
          </cell>
          <cell r="J133">
            <v>1104</v>
          </cell>
        </row>
        <row r="134">
          <cell r="H134">
            <v>16521.22</v>
          </cell>
          <cell r="I134">
            <v>16225.97</v>
          </cell>
          <cell r="J134">
            <v>1021</v>
          </cell>
        </row>
        <row r="135">
          <cell r="H135">
            <v>17461.54</v>
          </cell>
          <cell r="I135">
            <v>17026.2</v>
          </cell>
          <cell r="J135">
            <v>882</v>
          </cell>
        </row>
        <row r="136">
          <cell r="H136">
            <v>9063.11</v>
          </cell>
          <cell r="I136">
            <v>8883.98</v>
          </cell>
          <cell r="J136">
            <v>500</v>
          </cell>
        </row>
        <row r="137">
          <cell r="H137">
            <v>10799.43</v>
          </cell>
          <cell r="I137">
            <v>10598.8</v>
          </cell>
          <cell r="J137">
            <v>616</v>
          </cell>
        </row>
        <row r="138">
          <cell r="H138">
            <v>13251.09</v>
          </cell>
          <cell r="I138">
            <v>12987.13</v>
          </cell>
          <cell r="J138">
            <v>840</v>
          </cell>
        </row>
        <row r="139">
          <cell r="H139">
            <v>15303.99</v>
          </cell>
          <cell r="I139">
            <v>14864.25</v>
          </cell>
          <cell r="J139">
            <v>861</v>
          </cell>
        </row>
        <row r="140">
          <cell r="H140">
            <v>15140.02</v>
          </cell>
          <cell r="I140">
            <v>14855.02</v>
          </cell>
          <cell r="J140">
            <v>849</v>
          </cell>
        </row>
        <row r="141">
          <cell r="H141">
            <v>14934.98</v>
          </cell>
          <cell r="I141">
            <v>14517.25</v>
          </cell>
          <cell r="J141">
            <v>876</v>
          </cell>
        </row>
        <row r="142">
          <cell r="H142">
            <v>15971.45</v>
          </cell>
          <cell r="I142">
            <v>15636.03</v>
          </cell>
          <cell r="J142">
            <v>858</v>
          </cell>
        </row>
        <row r="143">
          <cell r="H143">
            <v>7823.24</v>
          </cell>
          <cell r="I143">
            <v>7696.42</v>
          </cell>
          <cell r="J143">
            <v>465</v>
          </cell>
        </row>
        <row r="144">
          <cell r="H144">
            <v>8579.65</v>
          </cell>
          <cell r="I144">
            <v>8430.4599999999991</v>
          </cell>
          <cell r="J144">
            <v>533</v>
          </cell>
        </row>
        <row r="145">
          <cell r="H145">
            <v>12994.34</v>
          </cell>
          <cell r="I145">
            <v>12728.67</v>
          </cell>
          <cell r="J145">
            <v>783</v>
          </cell>
        </row>
        <row r="146">
          <cell r="H146">
            <v>12275.31</v>
          </cell>
          <cell r="I146">
            <v>12091.71</v>
          </cell>
          <cell r="J146">
            <v>844</v>
          </cell>
        </row>
        <row r="147">
          <cell r="H147">
            <v>16842.71</v>
          </cell>
          <cell r="I147">
            <v>16568.25</v>
          </cell>
          <cell r="J147">
            <v>1014</v>
          </cell>
        </row>
        <row r="148">
          <cell r="H148">
            <v>19248.150000000001</v>
          </cell>
          <cell r="I148">
            <v>18878.3</v>
          </cell>
          <cell r="J148">
            <v>1237</v>
          </cell>
        </row>
        <row r="149">
          <cell r="H149">
            <v>22670.080000000002</v>
          </cell>
          <cell r="I149">
            <v>22321.79</v>
          </cell>
          <cell r="J149">
            <v>1361</v>
          </cell>
        </row>
        <row r="150">
          <cell r="H150">
            <v>20729.349999999999</v>
          </cell>
          <cell r="I150">
            <v>20314.330000000002</v>
          </cell>
          <cell r="J150">
            <v>1314</v>
          </cell>
        </row>
        <row r="151">
          <cell r="H151">
            <v>11935.64</v>
          </cell>
          <cell r="I151">
            <v>11753.4</v>
          </cell>
          <cell r="J151">
            <v>762</v>
          </cell>
        </row>
        <row r="152">
          <cell r="H152">
            <v>14744.1</v>
          </cell>
          <cell r="I152">
            <v>14462.82</v>
          </cell>
          <cell r="J152">
            <v>976</v>
          </cell>
        </row>
        <row r="153">
          <cell r="H153">
            <v>12957.11</v>
          </cell>
          <cell r="I153">
            <v>12684.9</v>
          </cell>
          <cell r="J153">
            <v>871</v>
          </cell>
        </row>
        <row r="154">
          <cell r="H154">
            <v>18144.759999999998</v>
          </cell>
          <cell r="I154">
            <v>17821.3</v>
          </cell>
          <cell r="J154">
            <v>1140</v>
          </cell>
        </row>
        <row r="155">
          <cell r="H155">
            <v>17904.37</v>
          </cell>
          <cell r="I155">
            <v>17555.099999999999</v>
          </cell>
          <cell r="J155">
            <v>1103</v>
          </cell>
        </row>
        <row r="156">
          <cell r="H156">
            <v>17145.009999999998</v>
          </cell>
          <cell r="I156">
            <v>16845.2</v>
          </cell>
          <cell r="J156">
            <v>909</v>
          </cell>
        </row>
        <row r="157">
          <cell r="H157">
            <v>11402.66</v>
          </cell>
          <cell r="I157">
            <v>11206.21</v>
          </cell>
          <cell r="J157">
            <v>720</v>
          </cell>
        </row>
        <row r="158">
          <cell r="H158">
            <v>10690.18</v>
          </cell>
          <cell r="I158">
            <v>10454.75</v>
          </cell>
          <cell r="J158">
            <v>593</v>
          </cell>
        </row>
        <row r="159">
          <cell r="H159">
            <v>13243.09</v>
          </cell>
          <cell r="I159">
            <v>12967.28</v>
          </cell>
          <cell r="J159">
            <v>815</v>
          </cell>
        </row>
        <row r="160">
          <cell r="H160">
            <v>11100.26</v>
          </cell>
          <cell r="I160">
            <v>10861.64</v>
          </cell>
          <cell r="J160">
            <v>624</v>
          </cell>
        </row>
        <row r="161">
          <cell r="H161">
            <v>15853.09</v>
          </cell>
          <cell r="I161">
            <v>15516.61</v>
          </cell>
          <cell r="J161">
            <v>900</v>
          </cell>
        </row>
        <row r="162">
          <cell r="H162">
            <v>18289.72</v>
          </cell>
          <cell r="I162">
            <v>18018.97</v>
          </cell>
          <cell r="J162">
            <v>1112</v>
          </cell>
        </row>
        <row r="163">
          <cell r="H163">
            <v>20040.3</v>
          </cell>
          <cell r="I163">
            <v>19651.55</v>
          </cell>
          <cell r="J163">
            <v>1102</v>
          </cell>
        </row>
        <row r="164">
          <cell r="H164">
            <v>9132.67</v>
          </cell>
          <cell r="I164">
            <v>8910.6</v>
          </cell>
          <cell r="J164">
            <v>570</v>
          </cell>
        </row>
        <row r="165">
          <cell r="H165">
            <v>10233.44</v>
          </cell>
          <cell r="I165">
            <v>9950.7000000000007</v>
          </cell>
          <cell r="J165">
            <v>623</v>
          </cell>
        </row>
        <row r="166">
          <cell r="H166">
            <v>12021.55</v>
          </cell>
          <cell r="I166">
            <v>11703.85</v>
          </cell>
          <cell r="J166">
            <v>766</v>
          </cell>
        </row>
        <row r="167">
          <cell r="H167">
            <v>13295.51</v>
          </cell>
          <cell r="I167">
            <v>12879.86</v>
          </cell>
          <cell r="J167">
            <v>861</v>
          </cell>
        </row>
        <row r="168">
          <cell r="H168">
            <v>16748.62</v>
          </cell>
          <cell r="I168">
            <v>16362.71</v>
          </cell>
          <cell r="J168">
            <v>1027</v>
          </cell>
        </row>
        <row r="169">
          <cell r="H169">
            <v>19036.099999999999</v>
          </cell>
          <cell r="I169">
            <v>18628.48</v>
          </cell>
          <cell r="J169">
            <v>1184</v>
          </cell>
        </row>
        <row r="170">
          <cell r="H170">
            <v>22350.42</v>
          </cell>
          <cell r="I170">
            <v>21900.55</v>
          </cell>
          <cell r="J170">
            <v>1238</v>
          </cell>
        </row>
        <row r="171">
          <cell r="H171">
            <v>0</v>
          </cell>
          <cell r="I171">
            <v>0</v>
          </cell>
          <cell r="J171">
            <v>0</v>
          </cell>
        </row>
        <row r="172">
          <cell r="H172">
            <v>0</v>
          </cell>
          <cell r="I172">
            <v>0</v>
          </cell>
          <cell r="J172">
            <v>0</v>
          </cell>
        </row>
        <row r="173">
          <cell r="H173">
            <v>0</v>
          </cell>
          <cell r="I173">
            <v>0</v>
          </cell>
          <cell r="J173">
            <v>0</v>
          </cell>
        </row>
        <row r="174">
          <cell r="H174">
            <v>0</v>
          </cell>
          <cell r="I174">
            <v>0</v>
          </cell>
          <cell r="J174">
            <v>0</v>
          </cell>
        </row>
        <row r="175">
          <cell r="H175">
            <v>0</v>
          </cell>
          <cell r="I175">
            <v>0</v>
          </cell>
          <cell r="J175">
            <v>0</v>
          </cell>
        </row>
        <row r="176">
          <cell r="H176">
            <v>0</v>
          </cell>
          <cell r="I176">
            <v>0</v>
          </cell>
          <cell r="J176">
            <v>0</v>
          </cell>
        </row>
        <row r="177">
          <cell r="H177">
            <v>0</v>
          </cell>
          <cell r="I177">
            <v>0</v>
          </cell>
          <cell r="J177">
            <v>0</v>
          </cell>
        </row>
        <row r="178">
          <cell r="H178">
            <v>0</v>
          </cell>
          <cell r="I178">
            <v>0</v>
          </cell>
          <cell r="J178">
            <v>0</v>
          </cell>
        </row>
        <row r="179">
          <cell r="H179">
            <v>0</v>
          </cell>
          <cell r="I179">
            <v>0</v>
          </cell>
          <cell r="J179">
            <v>0</v>
          </cell>
        </row>
        <row r="180">
          <cell r="H180">
            <v>0</v>
          </cell>
          <cell r="I180">
            <v>0</v>
          </cell>
          <cell r="J180">
            <v>0</v>
          </cell>
        </row>
        <row r="181">
          <cell r="H181">
            <v>0</v>
          </cell>
          <cell r="I181">
            <v>0</v>
          </cell>
          <cell r="J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</row>
        <row r="183">
          <cell r="H183">
            <v>0</v>
          </cell>
          <cell r="I183">
            <v>0</v>
          </cell>
          <cell r="J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</row>
        <row r="191">
          <cell r="H191">
            <v>0</v>
          </cell>
          <cell r="I191">
            <v>0</v>
          </cell>
          <cell r="J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</row>
        <row r="194">
          <cell r="H194">
            <v>0</v>
          </cell>
          <cell r="I194">
            <v>0</v>
          </cell>
          <cell r="J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</row>
        <row r="196">
          <cell r="H196">
            <v>0</v>
          </cell>
          <cell r="I196">
            <v>0</v>
          </cell>
          <cell r="J196">
            <v>0</v>
          </cell>
        </row>
        <row r="197">
          <cell r="H197">
            <v>0</v>
          </cell>
          <cell r="I197">
            <v>0</v>
          </cell>
          <cell r="J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</row>
        <row r="199">
          <cell r="H199">
            <v>0</v>
          </cell>
          <cell r="I199">
            <v>0</v>
          </cell>
          <cell r="J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</row>
        <row r="201">
          <cell r="H201">
            <v>0</v>
          </cell>
          <cell r="I201">
            <v>0</v>
          </cell>
          <cell r="J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</row>
        <row r="203">
          <cell r="H203">
            <v>0</v>
          </cell>
          <cell r="I203">
            <v>0</v>
          </cell>
          <cell r="J203">
            <v>0</v>
          </cell>
        </row>
        <row r="204">
          <cell r="H204">
            <v>0</v>
          </cell>
          <cell r="I204">
            <v>0</v>
          </cell>
          <cell r="J204">
            <v>0</v>
          </cell>
        </row>
        <row r="205">
          <cell r="H205">
            <v>0</v>
          </cell>
          <cell r="I205">
            <v>0</v>
          </cell>
          <cell r="J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</row>
        <row r="207">
          <cell r="H207">
            <v>0</v>
          </cell>
          <cell r="I207">
            <v>0</v>
          </cell>
          <cell r="J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</row>
        <row r="210">
          <cell r="H210">
            <v>0</v>
          </cell>
          <cell r="I210">
            <v>0</v>
          </cell>
          <cell r="J210">
            <v>0</v>
          </cell>
        </row>
        <row r="211">
          <cell r="H211">
            <v>0</v>
          </cell>
          <cell r="I211">
            <v>0</v>
          </cell>
          <cell r="J211">
            <v>0</v>
          </cell>
        </row>
        <row r="212">
          <cell r="H212">
            <v>0</v>
          </cell>
          <cell r="I212">
            <v>0</v>
          </cell>
          <cell r="J212">
            <v>0</v>
          </cell>
        </row>
        <row r="213">
          <cell r="H213">
            <v>0</v>
          </cell>
          <cell r="I213">
            <v>0</v>
          </cell>
          <cell r="J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</row>
        <row r="215">
          <cell r="H215">
            <v>0</v>
          </cell>
          <cell r="I215">
            <v>0</v>
          </cell>
          <cell r="J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</row>
        <row r="217">
          <cell r="H217">
            <v>0</v>
          </cell>
          <cell r="I217">
            <v>0</v>
          </cell>
          <cell r="J217">
            <v>0</v>
          </cell>
        </row>
        <row r="218">
          <cell r="H218">
            <v>0</v>
          </cell>
          <cell r="I218">
            <v>0</v>
          </cell>
          <cell r="J218">
            <v>0</v>
          </cell>
        </row>
        <row r="219">
          <cell r="H219">
            <v>0</v>
          </cell>
          <cell r="I219">
            <v>0</v>
          </cell>
          <cell r="J219">
            <v>0</v>
          </cell>
        </row>
        <row r="220">
          <cell r="H220">
            <v>0</v>
          </cell>
          <cell r="I220">
            <v>0</v>
          </cell>
          <cell r="J220">
            <v>0</v>
          </cell>
        </row>
        <row r="221">
          <cell r="H221">
            <v>0</v>
          </cell>
          <cell r="I221">
            <v>0</v>
          </cell>
          <cell r="J221">
            <v>0</v>
          </cell>
        </row>
        <row r="222">
          <cell r="H222">
            <v>0</v>
          </cell>
          <cell r="I222">
            <v>0</v>
          </cell>
          <cell r="J222">
            <v>0</v>
          </cell>
        </row>
        <row r="223">
          <cell r="H223">
            <v>0</v>
          </cell>
          <cell r="I223">
            <v>0</v>
          </cell>
          <cell r="J223">
            <v>0</v>
          </cell>
        </row>
        <row r="224">
          <cell r="H224">
            <v>0</v>
          </cell>
          <cell r="I224">
            <v>0</v>
          </cell>
          <cell r="J224">
            <v>0</v>
          </cell>
        </row>
        <row r="225">
          <cell r="H225">
            <v>0</v>
          </cell>
          <cell r="I225">
            <v>0</v>
          </cell>
          <cell r="J225">
            <v>0</v>
          </cell>
        </row>
        <row r="226">
          <cell r="H226">
            <v>0</v>
          </cell>
          <cell r="I226">
            <v>0</v>
          </cell>
          <cell r="J226">
            <v>0</v>
          </cell>
        </row>
        <row r="227">
          <cell r="H227">
            <v>0</v>
          </cell>
          <cell r="I227">
            <v>0</v>
          </cell>
          <cell r="J227">
            <v>0</v>
          </cell>
        </row>
        <row r="228">
          <cell r="H228">
            <v>0</v>
          </cell>
          <cell r="I228">
            <v>0</v>
          </cell>
          <cell r="J228">
            <v>0</v>
          </cell>
        </row>
        <row r="229">
          <cell r="H229">
            <v>0</v>
          </cell>
          <cell r="I229">
            <v>0</v>
          </cell>
          <cell r="J229">
            <v>0</v>
          </cell>
        </row>
        <row r="230">
          <cell r="H230">
            <v>0</v>
          </cell>
          <cell r="I230">
            <v>0</v>
          </cell>
          <cell r="J230">
            <v>0</v>
          </cell>
        </row>
        <row r="231">
          <cell r="H231">
            <v>0</v>
          </cell>
          <cell r="I231">
            <v>0</v>
          </cell>
          <cell r="J231">
            <v>0</v>
          </cell>
        </row>
        <row r="232">
          <cell r="H232">
            <v>0</v>
          </cell>
          <cell r="I232">
            <v>0</v>
          </cell>
          <cell r="J232">
            <v>0</v>
          </cell>
        </row>
        <row r="233">
          <cell r="H233">
            <v>0</v>
          </cell>
          <cell r="I233">
            <v>0</v>
          </cell>
          <cell r="J233">
            <v>0</v>
          </cell>
        </row>
        <row r="234">
          <cell r="H234">
            <v>0</v>
          </cell>
          <cell r="I234">
            <v>0</v>
          </cell>
          <cell r="J234">
            <v>0</v>
          </cell>
        </row>
        <row r="235">
          <cell r="H235">
            <v>0</v>
          </cell>
          <cell r="I235">
            <v>0</v>
          </cell>
          <cell r="J235">
            <v>0</v>
          </cell>
        </row>
        <row r="236">
          <cell r="H236">
            <v>0</v>
          </cell>
          <cell r="I236">
            <v>0</v>
          </cell>
          <cell r="J236">
            <v>0</v>
          </cell>
        </row>
        <row r="237">
          <cell r="H237">
            <v>0</v>
          </cell>
          <cell r="I237">
            <v>0</v>
          </cell>
          <cell r="J237">
            <v>0</v>
          </cell>
        </row>
        <row r="238">
          <cell r="H238">
            <v>0</v>
          </cell>
          <cell r="I238">
            <v>0</v>
          </cell>
          <cell r="J238">
            <v>0</v>
          </cell>
        </row>
        <row r="239">
          <cell r="H239">
            <v>0</v>
          </cell>
          <cell r="I239">
            <v>0</v>
          </cell>
          <cell r="J239">
            <v>0</v>
          </cell>
        </row>
        <row r="240">
          <cell r="H240">
            <v>0</v>
          </cell>
          <cell r="I240">
            <v>0</v>
          </cell>
          <cell r="J240">
            <v>0</v>
          </cell>
        </row>
        <row r="241">
          <cell r="H241">
            <v>0</v>
          </cell>
          <cell r="I241">
            <v>0</v>
          </cell>
          <cell r="J241">
            <v>0</v>
          </cell>
        </row>
        <row r="242">
          <cell r="H242">
            <v>0</v>
          </cell>
          <cell r="I242">
            <v>0</v>
          </cell>
          <cell r="J242">
            <v>0</v>
          </cell>
        </row>
        <row r="243">
          <cell r="H243">
            <v>0</v>
          </cell>
          <cell r="I243">
            <v>0</v>
          </cell>
          <cell r="J243">
            <v>0</v>
          </cell>
        </row>
        <row r="244">
          <cell r="H244">
            <v>0</v>
          </cell>
          <cell r="I244">
            <v>0</v>
          </cell>
          <cell r="J244">
            <v>0</v>
          </cell>
        </row>
        <row r="245">
          <cell r="H245">
            <v>0</v>
          </cell>
          <cell r="I245">
            <v>0</v>
          </cell>
          <cell r="J245">
            <v>0</v>
          </cell>
        </row>
        <row r="246">
          <cell r="H246">
            <v>0</v>
          </cell>
          <cell r="I246">
            <v>0</v>
          </cell>
          <cell r="J246">
            <v>0</v>
          </cell>
        </row>
        <row r="247">
          <cell r="H247">
            <v>0</v>
          </cell>
          <cell r="I247">
            <v>0</v>
          </cell>
          <cell r="J247">
            <v>0</v>
          </cell>
        </row>
        <row r="248">
          <cell r="H248">
            <v>0</v>
          </cell>
          <cell r="I248">
            <v>0</v>
          </cell>
          <cell r="J248">
            <v>0</v>
          </cell>
        </row>
        <row r="249">
          <cell r="H249">
            <v>0</v>
          </cell>
          <cell r="I249">
            <v>0</v>
          </cell>
          <cell r="J249">
            <v>0</v>
          </cell>
        </row>
        <row r="250">
          <cell r="H250">
            <v>0</v>
          </cell>
          <cell r="I250">
            <v>0</v>
          </cell>
          <cell r="J250">
            <v>0</v>
          </cell>
        </row>
        <row r="251">
          <cell r="H251">
            <v>0</v>
          </cell>
          <cell r="I251">
            <v>0</v>
          </cell>
          <cell r="J251">
            <v>0</v>
          </cell>
        </row>
        <row r="252">
          <cell r="H252">
            <v>0</v>
          </cell>
          <cell r="I252">
            <v>0</v>
          </cell>
          <cell r="J252">
            <v>0</v>
          </cell>
        </row>
        <row r="253">
          <cell r="H253">
            <v>0</v>
          </cell>
          <cell r="I253">
            <v>0</v>
          </cell>
          <cell r="J253">
            <v>0</v>
          </cell>
        </row>
        <row r="254">
          <cell r="H254">
            <v>0</v>
          </cell>
          <cell r="I254">
            <v>0</v>
          </cell>
          <cell r="J254">
            <v>0</v>
          </cell>
        </row>
        <row r="255">
          <cell r="H255">
            <v>0</v>
          </cell>
          <cell r="I255">
            <v>0</v>
          </cell>
          <cell r="J255">
            <v>0</v>
          </cell>
        </row>
        <row r="256">
          <cell r="H256">
            <v>0</v>
          </cell>
          <cell r="I256">
            <v>0</v>
          </cell>
          <cell r="J256">
            <v>0</v>
          </cell>
        </row>
        <row r="257">
          <cell r="H257">
            <v>0</v>
          </cell>
          <cell r="I257">
            <v>0</v>
          </cell>
          <cell r="J257">
            <v>0</v>
          </cell>
        </row>
        <row r="258">
          <cell r="H258">
            <v>0</v>
          </cell>
          <cell r="I258">
            <v>0</v>
          </cell>
          <cell r="J258">
            <v>0</v>
          </cell>
        </row>
        <row r="259">
          <cell r="H259">
            <v>0</v>
          </cell>
          <cell r="I259">
            <v>0</v>
          </cell>
          <cell r="J259">
            <v>0</v>
          </cell>
        </row>
        <row r="260">
          <cell r="H260">
            <v>0</v>
          </cell>
          <cell r="I260">
            <v>0</v>
          </cell>
          <cell r="J260">
            <v>0</v>
          </cell>
        </row>
        <row r="261">
          <cell r="H261">
            <v>0</v>
          </cell>
          <cell r="I261">
            <v>0</v>
          </cell>
          <cell r="J261">
            <v>0</v>
          </cell>
        </row>
        <row r="262">
          <cell r="H262">
            <v>0</v>
          </cell>
          <cell r="I262">
            <v>0</v>
          </cell>
          <cell r="J262">
            <v>0</v>
          </cell>
        </row>
        <row r="263">
          <cell r="H263">
            <v>0</v>
          </cell>
          <cell r="I263">
            <v>0</v>
          </cell>
          <cell r="J263">
            <v>0</v>
          </cell>
        </row>
        <row r="264">
          <cell r="H264">
            <v>0</v>
          </cell>
          <cell r="I264">
            <v>0</v>
          </cell>
          <cell r="J264">
            <v>0</v>
          </cell>
        </row>
        <row r="265">
          <cell r="H265">
            <v>0</v>
          </cell>
          <cell r="I265">
            <v>0</v>
          </cell>
          <cell r="J265">
            <v>0</v>
          </cell>
        </row>
        <row r="266">
          <cell r="H266">
            <v>0</v>
          </cell>
          <cell r="I266">
            <v>0</v>
          </cell>
          <cell r="J266">
            <v>0</v>
          </cell>
        </row>
        <row r="267">
          <cell r="H267">
            <v>0</v>
          </cell>
          <cell r="I267">
            <v>0</v>
          </cell>
          <cell r="J267">
            <v>0</v>
          </cell>
        </row>
        <row r="268">
          <cell r="H268">
            <v>0</v>
          </cell>
          <cell r="I268">
            <v>0</v>
          </cell>
          <cell r="J268">
            <v>0</v>
          </cell>
        </row>
        <row r="269">
          <cell r="H269">
            <v>0</v>
          </cell>
          <cell r="I269">
            <v>0</v>
          </cell>
          <cell r="J269">
            <v>0</v>
          </cell>
        </row>
        <row r="270">
          <cell r="H270">
            <v>0</v>
          </cell>
          <cell r="I270">
            <v>0</v>
          </cell>
          <cell r="J270">
            <v>0</v>
          </cell>
        </row>
        <row r="271">
          <cell r="H271">
            <v>0</v>
          </cell>
          <cell r="I271">
            <v>0</v>
          </cell>
          <cell r="J271">
            <v>0</v>
          </cell>
        </row>
        <row r="272">
          <cell r="H272">
            <v>0</v>
          </cell>
          <cell r="I272">
            <v>0</v>
          </cell>
          <cell r="J272">
            <v>0</v>
          </cell>
        </row>
        <row r="273">
          <cell r="H273">
            <v>0</v>
          </cell>
          <cell r="I273">
            <v>0</v>
          </cell>
          <cell r="J273">
            <v>0</v>
          </cell>
        </row>
        <row r="274">
          <cell r="H274">
            <v>0</v>
          </cell>
          <cell r="I274">
            <v>0</v>
          </cell>
          <cell r="J274">
            <v>0</v>
          </cell>
        </row>
        <row r="275">
          <cell r="H275">
            <v>0</v>
          </cell>
          <cell r="I275">
            <v>0</v>
          </cell>
          <cell r="J275">
            <v>0</v>
          </cell>
        </row>
        <row r="276">
          <cell r="H276">
            <v>0</v>
          </cell>
          <cell r="I276">
            <v>0</v>
          </cell>
          <cell r="J276">
            <v>0</v>
          </cell>
        </row>
        <row r="277">
          <cell r="H277">
            <v>0</v>
          </cell>
          <cell r="I277">
            <v>0</v>
          </cell>
          <cell r="J277">
            <v>0</v>
          </cell>
        </row>
        <row r="278">
          <cell r="H278">
            <v>0</v>
          </cell>
          <cell r="I278">
            <v>0</v>
          </cell>
          <cell r="J278">
            <v>0</v>
          </cell>
        </row>
        <row r="279">
          <cell r="H279">
            <v>0</v>
          </cell>
          <cell r="I279">
            <v>0</v>
          </cell>
          <cell r="J279">
            <v>0</v>
          </cell>
        </row>
        <row r="280">
          <cell r="H280">
            <v>0</v>
          </cell>
          <cell r="I280">
            <v>0</v>
          </cell>
          <cell r="J280">
            <v>0</v>
          </cell>
        </row>
        <row r="281">
          <cell r="H281">
            <v>0</v>
          </cell>
          <cell r="I281">
            <v>0</v>
          </cell>
          <cell r="J281">
            <v>0</v>
          </cell>
        </row>
        <row r="282">
          <cell r="H282">
            <v>0</v>
          </cell>
          <cell r="I282">
            <v>0</v>
          </cell>
          <cell r="J282">
            <v>0</v>
          </cell>
        </row>
        <row r="283">
          <cell r="H283">
            <v>0</v>
          </cell>
          <cell r="I283">
            <v>0</v>
          </cell>
          <cell r="J283">
            <v>0</v>
          </cell>
        </row>
        <row r="284">
          <cell r="H284">
            <v>0</v>
          </cell>
          <cell r="I284">
            <v>0</v>
          </cell>
          <cell r="J284">
            <v>0</v>
          </cell>
        </row>
        <row r="285">
          <cell r="H285">
            <v>0</v>
          </cell>
          <cell r="I285">
            <v>0</v>
          </cell>
          <cell r="J285">
            <v>0</v>
          </cell>
        </row>
        <row r="286">
          <cell r="H286">
            <v>0</v>
          </cell>
          <cell r="I286">
            <v>0</v>
          </cell>
          <cell r="J286">
            <v>0</v>
          </cell>
        </row>
        <row r="287">
          <cell r="H287">
            <v>0</v>
          </cell>
          <cell r="I287">
            <v>0</v>
          </cell>
          <cell r="J287">
            <v>0</v>
          </cell>
        </row>
        <row r="288">
          <cell r="H288">
            <v>0</v>
          </cell>
          <cell r="I288">
            <v>0</v>
          </cell>
          <cell r="J288">
            <v>0</v>
          </cell>
        </row>
        <row r="289">
          <cell r="H289">
            <v>0</v>
          </cell>
          <cell r="I289">
            <v>0</v>
          </cell>
          <cell r="J289">
            <v>0</v>
          </cell>
        </row>
        <row r="290">
          <cell r="H290">
            <v>0</v>
          </cell>
          <cell r="I290">
            <v>0</v>
          </cell>
          <cell r="J290">
            <v>0</v>
          </cell>
        </row>
        <row r="291">
          <cell r="H291">
            <v>0</v>
          </cell>
          <cell r="I291">
            <v>0</v>
          </cell>
          <cell r="J291">
            <v>0</v>
          </cell>
        </row>
        <row r="292">
          <cell r="H292">
            <v>0</v>
          </cell>
          <cell r="I292">
            <v>0</v>
          </cell>
          <cell r="J292">
            <v>0</v>
          </cell>
        </row>
        <row r="293">
          <cell r="H293">
            <v>0</v>
          </cell>
          <cell r="I293">
            <v>0</v>
          </cell>
          <cell r="J293">
            <v>0</v>
          </cell>
        </row>
        <row r="294">
          <cell r="H294">
            <v>0</v>
          </cell>
          <cell r="I294">
            <v>0</v>
          </cell>
          <cell r="J294">
            <v>0</v>
          </cell>
        </row>
        <row r="295">
          <cell r="H295">
            <v>0</v>
          </cell>
          <cell r="I295">
            <v>0</v>
          </cell>
          <cell r="J295">
            <v>0</v>
          </cell>
        </row>
        <row r="296">
          <cell r="H296">
            <v>0</v>
          </cell>
          <cell r="I296">
            <v>0</v>
          </cell>
          <cell r="J296">
            <v>0</v>
          </cell>
        </row>
        <row r="297">
          <cell r="H297">
            <v>0</v>
          </cell>
          <cell r="I297">
            <v>0</v>
          </cell>
          <cell r="J297">
            <v>0</v>
          </cell>
        </row>
        <row r="298">
          <cell r="H298">
            <v>0</v>
          </cell>
          <cell r="I298">
            <v>0</v>
          </cell>
          <cell r="J298">
            <v>0</v>
          </cell>
        </row>
        <row r="299">
          <cell r="H299">
            <v>0</v>
          </cell>
          <cell r="I299">
            <v>0</v>
          </cell>
          <cell r="J299">
            <v>0</v>
          </cell>
        </row>
        <row r="300">
          <cell r="H300">
            <v>0</v>
          </cell>
          <cell r="I300">
            <v>0</v>
          </cell>
          <cell r="J300">
            <v>0</v>
          </cell>
        </row>
        <row r="301">
          <cell r="H301">
            <v>0</v>
          </cell>
          <cell r="I301">
            <v>0</v>
          </cell>
          <cell r="J301">
            <v>0</v>
          </cell>
        </row>
        <row r="302">
          <cell r="H302">
            <v>0</v>
          </cell>
          <cell r="I302">
            <v>0</v>
          </cell>
          <cell r="J302">
            <v>0</v>
          </cell>
        </row>
        <row r="303">
          <cell r="H303">
            <v>0</v>
          </cell>
          <cell r="I303">
            <v>0</v>
          </cell>
          <cell r="J303">
            <v>0</v>
          </cell>
        </row>
        <row r="304">
          <cell r="H304">
            <v>0</v>
          </cell>
          <cell r="I304">
            <v>0</v>
          </cell>
          <cell r="J304">
            <v>0</v>
          </cell>
        </row>
        <row r="305">
          <cell r="H305">
            <v>0</v>
          </cell>
          <cell r="I305">
            <v>0</v>
          </cell>
          <cell r="J305">
            <v>0</v>
          </cell>
        </row>
        <row r="306">
          <cell r="H306">
            <v>0</v>
          </cell>
          <cell r="I306">
            <v>0</v>
          </cell>
          <cell r="J306">
            <v>0</v>
          </cell>
        </row>
        <row r="307">
          <cell r="H307">
            <v>0</v>
          </cell>
          <cell r="I307">
            <v>0</v>
          </cell>
          <cell r="J307">
            <v>0</v>
          </cell>
        </row>
        <row r="308">
          <cell r="H308">
            <v>0</v>
          </cell>
          <cell r="I308">
            <v>0</v>
          </cell>
          <cell r="J308">
            <v>0</v>
          </cell>
        </row>
        <row r="309">
          <cell r="H309">
            <v>0</v>
          </cell>
          <cell r="I309">
            <v>0</v>
          </cell>
          <cell r="J309">
            <v>0</v>
          </cell>
        </row>
        <row r="310">
          <cell r="H310">
            <v>0</v>
          </cell>
          <cell r="I310">
            <v>0</v>
          </cell>
          <cell r="J310">
            <v>0</v>
          </cell>
        </row>
        <row r="311">
          <cell r="H311">
            <v>0</v>
          </cell>
          <cell r="I311">
            <v>0</v>
          </cell>
          <cell r="J311">
            <v>0</v>
          </cell>
        </row>
        <row r="312">
          <cell r="H312">
            <v>0</v>
          </cell>
          <cell r="I312">
            <v>0</v>
          </cell>
          <cell r="J312">
            <v>0</v>
          </cell>
        </row>
        <row r="313">
          <cell r="H313">
            <v>0</v>
          </cell>
          <cell r="I313">
            <v>0</v>
          </cell>
          <cell r="J313">
            <v>0</v>
          </cell>
        </row>
        <row r="314">
          <cell r="H314">
            <v>0</v>
          </cell>
          <cell r="I314">
            <v>0</v>
          </cell>
          <cell r="J314">
            <v>0</v>
          </cell>
        </row>
        <row r="315">
          <cell r="H315">
            <v>0</v>
          </cell>
          <cell r="I315">
            <v>0</v>
          </cell>
          <cell r="J315">
            <v>0</v>
          </cell>
        </row>
        <row r="316">
          <cell r="H316">
            <v>0</v>
          </cell>
          <cell r="I316">
            <v>0</v>
          </cell>
          <cell r="J316">
            <v>0</v>
          </cell>
        </row>
        <row r="317">
          <cell r="H317">
            <v>0</v>
          </cell>
          <cell r="I317">
            <v>0</v>
          </cell>
          <cell r="J317">
            <v>0</v>
          </cell>
        </row>
        <row r="318">
          <cell r="H318">
            <v>0</v>
          </cell>
          <cell r="I318">
            <v>0</v>
          </cell>
          <cell r="J318">
            <v>0</v>
          </cell>
        </row>
        <row r="319">
          <cell r="H319">
            <v>0</v>
          </cell>
          <cell r="I319">
            <v>0</v>
          </cell>
          <cell r="J319">
            <v>0</v>
          </cell>
        </row>
        <row r="320">
          <cell r="H320">
            <v>0</v>
          </cell>
          <cell r="I320">
            <v>0</v>
          </cell>
          <cell r="J320">
            <v>0</v>
          </cell>
        </row>
        <row r="321">
          <cell r="H321">
            <v>0</v>
          </cell>
          <cell r="I321">
            <v>0</v>
          </cell>
          <cell r="J321">
            <v>0</v>
          </cell>
        </row>
        <row r="322">
          <cell r="H322">
            <v>0</v>
          </cell>
          <cell r="I322">
            <v>0</v>
          </cell>
          <cell r="J322">
            <v>0</v>
          </cell>
        </row>
        <row r="323">
          <cell r="H323">
            <v>0</v>
          </cell>
          <cell r="I323">
            <v>0</v>
          </cell>
          <cell r="J323">
            <v>0</v>
          </cell>
        </row>
        <row r="324">
          <cell r="H324">
            <v>0</v>
          </cell>
          <cell r="I324">
            <v>0</v>
          </cell>
          <cell r="J324">
            <v>0</v>
          </cell>
        </row>
        <row r="325">
          <cell r="H325">
            <v>0</v>
          </cell>
          <cell r="I325">
            <v>0</v>
          </cell>
          <cell r="J325">
            <v>0</v>
          </cell>
        </row>
        <row r="326">
          <cell r="H326">
            <v>0</v>
          </cell>
          <cell r="I326">
            <v>0</v>
          </cell>
          <cell r="J326">
            <v>0</v>
          </cell>
        </row>
        <row r="327">
          <cell r="H327">
            <v>0</v>
          </cell>
          <cell r="I327">
            <v>0</v>
          </cell>
          <cell r="J327">
            <v>0</v>
          </cell>
        </row>
        <row r="328">
          <cell r="H328">
            <v>0</v>
          </cell>
          <cell r="I328">
            <v>0</v>
          </cell>
          <cell r="J328">
            <v>0</v>
          </cell>
        </row>
        <row r="329">
          <cell r="H329">
            <v>0</v>
          </cell>
          <cell r="I329">
            <v>0</v>
          </cell>
          <cell r="J329">
            <v>0</v>
          </cell>
        </row>
        <row r="330">
          <cell r="H330">
            <v>0</v>
          </cell>
          <cell r="I330">
            <v>0</v>
          </cell>
          <cell r="J330">
            <v>0</v>
          </cell>
        </row>
        <row r="331">
          <cell r="H331">
            <v>0</v>
          </cell>
          <cell r="I331">
            <v>0</v>
          </cell>
          <cell r="J331">
            <v>0</v>
          </cell>
        </row>
        <row r="332">
          <cell r="H332">
            <v>0</v>
          </cell>
          <cell r="I332">
            <v>0</v>
          </cell>
          <cell r="J332">
            <v>0</v>
          </cell>
        </row>
        <row r="333">
          <cell r="H333">
            <v>0</v>
          </cell>
          <cell r="I333">
            <v>0</v>
          </cell>
          <cell r="J333">
            <v>0</v>
          </cell>
        </row>
        <row r="334">
          <cell r="H334">
            <v>0</v>
          </cell>
          <cell r="I334">
            <v>0</v>
          </cell>
          <cell r="J334">
            <v>0</v>
          </cell>
        </row>
        <row r="335">
          <cell r="H335">
            <v>0</v>
          </cell>
          <cell r="I335">
            <v>0</v>
          </cell>
          <cell r="J335">
            <v>0</v>
          </cell>
        </row>
        <row r="336">
          <cell r="H336">
            <v>0</v>
          </cell>
          <cell r="I336">
            <v>0</v>
          </cell>
          <cell r="J336">
            <v>0</v>
          </cell>
        </row>
        <row r="337">
          <cell r="H337">
            <v>0</v>
          </cell>
          <cell r="I337">
            <v>0</v>
          </cell>
          <cell r="J337">
            <v>0</v>
          </cell>
        </row>
        <row r="338">
          <cell r="H338">
            <v>0</v>
          </cell>
          <cell r="I338">
            <v>0</v>
          </cell>
          <cell r="J338">
            <v>0</v>
          </cell>
        </row>
        <row r="339">
          <cell r="H339">
            <v>0</v>
          </cell>
          <cell r="I339">
            <v>0</v>
          </cell>
          <cell r="J339">
            <v>0</v>
          </cell>
        </row>
        <row r="340">
          <cell r="H340">
            <v>0</v>
          </cell>
          <cell r="I340">
            <v>0</v>
          </cell>
          <cell r="J340">
            <v>0</v>
          </cell>
        </row>
        <row r="341">
          <cell r="H341">
            <v>0</v>
          </cell>
          <cell r="I341">
            <v>0</v>
          </cell>
          <cell r="J341">
            <v>0</v>
          </cell>
        </row>
        <row r="342">
          <cell r="H342">
            <v>0</v>
          </cell>
          <cell r="I342">
            <v>0</v>
          </cell>
          <cell r="J342">
            <v>0</v>
          </cell>
        </row>
        <row r="343">
          <cell r="H343">
            <v>0</v>
          </cell>
          <cell r="I343">
            <v>0</v>
          </cell>
          <cell r="J343">
            <v>0</v>
          </cell>
        </row>
        <row r="344">
          <cell r="H344">
            <v>0</v>
          </cell>
          <cell r="I344">
            <v>0</v>
          </cell>
          <cell r="J344">
            <v>0</v>
          </cell>
        </row>
        <row r="345">
          <cell r="H345">
            <v>0</v>
          </cell>
          <cell r="I345">
            <v>0</v>
          </cell>
          <cell r="J345">
            <v>0</v>
          </cell>
        </row>
        <row r="346">
          <cell r="H346">
            <v>0</v>
          </cell>
          <cell r="I346">
            <v>0</v>
          </cell>
          <cell r="J346">
            <v>0</v>
          </cell>
        </row>
        <row r="347">
          <cell r="H347">
            <v>0</v>
          </cell>
          <cell r="I347">
            <v>0</v>
          </cell>
          <cell r="J347">
            <v>0</v>
          </cell>
        </row>
        <row r="348">
          <cell r="H348">
            <v>0</v>
          </cell>
          <cell r="I348">
            <v>0</v>
          </cell>
          <cell r="J348">
            <v>0</v>
          </cell>
        </row>
        <row r="349">
          <cell r="H349">
            <v>0</v>
          </cell>
          <cell r="I349">
            <v>0</v>
          </cell>
          <cell r="J349">
            <v>0</v>
          </cell>
        </row>
        <row r="350">
          <cell r="H350">
            <v>0</v>
          </cell>
          <cell r="I350">
            <v>0</v>
          </cell>
          <cell r="J350">
            <v>0</v>
          </cell>
        </row>
        <row r="351">
          <cell r="H351">
            <v>0</v>
          </cell>
          <cell r="I351">
            <v>0</v>
          </cell>
          <cell r="J351">
            <v>0</v>
          </cell>
        </row>
        <row r="352">
          <cell r="H352">
            <v>0</v>
          </cell>
          <cell r="I352">
            <v>0</v>
          </cell>
          <cell r="J352">
            <v>0</v>
          </cell>
        </row>
        <row r="353">
          <cell r="H353">
            <v>0</v>
          </cell>
          <cell r="I353">
            <v>0</v>
          </cell>
          <cell r="J353">
            <v>0</v>
          </cell>
        </row>
        <row r="354">
          <cell r="H354">
            <v>0</v>
          </cell>
          <cell r="I354">
            <v>0</v>
          </cell>
          <cell r="J354">
            <v>0</v>
          </cell>
        </row>
        <row r="355">
          <cell r="H355">
            <v>0</v>
          </cell>
          <cell r="I355">
            <v>0</v>
          </cell>
          <cell r="J355">
            <v>0</v>
          </cell>
        </row>
        <row r="356">
          <cell r="H356">
            <v>0</v>
          </cell>
          <cell r="I356">
            <v>0</v>
          </cell>
          <cell r="J356">
            <v>0</v>
          </cell>
        </row>
        <row r="357">
          <cell r="H357">
            <v>0</v>
          </cell>
          <cell r="I357">
            <v>0</v>
          </cell>
          <cell r="J357">
            <v>0</v>
          </cell>
        </row>
        <row r="358">
          <cell r="H358">
            <v>0</v>
          </cell>
          <cell r="I358">
            <v>0</v>
          </cell>
          <cell r="J358">
            <v>0</v>
          </cell>
        </row>
        <row r="359">
          <cell r="H359">
            <v>0</v>
          </cell>
          <cell r="I359">
            <v>0</v>
          </cell>
          <cell r="J359">
            <v>0</v>
          </cell>
        </row>
        <row r="360">
          <cell r="H360">
            <v>0</v>
          </cell>
          <cell r="I360">
            <v>0</v>
          </cell>
          <cell r="J360">
            <v>0</v>
          </cell>
        </row>
        <row r="361">
          <cell r="H361">
            <v>0</v>
          </cell>
          <cell r="I361">
            <v>0</v>
          </cell>
          <cell r="J361">
            <v>0</v>
          </cell>
        </row>
        <row r="362">
          <cell r="H362">
            <v>0</v>
          </cell>
          <cell r="I362">
            <v>0</v>
          </cell>
          <cell r="J362">
            <v>0</v>
          </cell>
        </row>
        <row r="363">
          <cell r="H363">
            <v>0</v>
          </cell>
          <cell r="I363">
            <v>0</v>
          </cell>
          <cell r="J363">
            <v>0</v>
          </cell>
        </row>
        <row r="364">
          <cell r="H364">
            <v>0</v>
          </cell>
          <cell r="I364">
            <v>0</v>
          </cell>
          <cell r="J364">
            <v>0</v>
          </cell>
        </row>
        <row r="365">
          <cell r="H365">
            <v>0</v>
          </cell>
          <cell r="I365">
            <v>0</v>
          </cell>
          <cell r="J365">
            <v>0</v>
          </cell>
        </row>
        <row r="366">
          <cell r="H366">
            <v>0</v>
          </cell>
          <cell r="I366">
            <v>0</v>
          </cell>
          <cell r="J366">
            <v>0</v>
          </cell>
        </row>
        <row r="367">
          <cell r="H367">
            <v>0</v>
          </cell>
          <cell r="I367">
            <v>0</v>
          </cell>
          <cell r="J367">
            <v>0</v>
          </cell>
        </row>
        <row r="368">
          <cell r="H368">
            <v>0</v>
          </cell>
          <cell r="I368">
            <v>0</v>
          </cell>
          <cell r="J368">
            <v>0</v>
          </cell>
        </row>
        <row r="369">
          <cell r="H369">
            <v>0</v>
          </cell>
          <cell r="I369">
            <v>0</v>
          </cell>
          <cell r="J369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">
          <cell r="K6">
            <v>41.08584005869406</v>
          </cell>
          <cell r="L6">
            <v>51.408925874755006</v>
          </cell>
          <cell r="M6">
            <v>43.501227356057548</v>
          </cell>
          <cell r="N6">
            <v>56.088950476756082</v>
          </cell>
          <cell r="O6">
            <v>72.029597616475129</v>
          </cell>
          <cell r="P6">
            <v>26.188293832656804</v>
          </cell>
          <cell r="W6">
            <v>50.142069196055488</v>
          </cell>
        </row>
      </sheetData>
      <sheetData sheetId="20"/>
      <sheetData sheetId="21"/>
      <sheetData sheetId="22"/>
      <sheetData sheetId="23">
        <row r="12">
          <cell r="F12">
            <v>200</v>
          </cell>
        </row>
        <row r="13">
          <cell r="F13">
            <v>189</v>
          </cell>
        </row>
        <row r="14">
          <cell r="F14">
            <v>195</v>
          </cell>
        </row>
        <row r="15">
          <cell r="F15">
            <v>334</v>
          </cell>
        </row>
        <row r="16">
          <cell r="F16">
            <v>349</v>
          </cell>
        </row>
        <row r="17">
          <cell r="F17">
            <v>304</v>
          </cell>
        </row>
      </sheetData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25890-EFC3-5743-8660-3A767BDA9F8C}">
  <dimension ref="B1:DC368"/>
  <sheetViews>
    <sheetView zoomScale="75" workbookViewId="0">
      <selection activeCell="O169" sqref="O169"/>
    </sheetView>
  </sheetViews>
  <sheetFormatPr baseColWidth="10" defaultRowHeight="17"/>
  <cols>
    <col min="1" max="1" width="2.83203125" style="1" customWidth="1"/>
    <col min="2" max="2" width="7.1640625" style="1" bestFit="1" customWidth="1"/>
    <col min="3" max="3" width="8.83203125" style="1" bestFit="1" customWidth="1"/>
    <col min="4" max="4" width="8.83203125" style="1" customWidth="1"/>
    <col min="5" max="5" width="8.83203125" style="1" bestFit="1" customWidth="1"/>
    <col min="6" max="6" width="6.1640625" style="15" bestFit="1" customWidth="1"/>
    <col min="7" max="7" width="7.83203125" style="10" bestFit="1" customWidth="1"/>
    <col min="8" max="8" width="10.6640625" style="1" bestFit="1" customWidth="1"/>
    <col min="9" max="9" width="11" style="1" bestFit="1" customWidth="1"/>
    <col min="10" max="10" width="6.1640625" style="19" bestFit="1" customWidth="1"/>
    <col min="11" max="11" width="9.6640625" style="10" bestFit="1" customWidth="1"/>
    <col min="12" max="13" width="9.6640625" style="1" bestFit="1" customWidth="1"/>
    <col min="14" max="14" width="7" style="1" bestFit="1" customWidth="1"/>
    <col min="15" max="15" width="10.6640625" style="1" bestFit="1" customWidth="1"/>
    <col min="16" max="17" width="11" style="1" bestFit="1" customWidth="1"/>
    <col min="18" max="18" width="7" style="19" customWidth="1"/>
    <col min="19" max="19" width="2.83203125" style="1" customWidth="1"/>
    <col min="20" max="20" width="7.1640625" style="1" bestFit="1" customWidth="1"/>
    <col min="21" max="21" width="8.83203125" style="1" bestFit="1" customWidth="1"/>
    <col min="22" max="22" width="8.83203125" style="1" customWidth="1"/>
    <col min="23" max="23" width="8.83203125" style="1" bestFit="1" customWidth="1"/>
    <col min="24" max="24" width="6.1640625" style="15" bestFit="1" customWidth="1"/>
    <col min="25" max="25" width="7.83203125" style="10" bestFit="1" customWidth="1"/>
    <col min="26" max="26" width="10.6640625" style="1" bestFit="1" customWidth="1"/>
    <col min="27" max="27" width="11" style="1" bestFit="1" customWidth="1"/>
    <col min="28" max="28" width="6.1640625" style="19" bestFit="1" customWidth="1"/>
    <col min="29" max="29" width="9.6640625" style="10" bestFit="1" customWidth="1"/>
    <col min="30" max="31" width="9.6640625" style="1" bestFit="1" customWidth="1"/>
    <col min="32" max="32" width="7" style="1" bestFit="1" customWidth="1"/>
    <col min="33" max="33" width="10.6640625" style="1" bestFit="1" customWidth="1"/>
    <col min="34" max="35" width="11" style="1" bestFit="1" customWidth="1"/>
    <col min="36" max="36" width="7" style="19" customWidth="1"/>
    <col min="37" max="37" width="3" style="1" customWidth="1"/>
    <col min="38" max="38" width="7.1640625" style="1" bestFit="1" customWidth="1"/>
    <col min="39" max="39" width="8.83203125" style="1" bestFit="1" customWidth="1"/>
    <col min="40" max="40" width="8.83203125" style="1" customWidth="1"/>
    <col min="41" max="41" width="9" style="1" bestFit="1" customWidth="1"/>
    <col min="42" max="42" width="6.33203125" style="15" bestFit="1" customWidth="1"/>
    <col min="43" max="43" width="7.83203125" style="10" bestFit="1" customWidth="1"/>
    <col min="44" max="44" width="10.83203125" style="1" bestFit="1" customWidth="1"/>
    <col min="45" max="45" width="11.1640625" style="1" bestFit="1" customWidth="1"/>
    <col min="46" max="46" width="6.33203125" style="19" bestFit="1" customWidth="1"/>
    <col min="47" max="47" width="9.6640625" style="10" bestFit="1" customWidth="1"/>
    <col min="48" max="49" width="9.83203125" style="1" bestFit="1" customWidth="1"/>
    <col min="50" max="50" width="7.1640625" style="1" bestFit="1" customWidth="1"/>
    <col min="51" max="51" width="10.6640625" style="1" bestFit="1" customWidth="1"/>
    <col min="52" max="53" width="11.1640625" style="1" bestFit="1" customWidth="1"/>
    <col min="54" max="54" width="7" style="19" customWidth="1"/>
    <col min="55" max="55" width="2.6640625" style="1" customWidth="1"/>
    <col min="56" max="56" width="7.33203125" style="1" bestFit="1" customWidth="1"/>
    <col min="57" max="57" width="9" style="1" bestFit="1" customWidth="1"/>
    <col min="58" max="58" width="8.83203125" style="1" customWidth="1"/>
    <col min="59" max="59" width="9" style="1" bestFit="1" customWidth="1"/>
    <col min="60" max="60" width="6.33203125" style="15" bestFit="1" customWidth="1"/>
    <col min="61" max="61" width="7.83203125" style="10" bestFit="1" customWidth="1"/>
    <col min="62" max="62" width="10.83203125" style="1" bestFit="1" customWidth="1"/>
    <col min="63" max="63" width="11.1640625" style="1" bestFit="1" customWidth="1"/>
    <col min="64" max="64" width="6.33203125" style="19" bestFit="1" customWidth="1"/>
    <col min="65" max="65" width="9.6640625" style="10" bestFit="1" customWidth="1"/>
    <col min="66" max="67" width="9.83203125" style="1" bestFit="1" customWidth="1"/>
    <col min="68" max="68" width="7.1640625" style="1" bestFit="1" customWidth="1"/>
    <col min="69" max="69" width="10.6640625" style="1" bestFit="1" customWidth="1"/>
    <col min="70" max="71" width="11.1640625" style="1" bestFit="1" customWidth="1"/>
    <col min="72" max="72" width="7" style="19" customWidth="1"/>
    <col min="73" max="73" width="2.83203125" style="1" customWidth="1"/>
    <col min="74" max="74" width="10.83203125" style="1"/>
    <col min="75" max="77" width="11" style="1" bestFit="1" customWidth="1"/>
    <col min="78" max="78" width="10.83203125" style="1"/>
    <col min="79" max="81" width="11" style="1" bestFit="1" customWidth="1"/>
    <col min="82" max="82" width="10.83203125" style="1"/>
    <col min="83" max="83" width="11" style="1" bestFit="1" customWidth="1"/>
    <col min="84" max="84" width="11.1640625" style="1" bestFit="1" customWidth="1"/>
    <col min="85" max="85" width="11" style="1" bestFit="1" customWidth="1"/>
    <col min="86" max="86" width="2.83203125" style="1" customWidth="1"/>
    <col min="87" max="87" width="10.83203125" style="1"/>
    <col min="88" max="90" width="11" style="1" bestFit="1" customWidth="1"/>
    <col min="91" max="91" width="10.83203125" style="1"/>
    <col min="92" max="94" width="11" style="1" bestFit="1" customWidth="1"/>
    <col min="95" max="95" width="10.83203125" style="1"/>
    <col min="96" max="96" width="11" style="1" bestFit="1" customWidth="1"/>
    <col min="97" max="97" width="11.1640625" style="1" bestFit="1" customWidth="1"/>
    <col min="98" max="98" width="11" style="1" bestFit="1" customWidth="1"/>
    <col min="99" max="99" width="2.83203125" style="1" customWidth="1"/>
    <col min="100" max="106" width="10.83203125" style="1"/>
    <col min="107" max="107" width="12.1640625" style="1" bestFit="1" customWidth="1"/>
    <col min="108" max="16384" width="10.83203125" style="1"/>
  </cols>
  <sheetData>
    <row r="1" spans="2:107" ht="18" thickBot="1"/>
    <row r="2" spans="2:107">
      <c r="B2" s="27" t="s">
        <v>68</v>
      </c>
      <c r="C2" s="28"/>
      <c r="D2" s="28"/>
      <c r="E2" s="28"/>
      <c r="F2" s="29"/>
      <c r="G2" s="28"/>
      <c r="H2" s="28"/>
      <c r="I2" s="28"/>
      <c r="J2" s="29"/>
      <c r="K2" s="28"/>
      <c r="L2" s="28"/>
      <c r="M2" s="28"/>
      <c r="N2" s="28"/>
      <c r="O2" s="35"/>
      <c r="P2" s="35"/>
      <c r="Q2" s="35"/>
      <c r="R2" s="36"/>
      <c r="T2" s="27" t="s">
        <v>72</v>
      </c>
      <c r="U2" s="28"/>
      <c r="V2" s="28"/>
      <c r="W2" s="28"/>
      <c r="X2" s="29"/>
      <c r="Y2" s="28"/>
      <c r="Z2" s="28"/>
      <c r="AA2" s="28"/>
      <c r="AB2" s="29"/>
      <c r="AC2" s="28"/>
      <c r="AD2" s="28"/>
      <c r="AE2" s="28"/>
      <c r="AF2" s="28"/>
      <c r="AG2" s="35"/>
      <c r="AH2" s="35"/>
      <c r="AI2" s="35"/>
      <c r="AJ2" s="36"/>
      <c r="AL2" s="27" t="s">
        <v>74</v>
      </c>
      <c r="AM2" s="28"/>
      <c r="AN2" s="28"/>
      <c r="AO2" s="28"/>
      <c r="AP2" s="29"/>
      <c r="AQ2" s="28"/>
      <c r="AR2" s="28"/>
      <c r="AS2" s="28"/>
      <c r="AT2" s="29"/>
      <c r="AU2" s="28"/>
      <c r="AV2" s="28"/>
      <c r="AW2" s="28"/>
      <c r="AX2" s="28"/>
      <c r="AY2" s="35"/>
      <c r="AZ2" s="35"/>
      <c r="BA2" s="35"/>
      <c r="BB2" s="36"/>
      <c r="BD2" s="27" t="s">
        <v>73</v>
      </c>
      <c r="BE2" s="28"/>
      <c r="BF2" s="28"/>
      <c r="BG2" s="28"/>
      <c r="BH2" s="29"/>
      <c r="BI2" s="28"/>
      <c r="BJ2" s="28"/>
      <c r="BK2" s="28"/>
      <c r="BL2" s="29"/>
      <c r="BM2" s="28"/>
      <c r="BN2" s="28"/>
      <c r="BO2" s="28"/>
      <c r="BP2" s="28"/>
      <c r="BQ2" s="35"/>
      <c r="BR2" s="35"/>
      <c r="BS2" s="35"/>
      <c r="BT2" s="36"/>
      <c r="BV2" s="27" t="s">
        <v>76</v>
      </c>
      <c r="BW2" s="28"/>
      <c r="BX2" s="28"/>
      <c r="BY2" s="29"/>
      <c r="BZ2" s="28"/>
      <c r="CA2" s="28"/>
      <c r="CB2" s="28"/>
      <c r="CC2" s="28"/>
      <c r="CD2" s="35"/>
      <c r="CE2" s="35"/>
      <c r="CF2" s="35"/>
      <c r="CG2" s="36"/>
      <c r="CI2" s="27" t="s">
        <v>77</v>
      </c>
      <c r="CJ2" s="28"/>
      <c r="CK2" s="28"/>
      <c r="CL2" s="29"/>
      <c r="CM2" s="28"/>
      <c r="CN2" s="28"/>
      <c r="CO2" s="28"/>
      <c r="CP2" s="28"/>
      <c r="CQ2" s="35"/>
      <c r="CR2" s="35"/>
      <c r="CS2" s="35"/>
      <c r="CT2" s="36"/>
      <c r="CV2" s="27" t="s">
        <v>78</v>
      </c>
      <c r="CW2" s="28"/>
      <c r="CX2" s="28"/>
      <c r="CY2" s="28"/>
      <c r="CZ2" s="35"/>
      <c r="DA2" s="35"/>
      <c r="DB2" s="35"/>
      <c r="DC2" s="36"/>
    </row>
    <row r="3" spans="2:107" s="4" customFormat="1">
      <c r="B3" s="2" t="s">
        <v>0</v>
      </c>
      <c r="C3" s="3">
        <v>2025</v>
      </c>
      <c r="D3" s="3"/>
      <c r="E3" s="3">
        <v>2026</v>
      </c>
      <c r="F3" s="16" t="s">
        <v>69</v>
      </c>
      <c r="G3" s="11" t="s">
        <v>1</v>
      </c>
      <c r="H3" s="3">
        <v>2025</v>
      </c>
      <c r="I3" s="3">
        <v>2026</v>
      </c>
      <c r="J3" s="16" t="s">
        <v>69</v>
      </c>
      <c r="K3" s="3" t="s">
        <v>2</v>
      </c>
      <c r="L3" s="3">
        <v>2025</v>
      </c>
      <c r="M3" s="3">
        <v>2026</v>
      </c>
      <c r="N3" s="16" t="s">
        <v>69</v>
      </c>
      <c r="O3" s="3" t="s">
        <v>70</v>
      </c>
      <c r="P3" s="3">
        <v>2025</v>
      </c>
      <c r="Q3" s="30">
        <v>2026</v>
      </c>
      <c r="R3" s="37" t="s">
        <v>69</v>
      </c>
      <c r="T3" s="2" t="s">
        <v>0</v>
      </c>
      <c r="U3" s="3">
        <v>2025</v>
      </c>
      <c r="V3" s="3"/>
      <c r="W3" s="3">
        <v>2026</v>
      </c>
      <c r="X3" s="16" t="s">
        <v>69</v>
      </c>
      <c r="Y3" s="11" t="s">
        <v>1</v>
      </c>
      <c r="Z3" s="3">
        <v>2025</v>
      </c>
      <c r="AA3" s="3">
        <v>2026</v>
      </c>
      <c r="AB3" s="16" t="s">
        <v>69</v>
      </c>
      <c r="AC3" s="3" t="s">
        <v>2</v>
      </c>
      <c r="AD3" s="3">
        <v>2025</v>
      </c>
      <c r="AE3" s="3">
        <v>2026</v>
      </c>
      <c r="AF3" s="16" t="s">
        <v>69</v>
      </c>
      <c r="AG3" s="3" t="s">
        <v>70</v>
      </c>
      <c r="AH3" s="3">
        <v>2025</v>
      </c>
      <c r="AI3" s="30">
        <v>2026</v>
      </c>
      <c r="AJ3" s="37" t="s">
        <v>69</v>
      </c>
      <c r="AL3" s="2" t="s">
        <v>0</v>
      </c>
      <c r="AM3" s="3">
        <v>2025</v>
      </c>
      <c r="AN3" s="3"/>
      <c r="AO3" s="3">
        <v>2026</v>
      </c>
      <c r="AP3" s="16" t="s">
        <v>69</v>
      </c>
      <c r="AQ3" s="11" t="s">
        <v>1</v>
      </c>
      <c r="AR3" s="3">
        <v>2025</v>
      </c>
      <c r="AS3" s="3">
        <v>2026</v>
      </c>
      <c r="AT3" s="16" t="s">
        <v>69</v>
      </c>
      <c r="AU3" s="3" t="s">
        <v>2</v>
      </c>
      <c r="AV3" s="3">
        <v>2025</v>
      </c>
      <c r="AW3" s="3">
        <v>2026</v>
      </c>
      <c r="AX3" s="16" t="s">
        <v>69</v>
      </c>
      <c r="AY3" s="3" t="s">
        <v>70</v>
      </c>
      <c r="AZ3" s="3">
        <v>2025</v>
      </c>
      <c r="BA3" s="30">
        <v>2026</v>
      </c>
      <c r="BB3" s="37" t="s">
        <v>69</v>
      </c>
      <c r="BD3" s="2" t="s">
        <v>0</v>
      </c>
      <c r="BE3" s="3">
        <v>2025</v>
      </c>
      <c r="BF3" s="3"/>
      <c r="BG3" s="3">
        <v>2026</v>
      </c>
      <c r="BH3" s="16" t="s">
        <v>69</v>
      </c>
      <c r="BI3" s="11" t="s">
        <v>1</v>
      </c>
      <c r="BJ3" s="3">
        <v>2025</v>
      </c>
      <c r="BK3" s="3">
        <v>2026</v>
      </c>
      <c r="BL3" s="16" t="s">
        <v>69</v>
      </c>
      <c r="BM3" s="3" t="s">
        <v>2</v>
      </c>
      <c r="BN3" s="3">
        <v>2025</v>
      </c>
      <c r="BO3" s="3">
        <v>2026</v>
      </c>
      <c r="BP3" s="16" t="s">
        <v>69</v>
      </c>
      <c r="BQ3" s="3" t="s">
        <v>70</v>
      </c>
      <c r="BR3" s="3">
        <v>2025</v>
      </c>
      <c r="BS3" s="30">
        <v>2026</v>
      </c>
      <c r="BT3" s="37" t="s">
        <v>69</v>
      </c>
      <c r="BV3" s="46" t="s">
        <v>1</v>
      </c>
      <c r="BW3" s="3">
        <v>2025</v>
      </c>
      <c r="BX3" s="3">
        <v>2026</v>
      </c>
      <c r="BY3" s="16" t="s">
        <v>75</v>
      </c>
      <c r="BZ3" s="3" t="s">
        <v>2</v>
      </c>
      <c r="CA3" s="3">
        <v>2025</v>
      </c>
      <c r="CB3" s="3">
        <v>2026</v>
      </c>
      <c r="CC3" s="16" t="s">
        <v>75</v>
      </c>
      <c r="CD3" s="3" t="s">
        <v>70</v>
      </c>
      <c r="CE3" s="3">
        <v>2025</v>
      </c>
      <c r="CF3" s="30">
        <v>2026</v>
      </c>
      <c r="CG3" s="37" t="s">
        <v>75</v>
      </c>
      <c r="CI3" s="46" t="s">
        <v>1</v>
      </c>
      <c r="CJ3" s="3">
        <v>2025</v>
      </c>
      <c r="CK3" s="3">
        <v>2026</v>
      </c>
      <c r="CL3" s="16" t="s">
        <v>75</v>
      </c>
      <c r="CM3" s="3" t="s">
        <v>2</v>
      </c>
      <c r="CN3" s="3">
        <v>2025</v>
      </c>
      <c r="CO3" s="3">
        <v>2026</v>
      </c>
      <c r="CP3" s="16" t="s">
        <v>75</v>
      </c>
      <c r="CQ3" s="3" t="s">
        <v>70</v>
      </c>
      <c r="CR3" s="3">
        <v>2025</v>
      </c>
      <c r="CS3" s="30">
        <v>2026</v>
      </c>
      <c r="CT3" s="37" t="s">
        <v>75</v>
      </c>
      <c r="CV3" s="2" t="s">
        <v>2</v>
      </c>
      <c r="CW3" s="3">
        <v>2025</v>
      </c>
      <c r="CX3" s="3">
        <v>2026</v>
      </c>
      <c r="CY3" s="16" t="s">
        <v>75</v>
      </c>
      <c r="CZ3" s="3" t="s">
        <v>70</v>
      </c>
      <c r="DA3" s="3">
        <v>2025</v>
      </c>
      <c r="DB3" s="30">
        <v>2026</v>
      </c>
      <c r="DC3" s="37" t="s">
        <v>75</v>
      </c>
    </row>
    <row r="4" spans="2:107">
      <c r="B4" s="5">
        <v>46023</v>
      </c>
      <c r="C4" s="21">
        <f>IF([1]CHAMNORD!H5=0,"",[1]CHAMNORD!H5)</f>
        <v>38329.919999999998</v>
      </c>
      <c r="D4" s="22">
        <f t="shared" ref="D4:D67" si="0">IF(E3="","",C4)</f>
        <v>38329.919999999998</v>
      </c>
      <c r="E4" s="21">
        <f>IF([2]CHAMNORD!H6=0,"",[2]CHAMNORD!H6)</f>
        <v>35452.730000000003</v>
      </c>
      <c r="F4" s="17">
        <f t="shared" ref="F4:F67" si="1">IF(E4="","",(E4/C5)-1)</f>
        <v>0.43517457382240754</v>
      </c>
      <c r="G4" s="12" t="s">
        <v>15</v>
      </c>
      <c r="H4" s="7">
        <f>SUM(C4:C8)</f>
        <v>147992.31999999998</v>
      </c>
      <c r="I4" s="7">
        <f>SUM(E4:E7)</f>
        <v>119366.70000000001</v>
      </c>
      <c r="J4" s="17">
        <f>IF(I4="","",(I4/H4)-1)</f>
        <v>-0.19342638861259809</v>
      </c>
      <c r="K4" s="12" t="s">
        <v>3</v>
      </c>
      <c r="L4" s="7">
        <f>SUM(C4:C34)</f>
        <v>691983.69000000006</v>
      </c>
      <c r="M4" s="7">
        <f>IF(SUM(E4:E34)=0,"",SUM(E4:E34))</f>
        <v>658679.48999999976</v>
      </c>
      <c r="N4" s="17">
        <f>IF(M4="","",(M4/L4)-1)</f>
        <v>-4.8128591007687294E-2</v>
      </c>
      <c r="O4" s="32" t="s">
        <v>71</v>
      </c>
      <c r="P4" s="31">
        <f>SUM(D4:D368)</f>
        <v>3570261.6799999988</v>
      </c>
      <c r="Q4" s="31">
        <f>SUM(E4:E368)</f>
        <v>3299058.8399999971</v>
      </c>
      <c r="R4" s="38">
        <f t="shared" ref="R4" si="2">IF(Q4="","",(Q4/P4)-1)</f>
        <v>-7.596161410779334E-2</v>
      </c>
      <c r="T4" s="5">
        <v>46023</v>
      </c>
      <c r="U4" s="21">
        <f>IF([1]CHAMNORD!I5=0,"",[1]CHAMNORD!I5)</f>
        <v>37715.519999999997</v>
      </c>
      <c r="V4" s="22">
        <f t="shared" ref="V4:V67" si="3">IF(W3="","",U4)</f>
        <v>37715.519999999997</v>
      </c>
      <c r="W4" s="21">
        <f>IF([2]CHAMNORD!I6=0,"",[2]CHAMNORD!I6)</f>
        <v>34755.879999999997</v>
      </c>
      <c r="X4" s="17">
        <f t="shared" ref="X4:X67" si="4">IF(W4="","",(W4/U5)-1)</f>
        <v>0.43653412007641479</v>
      </c>
      <c r="Y4" s="12" t="s">
        <v>15</v>
      </c>
      <c r="Z4" s="7">
        <f>SUM(U4:U8)</f>
        <v>145370.79</v>
      </c>
      <c r="AA4" s="7">
        <f>SUM(W4:W7)</f>
        <v>117485.39</v>
      </c>
      <c r="AB4" s="17">
        <f>IF(AA4="","",(AA4/Z4)-1)</f>
        <v>-0.19182258003825947</v>
      </c>
      <c r="AC4" s="12" t="s">
        <v>3</v>
      </c>
      <c r="AD4" s="7">
        <f>SUM(U4:U34)</f>
        <v>683040.42</v>
      </c>
      <c r="AE4" s="7">
        <f>IF(SUM(W4:W34)=0,"",SUM(W4:W34))</f>
        <v>649651</v>
      </c>
      <c r="AF4" s="17">
        <f>IF(AE4="","",(AE4/AD4)-1)</f>
        <v>-4.8883519953328736E-2</v>
      </c>
      <c r="AG4" s="32" t="s">
        <v>71</v>
      </c>
      <c r="AH4" s="31">
        <f>SUM(V4:V368)</f>
        <v>3525749.7299999972</v>
      </c>
      <c r="AI4" s="31">
        <f>SUM(W4:W368)</f>
        <v>3247947.1599999992</v>
      </c>
      <c r="AJ4" s="38">
        <f t="shared" ref="AJ4" si="5">IF(AI4="","",(AI4/AH4)-1)</f>
        <v>-7.8792481393736957E-2</v>
      </c>
      <c r="AL4" s="5">
        <v>46023</v>
      </c>
      <c r="AM4" s="21">
        <f>IF([1]CHAMNORD!J5=0,"",[1]CHAMNORD!J5)</f>
        <v>1783</v>
      </c>
      <c r="AN4" s="22">
        <f t="shared" ref="AN4:AN67" si="6">IF(AO3="","",AM4)</f>
        <v>1783</v>
      </c>
      <c r="AO4" s="21">
        <f>IF([2]CHAMNORD!J6=0,"",[2]CHAMNORD!J6)</f>
        <v>1539</v>
      </c>
      <c r="AP4" s="17">
        <f t="shared" ref="AP4:AP67" si="7">IF(AO4="","",(AO4/AM5)-1)</f>
        <v>0.25223759153783565</v>
      </c>
      <c r="AQ4" s="12" t="s">
        <v>15</v>
      </c>
      <c r="AR4" s="7">
        <f>SUM(AM4:AM8)</f>
        <v>7045</v>
      </c>
      <c r="AS4" s="7">
        <f>SUM(AO4:AO7)</f>
        <v>5384</v>
      </c>
      <c r="AT4" s="17">
        <f>IF(AS4="","",(AS4/AR4)-1)</f>
        <v>-0.23577004968062454</v>
      </c>
      <c r="AU4" s="12" t="s">
        <v>3</v>
      </c>
      <c r="AV4" s="7">
        <f>SUM(AM4:AM34)</f>
        <v>38053</v>
      </c>
      <c r="AW4" s="7">
        <f>IF(SUM(AO4:AO34)=0,"",SUM(AO4:AO34))</f>
        <v>34075</v>
      </c>
      <c r="AX4" s="17">
        <f>IF(AW4="","",(AW4/AV4)-1)</f>
        <v>-0.10453840695871552</v>
      </c>
      <c r="AY4" s="32" t="s">
        <v>71</v>
      </c>
      <c r="AZ4" s="31">
        <f>SUM(AN4:AN368)</f>
        <v>198083</v>
      </c>
      <c r="BA4" s="31">
        <f>SUM(AO4:AO368)</f>
        <v>173507</v>
      </c>
      <c r="BB4" s="38">
        <f t="shared" ref="BB4" si="8">IF(BA4="","",(BA4/AZ4)-1)</f>
        <v>-0.12406920331376237</v>
      </c>
      <c r="BD4" s="5">
        <v>46023</v>
      </c>
      <c r="BE4" s="41">
        <f t="shared" ref="BE4:BE67" si="9">IFERROR(C4/AM4,"")</f>
        <v>21.497431295569264</v>
      </c>
      <c r="BF4" s="41">
        <f t="shared" ref="BF4:BF67" si="10">IF(BG3="","",BE4)</f>
        <v>21.497431295569264</v>
      </c>
      <c r="BG4" s="41">
        <f t="shared" ref="BG4:BG67" si="11">IFERROR(E4/AO4,"")</f>
        <v>23.036211825860949</v>
      </c>
      <c r="BH4" s="17">
        <f t="shared" ref="BH4:BH67" si="12">IF(BG4="","",(BG4/BE5)-1)</f>
        <v>0.14608807747091546</v>
      </c>
      <c r="BI4" s="12" t="s">
        <v>15</v>
      </c>
      <c r="BJ4" s="45">
        <f t="shared" ref="BJ4:BJ35" si="13">IFERROR(H4/AR4,"")</f>
        <v>21.006716820440026</v>
      </c>
      <c r="BK4" s="45">
        <f t="shared" ref="BK4:BK35" si="14">IFERROR(I4/AS4,"")</f>
        <v>22.170635215453196</v>
      </c>
      <c r="BL4" s="17">
        <f>IF(BK4="","",(BK4/BJ4)-1)</f>
        <v>5.540696363748987E-2</v>
      </c>
      <c r="BM4" s="12" t="s">
        <v>3</v>
      </c>
      <c r="BN4" s="45">
        <f t="shared" ref="BN4:BN15" si="15">IFERROR(L4/AV4,"")</f>
        <v>18.184734186529315</v>
      </c>
      <c r="BO4" s="45">
        <f t="shared" ref="BO4:BO15" si="16">IFERROR(M4/AW4,"")</f>
        <v>19.330285840058686</v>
      </c>
      <c r="BP4" s="17">
        <f>IF(BO4="","",(BO4/BN4)-1)</f>
        <v>6.2995237751561906E-2</v>
      </c>
      <c r="BQ4" s="32" t="s">
        <v>71</v>
      </c>
      <c r="BR4" s="45">
        <f>IFERROR(P4/AZ4,"")</f>
        <v>18.02406910234598</v>
      </c>
      <c r="BS4" s="45">
        <f>IFERROR(Q4/BA4,"")</f>
        <v>19.013981222659588</v>
      </c>
      <c r="BT4" s="38">
        <f t="shared" ref="BT4" si="17">IF(BS4="","",(BS4/BR4)-1)</f>
        <v>5.4921678045761757E-2</v>
      </c>
      <c r="BV4" s="47" t="s">
        <v>15</v>
      </c>
      <c r="BW4" s="45"/>
      <c r="BX4" s="45"/>
      <c r="BY4" s="50">
        <f>BX4-BW4</f>
        <v>0</v>
      </c>
      <c r="BZ4" s="12" t="s">
        <v>3</v>
      </c>
      <c r="CA4" s="53">
        <v>346</v>
      </c>
      <c r="CB4" s="53">
        <v>333</v>
      </c>
      <c r="CC4" s="50">
        <f>CB4-CA4</f>
        <v>-13</v>
      </c>
      <c r="CD4" s="32" t="s">
        <v>71</v>
      </c>
      <c r="CE4" s="4">
        <v>387</v>
      </c>
      <c r="CF4" s="4">
        <v>285</v>
      </c>
      <c r="CG4" s="52">
        <f>CF4-CE4</f>
        <v>-102</v>
      </c>
      <c r="CI4" s="47" t="s">
        <v>15</v>
      </c>
      <c r="CJ4" s="45"/>
      <c r="CK4" s="45"/>
      <c r="CL4" s="50">
        <f>CK4-CJ4</f>
        <v>0</v>
      </c>
      <c r="CM4" s="12" t="s">
        <v>3</v>
      </c>
      <c r="CN4" s="53">
        <v>382</v>
      </c>
      <c r="CO4" s="53">
        <v>349</v>
      </c>
      <c r="CP4" s="50">
        <f>CO4-CN4</f>
        <v>-33</v>
      </c>
      <c r="CQ4" s="32" t="s">
        <v>71</v>
      </c>
      <c r="CR4" s="4">
        <v>376</v>
      </c>
      <c r="CS4" s="4">
        <v>273</v>
      </c>
      <c r="CT4" s="52">
        <f>CS4-CR4</f>
        <v>-103</v>
      </c>
      <c r="CV4" s="47" t="s">
        <v>3</v>
      </c>
      <c r="CW4" s="55">
        <v>34</v>
      </c>
      <c r="CX4" s="55">
        <f>[2]OPH!$K$6</f>
        <v>41.08584005869406</v>
      </c>
      <c r="CY4" s="58">
        <f>CX4-CW4</f>
        <v>7.0858400586940604</v>
      </c>
      <c r="CZ4" s="32" t="s">
        <v>71</v>
      </c>
      <c r="DA4" s="4">
        <v>49</v>
      </c>
      <c r="DB4" s="60">
        <f>[2]OPH!$W$6</f>
        <v>50.142069196055488</v>
      </c>
      <c r="DC4" s="62">
        <f>DB4-DA4</f>
        <v>1.1420691960554876</v>
      </c>
    </row>
    <row r="5" spans="2:107">
      <c r="B5" s="5">
        <v>46024</v>
      </c>
      <c r="C5" s="23">
        <f>IF([1]CHAMNORD!H6=0,"",[1]CHAMNORD!H6)</f>
        <v>24702.73</v>
      </c>
      <c r="D5" s="22">
        <f t="shared" si="0"/>
        <v>24702.73</v>
      </c>
      <c r="E5" s="23">
        <f>IF([2]CHAMNORD!H7=0,"",[2]CHAMNORD!H7)</f>
        <v>29777.37</v>
      </c>
      <c r="F5" s="17">
        <f t="shared" si="1"/>
        <v>-1.4838934436670059E-2</v>
      </c>
      <c r="G5" s="12" t="s">
        <v>16</v>
      </c>
      <c r="H5" s="7">
        <f>SUM(C9:C15)</f>
        <v>151971.37</v>
      </c>
      <c r="I5" s="7">
        <f>SUM(E8:E14)</f>
        <v>138238.84</v>
      </c>
      <c r="J5" s="17">
        <f t="shared" ref="J5:J56" si="18">IF(I5="","",(I5/H5)-1)</f>
        <v>-9.0362612378897422E-2</v>
      </c>
      <c r="K5" s="12" t="s">
        <v>4</v>
      </c>
      <c r="L5" s="6">
        <f>SUM(C35:C62)</f>
        <v>629631.20000000019</v>
      </c>
      <c r="M5" s="7">
        <f>IF(SUM(E35:E62)=0,"",SUM(E35:E62))</f>
        <v>607702.89000000013</v>
      </c>
      <c r="N5" s="17">
        <f t="shared" ref="N5:N15" si="19">IF(M5="","",(M5/L5)-1)</f>
        <v>-3.4827229019146477E-2</v>
      </c>
      <c r="R5" s="39"/>
      <c r="T5" s="5">
        <v>46024</v>
      </c>
      <c r="U5" s="23">
        <f>IF([1]CHAMNORD!I6=0,"",[1]CHAMNORD!I6)</f>
        <v>24194.26</v>
      </c>
      <c r="V5" s="22">
        <f t="shared" si="3"/>
        <v>24194.26</v>
      </c>
      <c r="W5" s="23">
        <f>IF([2]CHAMNORD!I7=0,"",[2]CHAMNORD!I7)</f>
        <v>29326.59</v>
      </c>
      <c r="X5" s="17">
        <f t="shared" si="4"/>
        <v>-1.0561201526875119E-2</v>
      </c>
      <c r="Y5" s="12" t="s">
        <v>16</v>
      </c>
      <c r="Z5" s="7">
        <f>SUM(U9:U15)</f>
        <v>149710.37</v>
      </c>
      <c r="AA5" s="7">
        <f>SUM(W8:W14)</f>
        <v>136302.65999999997</v>
      </c>
      <c r="AB5" s="17">
        <f t="shared" ref="AB5:AB56" si="20">IF(AA5="","",(AA5/Z5)-1)</f>
        <v>-8.9557657228420573E-2</v>
      </c>
      <c r="AC5" s="12" t="s">
        <v>4</v>
      </c>
      <c r="AD5" s="6">
        <f>SUM(U35:U62)</f>
        <v>622487.03</v>
      </c>
      <c r="AE5" s="7">
        <f>IF(SUM(W35:W62)=0,"",SUM(W35:W62))</f>
        <v>599540.34000000008</v>
      </c>
      <c r="AF5" s="17">
        <f t="shared" ref="AF5:AF15" si="21">IF(AE5="","",(AE5/AD5)-1)</f>
        <v>-3.6862920661977383E-2</v>
      </c>
      <c r="AJ5" s="39"/>
      <c r="AL5" s="5">
        <v>46024</v>
      </c>
      <c r="AM5" s="23">
        <f>IF([1]CHAMNORD!J6=0,"",[1]CHAMNORD!J6)</f>
        <v>1229</v>
      </c>
      <c r="AN5" s="22">
        <f t="shared" si="6"/>
        <v>1229</v>
      </c>
      <c r="AO5" s="23">
        <f>IF([2]CHAMNORD!J7=0,"",[2]CHAMNORD!J7)</f>
        <v>1321</v>
      </c>
      <c r="AP5" s="17">
        <f t="shared" si="7"/>
        <v>-4.066811909949164E-2</v>
      </c>
      <c r="AQ5" s="12" t="s">
        <v>16</v>
      </c>
      <c r="AR5" s="7">
        <f>SUM(AM9:AM15)</f>
        <v>8438</v>
      </c>
      <c r="AS5" s="7">
        <f>SUM(AO8:AO14)</f>
        <v>7335</v>
      </c>
      <c r="AT5" s="17">
        <f t="shared" ref="AT5:AT56" si="22">IF(AS5="","",(AS5/AR5)-1)</f>
        <v>-0.13071817966342736</v>
      </c>
      <c r="AU5" s="12" t="s">
        <v>4</v>
      </c>
      <c r="AV5" s="6">
        <f>SUM(AM35:AM62)</f>
        <v>34497</v>
      </c>
      <c r="AW5" s="7">
        <f>IF(SUM(AO35:AO62)=0,"",SUM(AO35:AO62))</f>
        <v>31123</v>
      </c>
      <c r="AX5" s="17">
        <f t="shared" ref="AX5:AX15" si="23">IF(AW5="","",(AW5/AV5)-1)</f>
        <v>-9.7805606284604441E-2</v>
      </c>
      <c r="BB5" s="39"/>
      <c r="BD5" s="5">
        <v>46024</v>
      </c>
      <c r="BE5" s="42">
        <f t="shared" si="9"/>
        <v>20.099861676159477</v>
      </c>
      <c r="BF5" s="72">
        <f t="shared" si="10"/>
        <v>20.099861676159477</v>
      </c>
      <c r="BG5" s="42">
        <f t="shared" si="11"/>
        <v>22.541536714610142</v>
      </c>
      <c r="BH5" s="17">
        <f t="shared" si="12"/>
        <v>2.6924138743910087E-2</v>
      </c>
      <c r="BI5" s="12" t="s">
        <v>16</v>
      </c>
      <c r="BJ5" s="45">
        <f t="shared" si="13"/>
        <v>18.010354349371887</v>
      </c>
      <c r="BK5" s="45">
        <f t="shared" si="14"/>
        <v>18.846467620995227</v>
      </c>
      <c r="BL5" s="17">
        <f t="shared" ref="BL5:BL56" si="24">IF(BK5="","",(BK5/BJ5)-1)</f>
        <v>4.6424032276327631E-2</v>
      </c>
      <c r="BM5" s="12" t="s">
        <v>4</v>
      </c>
      <c r="BN5" s="45">
        <f t="shared" si="15"/>
        <v>18.251766820303221</v>
      </c>
      <c r="BO5" s="45">
        <f t="shared" si="16"/>
        <v>19.52584551617775</v>
      </c>
      <c r="BP5" s="17">
        <f t="shared" ref="BP5:BP15" si="25">IF(BO5="","",(BO5/BN5)-1)</f>
        <v>6.980577323929249E-2</v>
      </c>
      <c r="BT5" s="39"/>
      <c r="BV5" s="47" t="s">
        <v>16</v>
      </c>
      <c r="BW5" s="45"/>
      <c r="BX5" s="45"/>
      <c r="BY5" s="50">
        <f t="shared" ref="BY5:BY56" si="26">BX5-BW5</f>
        <v>0</v>
      </c>
      <c r="BZ5" s="12" t="s">
        <v>4</v>
      </c>
      <c r="CA5" s="53">
        <v>376</v>
      </c>
      <c r="CB5" s="53">
        <v>283</v>
      </c>
      <c r="CC5" s="50">
        <f t="shared" ref="CC5:CC15" si="27">CB5-CA5</f>
        <v>-93</v>
      </c>
      <c r="CG5" s="39"/>
      <c r="CI5" s="47" t="s">
        <v>16</v>
      </c>
      <c r="CJ5" s="45"/>
      <c r="CK5" s="45"/>
      <c r="CL5" s="50">
        <f t="shared" ref="CL5:CL56" si="28">CK5-CJ5</f>
        <v>0</v>
      </c>
      <c r="CM5" s="12" t="s">
        <v>4</v>
      </c>
      <c r="CN5" s="53">
        <v>410</v>
      </c>
      <c r="CO5" s="53">
        <v>294</v>
      </c>
      <c r="CP5" s="50">
        <f t="shared" ref="CP5:CP15" si="29">CO5-CN5</f>
        <v>-116</v>
      </c>
      <c r="CT5" s="39"/>
      <c r="CV5" s="47" t="s">
        <v>4</v>
      </c>
      <c r="CW5" s="55">
        <v>52</v>
      </c>
      <c r="CX5" s="55">
        <f>[2]OPH!$L$6</f>
        <v>51.408925874755006</v>
      </c>
      <c r="CY5" s="58">
        <f t="shared" ref="CY5:CY15" si="30">CX5-CW5</f>
        <v>-0.59107412524499381</v>
      </c>
      <c r="DC5" s="39"/>
    </row>
    <row r="6" spans="2:107">
      <c r="B6" s="5">
        <v>46025</v>
      </c>
      <c r="C6" s="23">
        <f>IF([1]CHAMNORD!H7=0,"",[1]CHAMNORD!H7)</f>
        <v>30225.89</v>
      </c>
      <c r="D6" s="22">
        <f t="shared" si="0"/>
        <v>30225.89</v>
      </c>
      <c r="E6" s="23">
        <f>IF([2]CHAMNORD!H8=0,"",[2]CHAMNORD!H8)</f>
        <v>30478.2</v>
      </c>
      <c r="F6" s="17">
        <f t="shared" si="1"/>
        <v>-1.0927013189108159E-3</v>
      </c>
      <c r="G6" s="12" t="s">
        <v>17</v>
      </c>
      <c r="H6" s="7">
        <f>SUM(C16:C22)</f>
        <v>151175.76999999999</v>
      </c>
      <c r="I6" s="7">
        <f>SUM(E15:E21)</f>
        <v>144689.71000000002</v>
      </c>
      <c r="J6" s="17">
        <f t="shared" si="18"/>
        <v>-4.290409766062353E-2</v>
      </c>
      <c r="K6" s="12" t="s">
        <v>5</v>
      </c>
      <c r="L6" s="6">
        <f>SUM(C63:C93)</f>
        <v>660508.60000000009</v>
      </c>
      <c r="M6" s="7">
        <f>IF(SUM(E63:E93)=0,"",SUM(E63:E93))</f>
        <v>609514.53000000026</v>
      </c>
      <c r="N6" s="17">
        <f t="shared" si="19"/>
        <v>-7.7204248362549466E-2</v>
      </c>
      <c r="R6" s="39"/>
      <c r="T6" s="5">
        <v>46025</v>
      </c>
      <c r="U6" s="23">
        <f>IF([1]CHAMNORD!I7=0,"",[1]CHAMNORD!I7)</f>
        <v>29639.62</v>
      </c>
      <c r="V6" s="22">
        <f t="shared" si="3"/>
        <v>29639.62</v>
      </c>
      <c r="W6" s="23">
        <f>IF([2]CHAMNORD!I8=0,"",[2]CHAMNORD!I8)</f>
        <v>30086.43</v>
      </c>
      <c r="X6" s="17">
        <f t="shared" si="4"/>
        <v>3.2826474865437216E-3</v>
      </c>
      <c r="Y6" s="12" t="s">
        <v>17</v>
      </c>
      <c r="Z6" s="7">
        <f>SUM(U16:U22)</f>
        <v>149625.22999999998</v>
      </c>
      <c r="AA6" s="7">
        <f>SUM(W15:W21)</f>
        <v>142705.96</v>
      </c>
      <c r="AB6" s="17">
        <f t="shared" si="20"/>
        <v>-4.6244005773625196E-2</v>
      </c>
      <c r="AC6" s="12" t="s">
        <v>5</v>
      </c>
      <c r="AD6" s="6">
        <f>SUM(U63:U93)</f>
        <v>651507.14999999991</v>
      </c>
      <c r="AE6" s="7">
        <f>IF(SUM(W63:W93)=0,"",SUM(W63:W93))</f>
        <v>600376.44999999995</v>
      </c>
      <c r="AF6" s="17">
        <f t="shared" si="21"/>
        <v>-7.8480642921570309E-2</v>
      </c>
      <c r="AJ6" s="39"/>
      <c r="AL6" s="5">
        <v>46025</v>
      </c>
      <c r="AM6" s="23">
        <f>IF([1]CHAMNORD!J7=0,"",[1]CHAMNORD!J7)</f>
        <v>1377</v>
      </c>
      <c r="AN6" s="22">
        <f t="shared" si="6"/>
        <v>1377</v>
      </c>
      <c r="AO6" s="23">
        <f>IF([2]CHAMNORD!J8=0,"",[2]CHAMNORD!J8)</f>
        <v>1444</v>
      </c>
      <c r="AP6" s="17">
        <f t="shared" si="7"/>
        <v>-2.6298044504383E-2</v>
      </c>
      <c r="AQ6" s="12" t="s">
        <v>17</v>
      </c>
      <c r="AR6" s="7">
        <f>SUM(AM16:AM22)</f>
        <v>8548</v>
      </c>
      <c r="AS6" s="7">
        <f>SUM(AO15:AO21)</f>
        <v>7692</v>
      </c>
      <c r="AT6" s="17">
        <f t="shared" si="22"/>
        <v>-0.10014038371548906</v>
      </c>
      <c r="AU6" s="12" t="s">
        <v>5</v>
      </c>
      <c r="AV6" s="6">
        <f>SUM(AM63:AM93)</f>
        <v>36428</v>
      </c>
      <c r="AW6" s="7">
        <f>IF(SUM(AO63:AO93)=0,"",SUM(AO63:AO93))</f>
        <v>32183</v>
      </c>
      <c r="AX6" s="17">
        <f t="shared" si="23"/>
        <v>-0.11653123970572088</v>
      </c>
      <c r="BB6" s="39"/>
      <c r="BD6" s="5">
        <v>46025</v>
      </c>
      <c r="BE6" s="42">
        <f t="shared" si="9"/>
        <v>21.950537400145244</v>
      </c>
      <c r="BF6" s="72">
        <f t="shared" si="10"/>
        <v>21.950537400145244</v>
      </c>
      <c r="BG6" s="42">
        <f t="shared" si="11"/>
        <v>21.106786703601109</v>
      </c>
      <c r="BH6" s="17">
        <f t="shared" si="12"/>
        <v>2.5886096914165879E-2</v>
      </c>
      <c r="BI6" s="12" t="s">
        <v>17</v>
      </c>
      <c r="BJ6" s="45">
        <f t="shared" si="13"/>
        <v>17.685513570425829</v>
      </c>
      <c r="BK6" s="45">
        <f t="shared" si="14"/>
        <v>18.810414716588667</v>
      </c>
      <c r="BL6" s="17">
        <f t="shared" si="24"/>
        <v>6.3605794747398692E-2</v>
      </c>
      <c r="BM6" s="12" t="s">
        <v>5</v>
      </c>
      <c r="BN6" s="45">
        <f t="shared" si="15"/>
        <v>18.131893049302736</v>
      </c>
      <c r="BO6" s="45">
        <f t="shared" si="16"/>
        <v>18.93902153310755</v>
      </c>
      <c r="BP6" s="17">
        <f t="shared" si="25"/>
        <v>4.4514297630707134E-2</v>
      </c>
      <c r="BT6" s="39"/>
      <c r="BV6" s="47" t="s">
        <v>17</v>
      </c>
      <c r="BW6" s="45"/>
      <c r="BX6" s="45"/>
      <c r="BY6" s="50">
        <f t="shared" si="26"/>
        <v>0</v>
      </c>
      <c r="BZ6" s="12" t="s">
        <v>5</v>
      </c>
      <c r="CA6" s="53">
        <v>345</v>
      </c>
      <c r="CB6" s="53">
        <v>242</v>
      </c>
      <c r="CC6" s="50">
        <f t="shared" si="27"/>
        <v>-103</v>
      </c>
      <c r="CG6" s="39"/>
      <c r="CI6" s="47" t="s">
        <v>17</v>
      </c>
      <c r="CJ6" s="45"/>
      <c r="CK6" s="45"/>
      <c r="CL6" s="50">
        <f t="shared" si="28"/>
        <v>0</v>
      </c>
      <c r="CM6" s="12" t="s">
        <v>5</v>
      </c>
      <c r="CN6" s="53">
        <v>363</v>
      </c>
      <c r="CO6" s="53">
        <v>267</v>
      </c>
      <c r="CP6" s="50">
        <f t="shared" si="29"/>
        <v>-96</v>
      </c>
      <c r="CT6" s="39"/>
      <c r="CV6" s="47" t="s">
        <v>5</v>
      </c>
      <c r="CW6" s="55">
        <v>33</v>
      </c>
      <c r="CX6" s="55">
        <f>[2]OPH!$M$6</f>
        <v>43.501227356057548</v>
      </c>
      <c r="CY6" s="58">
        <f t="shared" si="30"/>
        <v>10.501227356057548</v>
      </c>
      <c r="DC6" s="39"/>
    </row>
    <row r="7" spans="2:107">
      <c r="B7" s="5">
        <v>46026</v>
      </c>
      <c r="C7" s="23">
        <f>IF([1]CHAMNORD!H8=0,"",[1]CHAMNORD!H8)</f>
        <v>30511.54</v>
      </c>
      <c r="D7" s="22">
        <f t="shared" si="0"/>
        <v>30511.54</v>
      </c>
      <c r="E7" s="24">
        <f>IF([2]CHAMNORD!H9=0,"",[2]CHAMNORD!H9)</f>
        <v>23658.400000000001</v>
      </c>
      <c r="F7" s="17">
        <f t="shared" si="1"/>
        <v>-2.3277781080527693E-2</v>
      </c>
      <c r="G7" s="12" t="s">
        <v>18</v>
      </c>
      <c r="H7" s="7">
        <f>SUM(C23:C29)</f>
        <v>149764.81</v>
      </c>
      <c r="I7" s="7">
        <f>SUM(E22:E28)</f>
        <v>136727.96</v>
      </c>
      <c r="J7" s="17">
        <f t="shared" si="18"/>
        <v>-8.7048820079964062E-2</v>
      </c>
      <c r="K7" s="12" t="s">
        <v>6</v>
      </c>
      <c r="L7" s="6">
        <f>SUM(C94:C123)</f>
        <v>631103.37</v>
      </c>
      <c r="M7" s="7">
        <f>IF(SUM(E94:E123)=0,"",SUM(E94:E123))</f>
        <v>581204.20999999985</v>
      </c>
      <c r="N7" s="17">
        <f t="shared" si="19"/>
        <v>-7.906654024046833E-2</v>
      </c>
      <c r="R7" s="39"/>
      <c r="T7" s="5">
        <v>46026</v>
      </c>
      <c r="U7" s="23">
        <f>IF([1]CHAMNORD!I8=0,"",[1]CHAMNORD!I8)</f>
        <v>29987.99</v>
      </c>
      <c r="V7" s="22">
        <f t="shared" si="3"/>
        <v>29987.99</v>
      </c>
      <c r="W7" s="24">
        <f>IF([2]CHAMNORD!I9=0,"",[2]CHAMNORD!I9)</f>
        <v>23316.49</v>
      </c>
      <c r="X7" s="17">
        <f t="shared" si="4"/>
        <v>-2.1688470801480286E-2</v>
      </c>
      <c r="Y7" s="12" t="s">
        <v>18</v>
      </c>
      <c r="Z7" s="7">
        <f>SUM(U23:U29)</f>
        <v>148149.26</v>
      </c>
      <c r="AA7" s="7">
        <f>SUM(W22:W28)</f>
        <v>135142.32</v>
      </c>
      <c r="AB7" s="17">
        <f t="shared" si="20"/>
        <v>-8.7796186089623363E-2</v>
      </c>
      <c r="AC7" s="12" t="s">
        <v>6</v>
      </c>
      <c r="AD7" s="6">
        <f>SUM(U94:U123)</f>
        <v>622440.40000000014</v>
      </c>
      <c r="AE7" s="7">
        <f>IF(SUM(W94:W123)=0,"",SUM(W94:W123))</f>
        <v>570268.02000000014</v>
      </c>
      <c r="AF7" s="17">
        <f t="shared" si="21"/>
        <v>-8.3819077296396594E-2</v>
      </c>
      <c r="AJ7" s="39"/>
      <c r="AL7" s="5">
        <v>46026</v>
      </c>
      <c r="AM7" s="23">
        <f>IF([1]CHAMNORD!J8=0,"",[1]CHAMNORD!J8)</f>
        <v>1483</v>
      </c>
      <c r="AN7" s="22">
        <f t="shared" si="6"/>
        <v>1483</v>
      </c>
      <c r="AO7" s="24">
        <f>IF([2]CHAMNORD!J9=0,"",[2]CHAMNORD!J9)</f>
        <v>1080</v>
      </c>
      <c r="AP7" s="17">
        <f t="shared" si="7"/>
        <v>-7.9283887468030723E-2</v>
      </c>
      <c r="AQ7" s="12" t="s">
        <v>18</v>
      </c>
      <c r="AR7" s="7">
        <f>SUM(AM23:AM29)</f>
        <v>8515</v>
      </c>
      <c r="AS7" s="7">
        <f>SUM(AO22:AO28)</f>
        <v>7286</v>
      </c>
      <c r="AT7" s="17">
        <f t="shared" si="22"/>
        <v>-0.14433352906635344</v>
      </c>
      <c r="AU7" s="12" t="s">
        <v>6</v>
      </c>
      <c r="AV7" s="6">
        <f>SUM(AM94:AM123)</f>
        <v>35451</v>
      </c>
      <c r="AW7" s="7">
        <f>IF(SUM(AO94:AO123)=0,"",SUM(AO94:AO123))</f>
        <v>30309</v>
      </c>
      <c r="AX7" s="17">
        <f t="shared" si="23"/>
        <v>-0.14504527375814502</v>
      </c>
      <c r="BB7" s="39"/>
      <c r="BD7" s="5">
        <v>46026</v>
      </c>
      <c r="BE7" s="42">
        <f t="shared" si="9"/>
        <v>20.574200944032366</v>
      </c>
      <c r="BF7" s="72">
        <f t="shared" si="10"/>
        <v>20.574200944032366</v>
      </c>
      <c r="BG7" s="43">
        <f t="shared" si="11"/>
        <v>21.905925925925928</v>
      </c>
      <c r="BH7" s="17">
        <f t="shared" si="12"/>
        <v>6.082885443753816E-2</v>
      </c>
      <c r="BI7" s="12" t="s">
        <v>18</v>
      </c>
      <c r="BJ7" s="45">
        <f t="shared" si="13"/>
        <v>17.588351145038168</v>
      </c>
      <c r="BK7" s="45">
        <f t="shared" si="14"/>
        <v>18.765846829536095</v>
      </c>
      <c r="BL7" s="17">
        <f t="shared" si="24"/>
        <v>6.6947474199712476E-2</v>
      </c>
      <c r="BM7" s="12" t="s">
        <v>6</v>
      </c>
      <c r="BN7" s="45">
        <f t="shared" si="15"/>
        <v>17.802131674705933</v>
      </c>
      <c r="BO7" s="45">
        <f t="shared" si="16"/>
        <v>19.175961265630665</v>
      </c>
      <c r="BP7" s="17">
        <f t="shared" si="25"/>
        <v>7.7172195781291197E-2</v>
      </c>
      <c r="BT7" s="39"/>
      <c r="BV7" s="47" t="s">
        <v>18</v>
      </c>
      <c r="BW7" s="45"/>
      <c r="BX7" s="45"/>
      <c r="BY7" s="50">
        <f t="shared" si="26"/>
        <v>0</v>
      </c>
      <c r="BZ7" s="12" t="s">
        <v>6</v>
      </c>
      <c r="CA7" s="53">
        <v>356</v>
      </c>
      <c r="CB7" s="53">
        <v>270</v>
      </c>
      <c r="CC7" s="50">
        <f t="shared" si="27"/>
        <v>-86</v>
      </c>
      <c r="CG7" s="39"/>
      <c r="CI7" s="47" t="s">
        <v>18</v>
      </c>
      <c r="CJ7" s="45"/>
      <c r="CK7" s="45"/>
      <c r="CL7" s="50">
        <f t="shared" si="28"/>
        <v>0</v>
      </c>
      <c r="CM7" s="12" t="s">
        <v>6</v>
      </c>
      <c r="CN7" s="53">
        <v>344</v>
      </c>
      <c r="CO7" s="53">
        <v>272</v>
      </c>
      <c r="CP7" s="50">
        <f t="shared" si="29"/>
        <v>-72</v>
      </c>
      <c r="CT7" s="39"/>
      <c r="CV7" s="47" t="s">
        <v>6</v>
      </c>
      <c r="CW7" s="53">
        <v>37</v>
      </c>
      <c r="CX7" s="55">
        <f>[2]OPH!$N$6</f>
        <v>56.088950476756082</v>
      </c>
      <c r="CY7" s="58">
        <f t="shared" si="30"/>
        <v>19.088950476756082</v>
      </c>
      <c r="DC7" s="39"/>
    </row>
    <row r="8" spans="2:107">
      <c r="B8" s="5">
        <v>46027</v>
      </c>
      <c r="C8" s="24">
        <f>IF([1]CHAMNORD!H9=0,"",[1]CHAMNORD!H9)</f>
        <v>24222.240000000002</v>
      </c>
      <c r="D8" s="22">
        <f t="shared" si="0"/>
        <v>24222.240000000002</v>
      </c>
      <c r="E8" s="21">
        <f>IF([2]CHAMNORD!H10=0,"",[2]CHAMNORD!H10)</f>
        <v>14020.33</v>
      </c>
      <c r="F8" s="17">
        <f t="shared" si="1"/>
        <v>-1.5170374324789404E-2</v>
      </c>
      <c r="G8" s="12" t="s">
        <v>19</v>
      </c>
      <c r="H8" s="7">
        <f>SUM(C30:C36)</f>
        <v>148508.88</v>
      </c>
      <c r="I8" s="7">
        <f>SUM(E29:E35)</f>
        <v>144335.91999999998</v>
      </c>
      <c r="J8" s="17">
        <f t="shared" si="18"/>
        <v>-2.8099060473690374E-2</v>
      </c>
      <c r="K8" s="12" t="s">
        <v>7</v>
      </c>
      <c r="L8" s="6">
        <f>SUM(C124:C154)</f>
        <v>623186.78000000014</v>
      </c>
      <c r="M8" s="7">
        <f>IF(SUM(E124:E154)=0,"",SUM(E124:E154))</f>
        <v>567959.03000000014</v>
      </c>
      <c r="N8" s="17">
        <f t="shared" si="19"/>
        <v>-8.8621504454892253E-2</v>
      </c>
      <c r="R8" s="39"/>
      <c r="T8" s="5">
        <v>46027</v>
      </c>
      <c r="U8" s="24">
        <f>IF([1]CHAMNORD!I9=0,"",[1]CHAMNORD!I9)</f>
        <v>23833.4</v>
      </c>
      <c r="V8" s="22">
        <f t="shared" si="3"/>
        <v>23833.4</v>
      </c>
      <c r="W8" s="21">
        <f>IF([2]CHAMNORD!I10=0,"",[2]CHAMNORD!I10)</f>
        <v>13851.73</v>
      </c>
      <c r="X8" s="17">
        <f t="shared" si="4"/>
        <v>-1.020540138839765E-2</v>
      </c>
      <c r="Y8" s="12" t="s">
        <v>19</v>
      </c>
      <c r="Z8" s="7">
        <f>SUM(U30:U36)</f>
        <v>146930.11000000002</v>
      </c>
      <c r="AA8" s="7">
        <f>SUM(W29:W35)</f>
        <v>142367.47</v>
      </c>
      <c r="AB8" s="17">
        <f t="shared" si="20"/>
        <v>-3.1053131315290083E-2</v>
      </c>
      <c r="AC8" s="12" t="s">
        <v>7</v>
      </c>
      <c r="AD8" s="6">
        <f>SUM(U124:U154)</f>
        <v>616262.0399999998</v>
      </c>
      <c r="AE8" s="7">
        <f>IF(SUM(W124:W154)=0,"",SUM(W124:W154))</f>
        <v>558994.46000000008</v>
      </c>
      <c r="AF8" s="17">
        <f t="shared" si="21"/>
        <v>-9.29273203327593E-2</v>
      </c>
      <c r="AJ8" s="39"/>
      <c r="AL8" s="5">
        <v>46027</v>
      </c>
      <c r="AM8" s="24">
        <f>IF([1]CHAMNORD!J9=0,"",[1]CHAMNORD!J9)</f>
        <v>1173</v>
      </c>
      <c r="AN8" s="22">
        <f t="shared" si="6"/>
        <v>1173</v>
      </c>
      <c r="AO8" s="21">
        <f>IF([2]CHAMNORD!J10=0,"",[2]CHAMNORD!J10)</f>
        <v>812</v>
      </c>
      <c r="AP8" s="17">
        <f t="shared" si="7"/>
        <v>-8.9686098654708557E-2</v>
      </c>
      <c r="AQ8" s="12" t="s">
        <v>19</v>
      </c>
      <c r="AR8" s="7">
        <f>SUM(AM30:AM36)</f>
        <v>8428</v>
      </c>
      <c r="AS8" s="7">
        <f>SUM(AO29:AO35)</f>
        <v>7525</v>
      </c>
      <c r="AT8" s="17">
        <f t="shared" si="22"/>
        <v>-0.1071428571428571</v>
      </c>
      <c r="AU8" s="12" t="s">
        <v>7</v>
      </c>
      <c r="AV8" s="6">
        <f>SUM(AM124:AM154)</f>
        <v>35131</v>
      </c>
      <c r="AW8" s="7">
        <f>IF(SUM(AO124:AO154)=0,"",SUM(AO124:AO154))</f>
        <v>30543</v>
      </c>
      <c r="AX8" s="17">
        <f t="shared" si="23"/>
        <v>-0.13059690871310237</v>
      </c>
      <c r="BB8" s="39"/>
      <c r="BD8" s="5">
        <v>46027</v>
      </c>
      <c r="BE8" s="43">
        <f t="shared" si="9"/>
        <v>20.649820971867008</v>
      </c>
      <c r="BF8" s="72">
        <f t="shared" si="10"/>
        <v>20.649820971867008</v>
      </c>
      <c r="BG8" s="41">
        <f t="shared" si="11"/>
        <v>17.266416256157637</v>
      </c>
      <c r="BH8" s="17">
        <f t="shared" si="12"/>
        <v>8.1857175002817639E-2</v>
      </c>
      <c r="BI8" s="12" t="s">
        <v>19</v>
      </c>
      <c r="BJ8" s="45">
        <f t="shared" si="13"/>
        <v>17.620892263882297</v>
      </c>
      <c r="BK8" s="45">
        <f t="shared" si="14"/>
        <v>19.180853156146178</v>
      </c>
      <c r="BL8" s="17">
        <f t="shared" si="24"/>
        <v>8.8529052269466835E-2</v>
      </c>
      <c r="BM8" s="12" t="s">
        <v>7</v>
      </c>
      <c r="BN8" s="45">
        <f t="shared" si="15"/>
        <v>17.738942244741114</v>
      </c>
      <c r="BO8" s="45">
        <f t="shared" si="16"/>
        <v>18.595391087974335</v>
      </c>
      <c r="BP8" s="17">
        <f t="shared" si="25"/>
        <v>4.8280716596116324E-2</v>
      </c>
      <c r="BT8" s="39"/>
      <c r="BV8" s="47" t="s">
        <v>19</v>
      </c>
      <c r="BW8" s="45"/>
      <c r="BX8" s="45"/>
      <c r="BY8" s="50">
        <f t="shared" si="26"/>
        <v>0</v>
      </c>
      <c r="BZ8" s="12" t="s">
        <v>7</v>
      </c>
      <c r="CA8" s="53">
        <v>357</v>
      </c>
      <c r="CB8" s="53">
        <v>277</v>
      </c>
      <c r="CC8" s="50">
        <f t="shared" si="27"/>
        <v>-80</v>
      </c>
      <c r="CG8" s="39"/>
      <c r="CI8" s="47" t="s">
        <v>19</v>
      </c>
      <c r="CJ8" s="45"/>
      <c r="CK8" s="45"/>
      <c r="CL8" s="50">
        <f t="shared" si="28"/>
        <v>0</v>
      </c>
      <c r="CM8" s="12" t="s">
        <v>7</v>
      </c>
      <c r="CN8" s="53">
        <v>341</v>
      </c>
      <c r="CO8" s="53">
        <v>282</v>
      </c>
      <c r="CP8" s="50">
        <f t="shared" si="29"/>
        <v>-59</v>
      </c>
      <c r="CT8" s="39"/>
      <c r="CV8" s="47" t="s">
        <v>7</v>
      </c>
      <c r="CW8" s="53">
        <v>74</v>
      </c>
      <c r="CX8" s="55">
        <f>[2]OPH!$O$6</f>
        <v>72.029597616475129</v>
      </c>
      <c r="CY8" s="58">
        <f t="shared" si="30"/>
        <v>-1.9704023835248705</v>
      </c>
      <c r="DC8" s="39"/>
    </row>
    <row r="9" spans="2:107">
      <c r="B9" s="5">
        <v>46028</v>
      </c>
      <c r="C9" s="21">
        <f>IF([1]CHAMNORD!H10=0,"",[1]CHAMNORD!H10)</f>
        <v>14236.3</v>
      </c>
      <c r="D9" s="22">
        <f t="shared" si="0"/>
        <v>14236.3</v>
      </c>
      <c r="E9" s="23">
        <f>IF([2]CHAMNORD!H11=0,"",[2]CHAMNORD!H11)</f>
        <v>13690.19</v>
      </c>
      <c r="F9" s="17">
        <f t="shared" si="1"/>
        <v>-0.19809384456240198</v>
      </c>
      <c r="G9" s="12" t="s">
        <v>20</v>
      </c>
      <c r="H9" s="7">
        <f>SUM(C37:C43)</f>
        <v>156254.28</v>
      </c>
      <c r="I9" s="7">
        <f>SUM(E36:E42)</f>
        <v>152126.42000000001</v>
      </c>
      <c r="J9" s="17">
        <f t="shared" si="18"/>
        <v>-2.6417580369638372E-2</v>
      </c>
      <c r="K9" s="12" t="s">
        <v>8</v>
      </c>
      <c r="L9" s="6">
        <f>SUM(C155:C184)</f>
        <v>607610.48</v>
      </c>
      <c r="M9" s="7">
        <f>IF(SUM(E155:E184)=0,"",SUM(E155:E184))</f>
        <v>273998.69</v>
      </c>
      <c r="N9" s="17">
        <f t="shared" si="19"/>
        <v>-0.54905535862383414</v>
      </c>
      <c r="R9" s="39"/>
      <c r="T9" s="5">
        <v>46028</v>
      </c>
      <c r="U9" s="21">
        <f>IF([1]CHAMNORD!I10=0,"",[1]CHAMNORD!I10)</f>
        <v>13994.55</v>
      </c>
      <c r="V9" s="22">
        <f t="shared" si="3"/>
        <v>13994.55</v>
      </c>
      <c r="W9" s="23">
        <f>IF([2]CHAMNORD!I11=0,"",[2]CHAMNORD!I11)</f>
        <v>13497.18</v>
      </c>
      <c r="X9" s="17">
        <f t="shared" si="4"/>
        <v>-0.19953480289911962</v>
      </c>
      <c r="Y9" s="12" t="s">
        <v>20</v>
      </c>
      <c r="Z9" s="7">
        <f>SUM(U37:U43)</f>
        <v>154542.31</v>
      </c>
      <c r="AA9" s="7">
        <f>SUM(W36:W42)</f>
        <v>150246.47</v>
      </c>
      <c r="AB9" s="17">
        <f t="shared" si="20"/>
        <v>-2.7797177355508684E-2</v>
      </c>
      <c r="AC9" s="12" t="s">
        <v>8</v>
      </c>
      <c r="AD9" s="6">
        <f>SUM(U155:U184)</f>
        <v>600220.80999999994</v>
      </c>
      <c r="AE9" s="7">
        <f>IF(SUM(W155:W184)=0,"",SUM(W155:W184))</f>
        <v>269116.89</v>
      </c>
      <c r="AF9" s="17">
        <f t="shared" si="21"/>
        <v>-0.55163685511003857</v>
      </c>
      <c r="AJ9" s="39"/>
      <c r="AL9" s="5">
        <v>46028</v>
      </c>
      <c r="AM9" s="21">
        <f>IF([1]CHAMNORD!J10=0,"",[1]CHAMNORD!J10)</f>
        <v>892</v>
      </c>
      <c r="AN9" s="22">
        <f t="shared" si="6"/>
        <v>892</v>
      </c>
      <c r="AO9" s="23">
        <f>IF([2]CHAMNORD!J11=0,"",[2]CHAMNORD!J11)</f>
        <v>831</v>
      </c>
      <c r="AP9" s="17">
        <f t="shared" si="7"/>
        <v>-0.16983016983016985</v>
      </c>
      <c r="AQ9" s="12" t="s">
        <v>20</v>
      </c>
      <c r="AR9" s="7">
        <f>SUM(AM37:AM43)</f>
        <v>8734</v>
      </c>
      <c r="AS9" s="7">
        <f>SUM(AO36:AO42)</f>
        <v>8123</v>
      </c>
      <c r="AT9" s="17">
        <f t="shared" si="22"/>
        <v>-6.9956491870849513E-2</v>
      </c>
      <c r="AU9" s="12" t="s">
        <v>8</v>
      </c>
      <c r="AV9" s="6">
        <f>SUM(AM155:AM184)</f>
        <v>34487</v>
      </c>
      <c r="AW9" s="7">
        <f>IF(SUM(AO155:AO184)=0,"",SUM(AO155:AO184))</f>
        <v>15274</v>
      </c>
      <c r="AX9" s="17">
        <f t="shared" si="23"/>
        <v>-0.55710847565749411</v>
      </c>
      <c r="BB9" s="39"/>
      <c r="BD9" s="5">
        <v>46028</v>
      </c>
      <c r="BE9" s="41">
        <f t="shared" si="9"/>
        <v>15.959977578475335</v>
      </c>
      <c r="BF9" s="72">
        <f t="shared" si="10"/>
        <v>15.959977578475335</v>
      </c>
      <c r="BG9" s="42">
        <f t="shared" si="11"/>
        <v>16.474356197352588</v>
      </c>
      <c r="BH9" s="17">
        <f t="shared" si="12"/>
        <v>-3.4045653919331342E-2</v>
      </c>
      <c r="BI9" s="12" t="s">
        <v>20</v>
      </c>
      <c r="BJ9" s="45">
        <f t="shared" si="13"/>
        <v>17.890345775131671</v>
      </c>
      <c r="BK9" s="45">
        <f t="shared" si="14"/>
        <v>18.727861627477534</v>
      </c>
      <c r="BL9" s="17">
        <f t="shared" si="24"/>
        <v>4.6813843783279241E-2</v>
      </c>
      <c r="BM9" s="12" t="s">
        <v>8</v>
      </c>
      <c r="BN9" s="45">
        <f t="shared" si="15"/>
        <v>17.618536839968684</v>
      </c>
      <c r="BO9" s="45">
        <f t="shared" si="16"/>
        <v>17.938895508707606</v>
      </c>
      <c r="BP9" s="17">
        <f t="shared" si="25"/>
        <v>1.8183046166022621E-2</v>
      </c>
      <c r="BT9" s="39"/>
      <c r="BV9" s="47" t="s">
        <v>20</v>
      </c>
      <c r="BW9" s="45"/>
      <c r="BX9" s="45"/>
      <c r="BY9" s="50">
        <f t="shared" si="26"/>
        <v>0</v>
      </c>
      <c r="BZ9" s="12" t="s">
        <v>8</v>
      </c>
      <c r="CA9" s="53">
        <v>374</v>
      </c>
      <c r="CB9" s="53">
        <v>257</v>
      </c>
      <c r="CC9" s="50">
        <f t="shared" si="27"/>
        <v>-117</v>
      </c>
      <c r="CG9" s="39"/>
      <c r="CI9" s="47" t="s">
        <v>20</v>
      </c>
      <c r="CJ9" s="45"/>
      <c r="CK9" s="45"/>
      <c r="CL9" s="50">
        <f t="shared" si="28"/>
        <v>0</v>
      </c>
      <c r="CM9" s="12" t="s">
        <v>8</v>
      </c>
      <c r="CN9" s="53">
        <v>372</v>
      </c>
      <c r="CO9" s="53">
        <v>244</v>
      </c>
      <c r="CP9" s="50">
        <f t="shared" si="29"/>
        <v>-128</v>
      </c>
      <c r="CT9" s="39"/>
      <c r="CV9" s="47" t="s">
        <v>8</v>
      </c>
      <c r="CW9" s="53">
        <v>20</v>
      </c>
      <c r="CX9" s="55">
        <f>[2]OPH!$P$6</f>
        <v>26.188293832656804</v>
      </c>
      <c r="CY9" s="58">
        <f t="shared" si="30"/>
        <v>6.1882938326568038</v>
      </c>
      <c r="DC9" s="39"/>
    </row>
    <row r="10" spans="2:107">
      <c r="B10" s="5">
        <v>46029</v>
      </c>
      <c r="C10" s="23">
        <f>IF([1]CHAMNORD!H11=0,"",[1]CHAMNORD!H11)</f>
        <v>17072.060000000001</v>
      </c>
      <c r="D10" s="22">
        <f t="shared" si="0"/>
        <v>17072.060000000001</v>
      </c>
      <c r="E10" s="23">
        <f>IF([2]CHAMNORD!H12=0,"",[2]CHAMNORD!H12)</f>
        <v>17500.080000000002</v>
      </c>
      <c r="F10" s="17">
        <f t="shared" si="1"/>
        <v>-0.12244494746227275</v>
      </c>
      <c r="G10" s="12" t="s">
        <v>21</v>
      </c>
      <c r="H10" s="7">
        <f>SUM(C44:C50)</f>
        <v>150592.97000000003</v>
      </c>
      <c r="I10" s="7">
        <f>SUM(E43:E49)</f>
        <v>163506.31</v>
      </c>
      <c r="J10" s="17">
        <f t="shared" si="18"/>
        <v>8.5749952338412427E-2</v>
      </c>
      <c r="K10" s="12" t="s">
        <v>9</v>
      </c>
      <c r="L10" s="6">
        <f>SUM(C185:C215)</f>
        <v>676378.16</v>
      </c>
      <c r="M10" s="7" t="str">
        <f>IF(SUM(E185:E215)=0,"",SUM(E185:E215))</f>
        <v/>
      </c>
      <c r="N10" s="17" t="str">
        <f t="shared" si="19"/>
        <v/>
      </c>
      <c r="R10" s="39"/>
      <c r="T10" s="5">
        <v>46029</v>
      </c>
      <c r="U10" s="23">
        <f>IF([1]CHAMNORD!I11=0,"",[1]CHAMNORD!I11)</f>
        <v>16861.669999999998</v>
      </c>
      <c r="V10" s="22">
        <f t="shared" si="3"/>
        <v>16861.669999999998</v>
      </c>
      <c r="W10" s="23">
        <f>IF([2]CHAMNORD!I12=0,"",[2]CHAMNORD!I12)</f>
        <v>17150.57</v>
      </c>
      <c r="X10" s="17">
        <f t="shared" si="4"/>
        <v>-0.12447285062675961</v>
      </c>
      <c r="Y10" s="12" t="s">
        <v>21</v>
      </c>
      <c r="Z10" s="7">
        <f>SUM(U44:U50)</f>
        <v>148701.02000000002</v>
      </c>
      <c r="AA10" s="7">
        <f>SUM(W43:W49)</f>
        <v>161086.87000000002</v>
      </c>
      <c r="AB10" s="17">
        <f t="shared" si="20"/>
        <v>8.3293645194901789E-2</v>
      </c>
      <c r="AC10" s="12" t="s">
        <v>9</v>
      </c>
      <c r="AD10" s="6">
        <f>SUM(U185:U215)</f>
        <v>665473.30999999994</v>
      </c>
      <c r="AE10" s="7" t="str">
        <f>IF(SUM(W185:W215)=0,"",SUM(W185:W215))</f>
        <v/>
      </c>
      <c r="AF10" s="17" t="str">
        <f t="shared" si="21"/>
        <v/>
      </c>
      <c r="AJ10" s="39"/>
      <c r="AL10" s="5">
        <v>46029</v>
      </c>
      <c r="AM10" s="23">
        <f>IF([1]CHAMNORD!J11=0,"",[1]CHAMNORD!J11)</f>
        <v>1001</v>
      </c>
      <c r="AN10" s="22">
        <f t="shared" si="6"/>
        <v>1001</v>
      </c>
      <c r="AO10" s="23">
        <f>IF([2]CHAMNORD!J12=0,"",[2]CHAMNORD!J12)</f>
        <v>1023</v>
      </c>
      <c r="AP10" s="17">
        <f t="shared" si="7"/>
        <v>-0.13743676222596968</v>
      </c>
      <c r="AQ10" s="12" t="s">
        <v>21</v>
      </c>
      <c r="AR10" s="7">
        <f>SUM(AM44:AM50)</f>
        <v>8267</v>
      </c>
      <c r="AS10" s="7">
        <f>SUM(AO43:AO49)</f>
        <v>8289</v>
      </c>
      <c r="AT10" s="17">
        <f t="shared" si="22"/>
        <v>2.6611830168137285E-3</v>
      </c>
      <c r="AU10" s="12" t="s">
        <v>9</v>
      </c>
      <c r="AV10" s="6">
        <f>SUM(AM185:AM215)</f>
        <v>35830</v>
      </c>
      <c r="AW10" s="7" t="str">
        <f>IF(SUM(AO185:AO215)=0,"",SUM(AO185:AO215))</f>
        <v/>
      </c>
      <c r="AX10" s="17" t="str">
        <f t="shared" si="23"/>
        <v/>
      </c>
      <c r="BB10" s="39"/>
      <c r="BD10" s="5">
        <v>46029</v>
      </c>
      <c r="BE10" s="42">
        <f t="shared" si="9"/>
        <v>17.055004995004996</v>
      </c>
      <c r="BF10" s="72">
        <f t="shared" si="10"/>
        <v>17.055004995004996</v>
      </c>
      <c r="BG10" s="42">
        <f t="shared" si="11"/>
        <v>17.106627565982407</v>
      </c>
      <c r="BH10" s="17">
        <f t="shared" si="12"/>
        <v>1.7380539892223545E-2</v>
      </c>
      <c r="BI10" s="12" t="s">
        <v>21</v>
      </c>
      <c r="BJ10" s="45">
        <f t="shared" si="13"/>
        <v>18.216157009797996</v>
      </c>
      <c r="BK10" s="45">
        <f t="shared" si="14"/>
        <v>19.72569791289661</v>
      </c>
      <c r="BL10" s="17">
        <f t="shared" si="24"/>
        <v>8.2868241763982997E-2</v>
      </c>
      <c r="BM10" s="12" t="s">
        <v>9</v>
      </c>
      <c r="BN10" s="45">
        <f t="shared" si="15"/>
        <v>18.877425620987999</v>
      </c>
      <c r="BO10" s="45" t="str">
        <f t="shared" si="16"/>
        <v/>
      </c>
      <c r="BP10" s="17" t="str">
        <f t="shared" si="25"/>
        <v/>
      </c>
      <c r="BT10" s="39"/>
      <c r="BV10" s="47" t="s">
        <v>21</v>
      </c>
      <c r="BW10" s="45"/>
      <c r="BX10" s="45"/>
      <c r="BY10" s="50">
        <f t="shared" si="26"/>
        <v>0</v>
      </c>
      <c r="BZ10" s="12" t="s">
        <v>9</v>
      </c>
      <c r="CA10" s="53">
        <v>398</v>
      </c>
      <c r="CB10" s="53"/>
      <c r="CC10" s="50">
        <f t="shared" si="27"/>
        <v>-398</v>
      </c>
      <c r="CG10" s="39"/>
      <c r="CI10" s="47" t="s">
        <v>21</v>
      </c>
      <c r="CJ10" s="45"/>
      <c r="CK10" s="45"/>
      <c r="CL10" s="50">
        <f t="shared" si="28"/>
        <v>0</v>
      </c>
      <c r="CM10" s="12" t="s">
        <v>9</v>
      </c>
      <c r="CN10" s="53">
        <v>395</v>
      </c>
      <c r="CO10" s="53"/>
      <c r="CP10" s="50">
        <f t="shared" si="29"/>
        <v>-395</v>
      </c>
      <c r="CT10" s="39"/>
      <c r="CV10" s="47" t="s">
        <v>9</v>
      </c>
      <c r="CW10" s="53">
        <v>59</v>
      </c>
      <c r="CX10" s="53"/>
      <c r="CY10" s="58">
        <f t="shared" si="30"/>
        <v>-59</v>
      </c>
      <c r="DC10" s="39"/>
    </row>
    <row r="11" spans="2:107">
      <c r="B11" s="5">
        <v>46030</v>
      </c>
      <c r="C11" s="23">
        <f>IF([1]CHAMNORD!H12=0,"",[1]CHAMNORD!H12)</f>
        <v>19941.86</v>
      </c>
      <c r="D11" s="22">
        <f t="shared" si="0"/>
        <v>19941.86</v>
      </c>
      <c r="E11" s="23">
        <f>IF([2]CHAMNORD!H13=0,"",[2]CHAMNORD!H13)</f>
        <v>14561.78</v>
      </c>
      <c r="F11" s="17">
        <f t="shared" si="1"/>
        <v>-0.15655613458004103</v>
      </c>
      <c r="G11" s="12" t="s">
        <v>22</v>
      </c>
      <c r="H11" s="7">
        <f>SUM(C51:C57)</f>
        <v>155269.60999999999</v>
      </c>
      <c r="I11" s="7">
        <f>SUM(E50:E56)</f>
        <v>152608.46000000002</v>
      </c>
      <c r="J11" s="17">
        <f t="shared" si="18"/>
        <v>-1.7138897946610165E-2</v>
      </c>
      <c r="K11" s="12" t="s">
        <v>10</v>
      </c>
      <c r="L11" s="6">
        <f>SUM(C216:C246)</f>
        <v>665105.38999999978</v>
      </c>
      <c r="M11" s="7" t="str">
        <f>IF(SUM(E216:E246)=0,"",SUM(E216:E246))</f>
        <v/>
      </c>
      <c r="N11" s="17" t="str">
        <f t="shared" si="19"/>
        <v/>
      </c>
      <c r="R11" s="39"/>
      <c r="T11" s="5">
        <v>46030</v>
      </c>
      <c r="U11" s="23">
        <f>IF([1]CHAMNORD!I12=0,"",[1]CHAMNORD!I12)</f>
        <v>19588.849999999999</v>
      </c>
      <c r="V11" s="22">
        <f t="shared" si="3"/>
        <v>19588.849999999999</v>
      </c>
      <c r="W11" s="23">
        <f>IF([2]CHAMNORD!I13=0,"",[2]CHAMNORD!I13)</f>
        <v>14401.18</v>
      </c>
      <c r="X11" s="17">
        <f t="shared" si="4"/>
        <v>-0.15560264509251842</v>
      </c>
      <c r="Y11" s="12" t="s">
        <v>22</v>
      </c>
      <c r="Z11" s="7">
        <f>SUM(U51:U57)</f>
        <v>153726.76999999999</v>
      </c>
      <c r="AA11" s="7">
        <f>SUM(W50:W56)</f>
        <v>150407.91</v>
      </c>
      <c r="AB11" s="17">
        <f t="shared" si="20"/>
        <v>-2.1589343222393809E-2</v>
      </c>
      <c r="AC11" s="12" t="s">
        <v>10</v>
      </c>
      <c r="AD11" s="6">
        <f>SUM(U216:U246)</f>
        <v>655838.02000000014</v>
      </c>
      <c r="AE11" s="7" t="str">
        <f>IF(SUM(W216:W246)=0,"",SUM(W216:W246))</f>
        <v/>
      </c>
      <c r="AF11" s="17" t="str">
        <f t="shared" si="21"/>
        <v/>
      </c>
      <c r="AJ11" s="39"/>
      <c r="AL11" s="5">
        <v>46030</v>
      </c>
      <c r="AM11" s="23">
        <f>IF([1]CHAMNORD!J12=0,"",[1]CHAMNORD!J12)</f>
        <v>1186</v>
      </c>
      <c r="AN11" s="22">
        <f t="shared" si="6"/>
        <v>1186</v>
      </c>
      <c r="AO11" s="23">
        <f>IF([2]CHAMNORD!J13=0,"",[2]CHAMNORD!J13)</f>
        <v>788</v>
      </c>
      <c r="AP11" s="17">
        <f t="shared" si="7"/>
        <v>-0.24011571841851498</v>
      </c>
      <c r="AQ11" s="12" t="s">
        <v>22</v>
      </c>
      <c r="AR11" s="7">
        <f>SUM(AM51:AM57)</f>
        <v>8565</v>
      </c>
      <c r="AS11" s="7">
        <f>SUM(AO50:AO56)</f>
        <v>7558</v>
      </c>
      <c r="AT11" s="17">
        <f t="shared" si="22"/>
        <v>-0.11757151196730886</v>
      </c>
      <c r="AU11" s="12" t="s">
        <v>10</v>
      </c>
      <c r="AV11" s="6">
        <f>SUM(AM216:AM246)</f>
        <v>34488</v>
      </c>
      <c r="AW11" s="7" t="str">
        <f>IF(SUM(AO216:AO246)=0,"",SUM(AO216:AO246))</f>
        <v/>
      </c>
      <c r="AX11" s="17" t="str">
        <f t="shared" si="23"/>
        <v/>
      </c>
      <c r="BB11" s="39"/>
      <c r="BD11" s="5">
        <v>46030</v>
      </c>
      <c r="BE11" s="42">
        <f t="shared" si="9"/>
        <v>16.814384485666103</v>
      </c>
      <c r="BF11" s="72">
        <f t="shared" si="10"/>
        <v>16.814384485666103</v>
      </c>
      <c r="BG11" s="42">
        <f t="shared" si="11"/>
        <v>18.479416243654825</v>
      </c>
      <c r="BH11" s="17">
        <f t="shared" si="12"/>
        <v>0.10996356401078367</v>
      </c>
      <c r="BI11" s="12" t="s">
        <v>22</v>
      </c>
      <c r="BJ11" s="45">
        <f t="shared" si="13"/>
        <v>18.1283841214244</v>
      </c>
      <c r="BK11" s="45">
        <f t="shared" si="14"/>
        <v>20.19164593807886</v>
      </c>
      <c r="BL11" s="17">
        <f t="shared" si="24"/>
        <v>0.11381388450480068</v>
      </c>
      <c r="BM11" s="12" t="s">
        <v>10</v>
      </c>
      <c r="BN11" s="45">
        <f t="shared" si="15"/>
        <v>19.2851249710044</v>
      </c>
      <c r="BO11" s="45" t="str">
        <f t="shared" si="16"/>
        <v/>
      </c>
      <c r="BP11" s="17" t="str">
        <f t="shared" si="25"/>
        <v/>
      </c>
      <c r="BT11" s="39"/>
      <c r="BV11" s="47" t="s">
        <v>22</v>
      </c>
      <c r="BW11" s="45"/>
      <c r="BX11" s="45"/>
      <c r="BY11" s="50">
        <f t="shared" si="26"/>
        <v>0</v>
      </c>
      <c r="BZ11" s="12" t="s">
        <v>10</v>
      </c>
      <c r="CA11" s="53">
        <v>395</v>
      </c>
      <c r="CB11" s="53"/>
      <c r="CC11" s="50">
        <f t="shared" si="27"/>
        <v>-395</v>
      </c>
      <c r="CG11" s="39"/>
      <c r="CI11" s="47" t="s">
        <v>22</v>
      </c>
      <c r="CJ11" s="45"/>
      <c r="CK11" s="45"/>
      <c r="CL11" s="50">
        <f t="shared" si="28"/>
        <v>0</v>
      </c>
      <c r="CM11" s="12" t="s">
        <v>10</v>
      </c>
      <c r="CN11" s="53">
        <v>374</v>
      </c>
      <c r="CO11" s="53"/>
      <c r="CP11" s="50">
        <f t="shared" si="29"/>
        <v>-374</v>
      </c>
      <c r="CT11" s="39"/>
      <c r="CV11" s="47" t="s">
        <v>10</v>
      </c>
      <c r="CW11" s="53">
        <v>61</v>
      </c>
      <c r="CX11" s="53"/>
      <c r="CY11" s="58">
        <f t="shared" si="30"/>
        <v>-61</v>
      </c>
      <c r="DC11" s="39"/>
    </row>
    <row r="12" spans="2:107">
      <c r="B12" s="5">
        <v>46031</v>
      </c>
      <c r="C12" s="23">
        <f>IF([1]CHAMNORD!H13=0,"",[1]CHAMNORD!H13)</f>
        <v>17264.669999999998</v>
      </c>
      <c r="D12" s="22">
        <f t="shared" si="0"/>
        <v>17264.669999999998</v>
      </c>
      <c r="E12" s="23">
        <f>IF([2]CHAMNORD!H14=0,"",[2]CHAMNORD!H14)</f>
        <v>25183.73</v>
      </c>
      <c r="F12" s="17">
        <f t="shared" si="1"/>
        <v>-6.5482600438319549E-2</v>
      </c>
      <c r="G12" s="12" t="s">
        <v>23</v>
      </c>
      <c r="H12" s="7">
        <f>SUM(C58:C64)</f>
        <v>164575.83000000002</v>
      </c>
      <c r="I12" s="7">
        <f>SUM(E57:E63)</f>
        <v>138928.45000000001</v>
      </c>
      <c r="J12" s="17">
        <f t="shared" si="18"/>
        <v>-0.15583928697184757</v>
      </c>
      <c r="K12" s="12" t="s">
        <v>11</v>
      </c>
      <c r="L12" s="6">
        <f>SUM(C247:C276)</f>
        <v>556212.44999999995</v>
      </c>
      <c r="M12" s="7" t="str">
        <f>IF(SUM(E247:E276)=0,"",SUM(E247:E276))</f>
        <v/>
      </c>
      <c r="N12" s="17" t="str">
        <f t="shared" si="19"/>
        <v/>
      </c>
      <c r="R12" s="39"/>
      <c r="T12" s="5">
        <v>46031</v>
      </c>
      <c r="U12" s="23">
        <f>IF([1]CHAMNORD!I13=0,"",[1]CHAMNORD!I13)</f>
        <v>17054.98</v>
      </c>
      <c r="V12" s="22">
        <f t="shared" si="3"/>
        <v>17054.98</v>
      </c>
      <c r="W12" s="23">
        <f>IF([2]CHAMNORD!I14=0,"",[2]CHAMNORD!I14)</f>
        <v>24922.66</v>
      </c>
      <c r="X12" s="17">
        <f t="shared" si="4"/>
        <v>-6.2402281294439033E-2</v>
      </c>
      <c r="Y12" s="12" t="s">
        <v>23</v>
      </c>
      <c r="Z12" s="7">
        <f>SUM(U58:U64)</f>
        <v>162619.53999999998</v>
      </c>
      <c r="AA12" s="7">
        <f>SUM(W57:W63)</f>
        <v>137165.17000000001</v>
      </c>
      <c r="AB12" s="17">
        <f t="shared" si="20"/>
        <v>-0.15652713074947799</v>
      </c>
      <c r="AC12" s="12" t="s">
        <v>11</v>
      </c>
      <c r="AD12" s="6">
        <f>SUM(U247:U276)</f>
        <v>546636.96000000008</v>
      </c>
      <c r="AE12" s="7" t="str">
        <f>IF(SUM(W247:W276)=0,"",SUM(W247:W276))</f>
        <v/>
      </c>
      <c r="AF12" s="17" t="str">
        <f t="shared" si="21"/>
        <v/>
      </c>
      <c r="AJ12" s="39"/>
      <c r="AL12" s="5">
        <v>46031</v>
      </c>
      <c r="AM12" s="23">
        <f>IF([1]CHAMNORD!J13=0,"",[1]CHAMNORD!J13)</f>
        <v>1037</v>
      </c>
      <c r="AN12" s="22">
        <f t="shared" si="6"/>
        <v>1037</v>
      </c>
      <c r="AO12" s="23">
        <f>IF([2]CHAMNORD!J14=0,"",[2]CHAMNORD!J14)</f>
        <v>1317</v>
      </c>
      <c r="AP12" s="17">
        <f t="shared" si="7"/>
        <v>-9.9179206566347489E-2</v>
      </c>
      <c r="AQ12" s="12" t="s">
        <v>23</v>
      </c>
      <c r="AR12" s="7">
        <f>SUM(AM58:AM64)</f>
        <v>8645</v>
      </c>
      <c r="AS12" s="7">
        <f>SUM(AO57:AO63)</f>
        <v>7112</v>
      </c>
      <c r="AT12" s="17">
        <f t="shared" si="22"/>
        <v>-0.1773279352226721</v>
      </c>
      <c r="AU12" s="12" t="s">
        <v>11</v>
      </c>
      <c r="AV12" s="6">
        <f>SUM(AM247:AM276)</f>
        <v>31013</v>
      </c>
      <c r="AW12" s="7" t="str">
        <f>IF(SUM(AO247:AO276)=0,"",SUM(AO247:AO276))</f>
        <v/>
      </c>
      <c r="AX12" s="17" t="str">
        <f t="shared" si="23"/>
        <v/>
      </c>
      <c r="BB12" s="39"/>
      <c r="BD12" s="5">
        <v>46031</v>
      </c>
      <c r="BE12" s="42">
        <f t="shared" si="9"/>
        <v>16.648669238187075</v>
      </c>
      <c r="BF12" s="72">
        <f t="shared" si="10"/>
        <v>16.648669238187075</v>
      </c>
      <c r="BG12" s="42">
        <f t="shared" si="11"/>
        <v>19.12204252088079</v>
      </c>
      <c r="BH12" s="17">
        <f t="shared" si="12"/>
        <v>3.7406558966725179E-2</v>
      </c>
      <c r="BI12" s="12" t="s">
        <v>23</v>
      </c>
      <c r="BJ12" s="45">
        <f t="shared" si="13"/>
        <v>19.037111625216891</v>
      </c>
      <c r="BK12" s="45">
        <f t="shared" si="14"/>
        <v>19.5343714848144</v>
      </c>
      <c r="BL12" s="17">
        <f t="shared" si="24"/>
        <v>2.6120551761582789E-2</v>
      </c>
      <c r="BM12" s="12" t="s">
        <v>11</v>
      </c>
      <c r="BN12" s="45">
        <f t="shared" si="15"/>
        <v>17.934816044884403</v>
      </c>
      <c r="BO12" s="45" t="str">
        <f t="shared" si="16"/>
        <v/>
      </c>
      <c r="BP12" s="17" t="str">
        <f t="shared" si="25"/>
        <v/>
      </c>
      <c r="BT12" s="39"/>
      <c r="BV12" s="47" t="s">
        <v>23</v>
      </c>
      <c r="BW12" s="45"/>
      <c r="BX12" s="45"/>
      <c r="BY12" s="50">
        <f t="shared" si="26"/>
        <v>0</v>
      </c>
      <c r="BZ12" s="12" t="s">
        <v>11</v>
      </c>
      <c r="CA12" s="53">
        <v>410</v>
      </c>
      <c r="CB12" s="53"/>
      <c r="CC12" s="50">
        <f t="shared" si="27"/>
        <v>-410</v>
      </c>
      <c r="CG12" s="39"/>
      <c r="CI12" s="47" t="s">
        <v>23</v>
      </c>
      <c r="CJ12" s="45"/>
      <c r="CK12" s="45"/>
      <c r="CL12" s="50">
        <f t="shared" si="28"/>
        <v>0</v>
      </c>
      <c r="CM12" s="12" t="s">
        <v>11</v>
      </c>
      <c r="CN12" s="53">
        <v>420</v>
      </c>
      <c r="CO12" s="53"/>
      <c r="CP12" s="50">
        <f t="shared" si="29"/>
        <v>-420</v>
      </c>
      <c r="CT12" s="39"/>
      <c r="CV12" s="47" t="s">
        <v>11</v>
      </c>
      <c r="CW12" s="53">
        <v>45</v>
      </c>
      <c r="CX12" s="53"/>
      <c r="CY12" s="58">
        <f t="shared" si="30"/>
        <v>-45</v>
      </c>
      <c r="DC12" s="39"/>
    </row>
    <row r="13" spans="2:107">
      <c r="B13" s="5">
        <v>46032</v>
      </c>
      <c r="C13" s="23">
        <f>IF([1]CHAMNORD!H14=0,"",[1]CHAMNORD!H14)</f>
        <v>26948.38</v>
      </c>
      <c r="D13" s="22">
        <f t="shared" si="0"/>
        <v>26948.38</v>
      </c>
      <c r="E13" s="23">
        <f>IF([2]CHAMNORD!H15=0,"",[2]CHAMNORD!H15)</f>
        <v>28987.31</v>
      </c>
      <c r="F13" s="17">
        <f t="shared" si="1"/>
        <v>-5.2597949512740438E-2</v>
      </c>
      <c r="G13" s="12" t="s">
        <v>24</v>
      </c>
      <c r="H13" s="7">
        <f>SUM(C65:C71)</f>
        <v>160564.90000000002</v>
      </c>
      <c r="I13" s="7">
        <f>SUM(E64:E70)</f>
        <v>137298.37</v>
      </c>
      <c r="J13" s="17">
        <f t="shared" si="18"/>
        <v>-0.14490421007331011</v>
      </c>
      <c r="K13" s="12" t="s">
        <v>12</v>
      </c>
      <c r="L13" s="6">
        <f>SUM(C277:C307)</f>
        <v>623138.86999999988</v>
      </c>
      <c r="M13" s="7" t="str">
        <f>IF(SUM(E277:E307)=0,"",SUM(E277:E307))</f>
        <v/>
      </c>
      <c r="N13" s="17" t="str">
        <f t="shared" si="19"/>
        <v/>
      </c>
      <c r="R13" s="39"/>
      <c r="T13" s="5">
        <v>46032</v>
      </c>
      <c r="U13" s="23">
        <f>IF([1]CHAMNORD!I14=0,"",[1]CHAMNORD!I14)</f>
        <v>26581.4</v>
      </c>
      <c r="V13" s="22">
        <f t="shared" si="3"/>
        <v>26581.4</v>
      </c>
      <c r="W13" s="23">
        <f>IF([2]CHAMNORD!I15=0,"",[2]CHAMNORD!I15)</f>
        <v>28589.06</v>
      </c>
      <c r="X13" s="17">
        <f t="shared" si="4"/>
        <v>-5.0928537117084782E-2</v>
      </c>
      <c r="Y13" s="12" t="s">
        <v>24</v>
      </c>
      <c r="Z13" s="7">
        <f>SUM(U65:U71)</f>
        <v>158641.07999999999</v>
      </c>
      <c r="AA13" s="7">
        <f>SUM(W64:W70)</f>
        <v>135372</v>
      </c>
      <c r="AB13" s="17">
        <f t="shared" si="20"/>
        <v>-0.14667751883686109</v>
      </c>
      <c r="AC13" s="12" t="s">
        <v>12</v>
      </c>
      <c r="AD13" s="6">
        <f>SUM(U277:U307)</f>
        <v>614434.46000000008</v>
      </c>
      <c r="AE13" s="7" t="str">
        <f>IF(SUM(W277:W307)=0,"",SUM(W277:W307))</f>
        <v/>
      </c>
      <c r="AF13" s="17" t="str">
        <f t="shared" si="21"/>
        <v/>
      </c>
      <c r="AJ13" s="39"/>
      <c r="AL13" s="5">
        <v>46032</v>
      </c>
      <c r="AM13" s="23">
        <f>IF([1]CHAMNORD!J14=0,"",[1]CHAMNORD!J14)</f>
        <v>1462</v>
      </c>
      <c r="AN13" s="22">
        <f t="shared" si="6"/>
        <v>1462</v>
      </c>
      <c r="AO13" s="23">
        <f>IF([2]CHAMNORD!J15=0,"",[2]CHAMNORD!J15)</f>
        <v>1405</v>
      </c>
      <c r="AP13" s="17">
        <f t="shared" si="7"/>
        <v>-0.12678682411435671</v>
      </c>
      <c r="AQ13" s="12" t="s">
        <v>24</v>
      </c>
      <c r="AR13" s="7">
        <f>SUM(AM65:AM71)</f>
        <v>8534</v>
      </c>
      <c r="AS13" s="7">
        <f>SUM(AO64:AO70)</f>
        <v>7201</v>
      </c>
      <c r="AT13" s="17">
        <f t="shared" si="22"/>
        <v>-0.15619873447386923</v>
      </c>
      <c r="AU13" s="12" t="s">
        <v>12</v>
      </c>
      <c r="AV13" s="6">
        <f>SUM(AM277:AM307)</f>
        <v>33758</v>
      </c>
      <c r="AW13" s="7" t="str">
        <f>IF(SUM(AO277:AO307)=0,"",SUM(AO277:AO307))</f>
        <v/>
      </c>
      <c r="AX13" s="17" t="str">
        <f t="shared" si="23"/>
        <v/>
      </c>
      <c r="BB13" s="39"/>
      <c r="BD13" s="5">
        <v>46032</v>
      </c>
      <c r="BE13" s="42">
        <f t="shared" si="9"/>
        <v>18.432544459644323</v>
      </c>
      <c r="BF13" s="72">
        <f t="shared" si="10"/>
        <v>18.432544459644323</v>
      </c>
      <c r="BG13" s="42">
        <f t="shared" si="11"/>
        <v>20.631537366548045</v>
      </c>
      <c r="BH13" s="17">
        <f t="shared" si="12"/>
        <v>8.4960782372954124E-2</v>
      </c>
      <c r="BI13" s="12" t="s">
        <v>24</v>
      </c>
      <c r="BJ13" s="45">
        <f t="shared" si="13"/>
        <v>18.814729318022032</v>
      </c>
      <c r="BK13" s="45">
        <f t="shared" si="14"/>
        <v>19.066569920844326</v>
      </c>
      <c r="BL13" s="17">
        <f t="shared" si="24"/>
        <v>1.3385289714535675E-2</v>
      </c>
      <c r="BM13" s="12" t="s">
        <v>12</v>
      </c>
      <c r="BN13" s="45">
        <f t="shared" si="15"/>
        <v>18.458998459624382</v>
      </c>
      <c r="BO13" s="45" t="str">
        <f t="shared" si="16"/>
        <v/>
      </c>
      <c r="BP13" s="17" t="str">
        <f t="shared" si="25"/>
        <v/>
      </c>
      <c r="BT13" s="39"/>
      <c r="BV13" s="47" t="s">
        <v>24</v>
      </c>
      <c r="BW13" s="45"/>
      <c r="BX13" s="45"/>
      <c r="BY13" s="50">
        <f t="shared" si="26"/>
        <v>0</v>
      </c>
      <c r="BZ13" s="12" t="s">
        <v>12</v>
      </c>
      <c r="CA13" s="53">
        <v>470</v>
      </c>
      <c r="CB13" s="53"/>
      <c r="CC13" s="50">
        <f t="shared" si="27"/>
        <v>-470</v>
      </c>
      <c r="CG13" s="39"/>
      <c r="CI13" s="47" t="s">
        <v>24</v>
      </c>
      <c r="CJ13" s="45"/>
      <c r="CK13" s="45"/>
      <c r="CL13" s="50">
        <f t="shared" si="28"/>
        <v>0</v>
      </c>
      <c r="CM13" s="12" t="s">
        <v>12</v>
      </c>
      <c r="CN13" s="53">
        <v>467</v>
      </c>
      <c r="CO13" s="53"/>
      <c r="CP13" s="50">
        <f t="shared" si="29"/>
        <v>-467</v>
      </c>
      <c r="CT13" s="39"/>
      <c r="CV13" s="47" t="s">
        <v>12</v>
      </c>
      <c r="CW13" s="53">
        <v>71</v>
      </c>
      <c r="CX13" s="53"/>
      <c r="CY13" s="58">
        <f t="shared" si="30"/>
        <v>-71</v>
      </c>
      <c r="DC13" s="39"/>
    </row>
    <row r="14" spans="2:107">
      <c r="B14" s="5">
        <v>46033</v>
      </c>
      <c r="C14" s="23">
        <f>IF([1]CHAMNORD!H15=0,"",[1]CHAMNORD!H15)</f>
        <v>30596.63</v>
      </c>
      <c r="D14" s="22">
        <f t="shared" si="0"/>
        <v>30596.63</v>
      </c>
      <c r="E14" s="24">
        <f>IF([2]CHAMNORD!H16=0,"",[2]CHAMNORD!H16)</f>
        <v>24295.42</v>
      </c>
      <c r="F14" s="17">
        <f t="shared" si="1"/>
        <v>-6.2368132722690151E-2</v>
      </c>
      <c r="G14" s="12" t="s">
        <v>25</v>
      </c>
      <c r="H14" s="7">
        <f>SUM(C72:C78)</f>
        <v>145885.51999999999</v>
      </c>
      <c r="I14" s="7">
        <f>SUM(E71:E77)</f>
        <v>135106.86000000002</v>
      </c>
      <c r="J14" s="17">
        <f t="shared" si="18"/>
        <v>-7.3884371800573279E-2</v>
      </c>
      <c r="K14" s="12" t="s">
        <v>13</v>
      </c>
      <c r="L14" s="6">
        <f>SUM(C308:C337)</f>
        <v>585153.78</v>
      </c>
      <c r="M14" s="7" t="str">
        <f>IF(SUM(E308:E337)=0,"",SUM(E308:E337))</f>
        <v/>
      </c>
      <c r="N14" s="17" t="str">
        <f t="shared" si="19"/>
        <v/>
      </c>
      <c r="R14" s="39"/>
      <c r="T14" s="5">
        <v>46033</v>
      </c>
      <c r="U14" s="23">
        <f>IF([1]CHAMNORD!I15=0,"",[1]CHAMNORD!I15)</f>
        <v>30123.19</v>
      </c>
      <c r="V14" s="22">
        <f t="shared" si="3"/>
        <v>30123.19</v>
      </c>
      <c r="W14" s="24">
        <f>IF([2]CHAMNORD!I16=0,"",[2]CHAMNORD!I16)</f>
        <v>23890.28</v>
      </c>
      <c r="X14" s="17">
        <f t="shared" si="4"/>
        <v>-6.3336748252255548E-2</v>
      </c>
      <c r="Y14" s="12" t="s">
        <v>25</v>
      </c>
      <c r="Z14" s="7">
        <f>SUM(U72:U78)</f>
        <v>144275.34</v>
      </c>
      <c r="AA14" s="7">
        <f>SUM(W71:W77)</f>
        <v>133347.48000000001</v>
      </c>
      <c r="AB14" s="17">
        <f t="shared" si="20"/>
        <v>-7.574308956748943E-2</v>
      </c>
      <c r="AC14" s="12" t="s">
        <v>13</v>
      </c>
      <c r="AD14" s="6">
        <f>SUM(U308:U337)</f>
        <v>577248.71999999986</v>
      </c>
      <c r="AE14" s="7" t="str">
        <f>IF(SUM(W308:W337)=0,"",SUM(W308:W337))</f>
        <v/>
      </c>
      <c r="AF14" s="17" t="str">
        <f t="shared" si="21"/>
        <v/>
      </c>
      <c r="AJ14" s="39"/>
      <c r="AL14" s="5">
        <v>46033</v>
      </c>
      <c r="AM14" s="23">
        <f>IF([1]CHAMNORD!J15=0,"",[1]CHAMNORD!J15)</f>
        <v>1609</v>
      </c>
      <c r="AN14" s="22">
        <f t="shared" si="6"/>
        <v>1609</v>
      </c>
      <c r="AO14" s="24">
        <f>IF([2]CHAMNORD!J16=0,"",[2]CHAMNORD!J16)</f>
        <v>1159</v>
      </c>
      <c r="AP14" s="17">
        <f t="shared" si="7"/>
        <v>-7.3541167066346946E-2</v>
      </c>
      <c r="AQ14" s="12" t="s">
        <v>25</v>
      </c>
      <c r="AR14" s="7">
        <f>SUM(AM72:AM78)</f>
        <v>8173</v>
      </c>
      <c r="AS14" s="7">
        <f>SUM(AO71:AO77)</f>
        <v>7216</v>
      </c>
      <c r="AT14" s="17">
        <f t="shared" si="22"/>
        <v>-0.11709286675639297</v>
      </c>
      <c r="AU14" s="12" t="s">
        <v>13</v>
      </c>
      <c r="AV14" s="6">
        <f>SUM(AM308:AM337)</f>
        <v>31847</v>
      </c>
      <c r="AW14" s="7" t="str">
        <f>IF(SUM(AO308:AO337)=0,"",SUM(AO308:AO337))</f>
        <v/>
      </c>
      <c r="AX14" s="17" t="str">
        <f t="shared" si="23"/>
        <v/>
      </c>
      <c r="BB14" s="39"/>
      <c r="BD14" s="5">
        <v>46033</v>
      </c>
      <c r="BE14" s="42">
        <f t="shared" si="9"/>
        <v>19.015929148539467</v>
      </c>
      <c r="BF14" s="72">
        <f t="shared" si="10"/>
        <v>19.015929148539467</v>
      </c>
      <c r="BG14" s="43">
        <f t="shared" si="11"/>
        <v>20.962398619499567</v>
      </c>
      <c r="BH14" s="17">
        <f t="shared" si="12"/>
        <v>1.2059936120720094E-2</v>
      </c>
      <c r="BI14" s="12" t="s">
        <v>25</v>
      </c>
      <c r="BJ14" s="45">
        <f t="shared" si="13"/>
        <v>17.849690444145356</v>
      </c>
      <c r="BK14" s="45">
        <f t="shared" si="14"/>
        <v>18.723234478935701</v>
      </c>
      <c r="BL14" s="17">
        <f t="shared" si="24"/>
        <v>4.893888986611894E-2</v>
      </c>
      <c r="BM14" s="12" t="s">
        <v>13</v>
      </c>
      <c r="BN14" s="45">
        <f t="shared" si="15"/>
        <v>18.373905862404623</v>
      </c>
      <c r="BO14" s="45" t="str">
        <f t="shared" si="16"/>
        <v/>
      </c>
      <c r="BP14" s="17" t="str">
        <f t="shared" si="25"/>
        <v/>
      </c>
      <c r="BT14" s="39"/>
      <c r="BV14" s="47" t="s">
        <v>25</v>
      </c>
      <c r="BW14" s="45"/>
      <c r="BX14" s="45"/>
      <c r="BY14" s="50">
        <f t="shared" si="26"/>
        <v>0</v>
      </c>
      <c r="BZ14" s="12" t="s">
        <v>13</v>
      </c>
      <c r="CA14" s="53">
        <v>392</v>
      </c>
      <c r="CB14" s="53"/>
      <c r="CC14" s="50">
        <f t="shared" si="27"/>
        <v>-392</v>
      </c>
      <c r="CG14" s="39"/>
      <c r="CI14" s="47" t="s">
        <v>25</v>
      </c>
      <c r="CJ14" s="45"/>
      <c r="CK14" s="45"/>
      <c r="CL14" s="50">
        <f t="shared" si="28"/>
        <v>0</v>
      </c>
      <c r="CM14" s="12" t="s">
        <v>13</v>
      </c>
      <c r="CN14" s="53">
        <v>358</v>
      </c>
      <c r="CO14" s="53"/>
      <c r="CP14" s="50">
        <f t="shared" si="29"/>
        <v>-358</v>
      </c>
      <c r="CT14" s="39"/>
      <c r="CV14" s="47" t="s">
        <v>13</v>
      </c>
      <c r="CW14" s="53">
        <v>47</v>
      </c>
      <c r="CX14" s="53"/>
      <c r="CY14" s="58">
        <f t="shared" si="30"/>
        <v>-47</v>
      </c>
      <c r="DC14" s="39"/>
    </row>
    <row r="15" spans="2:107" ht="18" thickBot="1">
      <c r="B15" s="5">
        <v>46034</v>
      </c>
      <c r="C15" s="24">
        <f>IF([1]CHAMNORD!H16=0,"",[1]CHAMNORD!H16)</f>
        <v>25911.47</v>
      </c>
      <c r="D15" s="22">
        <f t="shared" si="0"/>
        <v>25911.47</v>
      </c>
      <c r="E15" s="21">
        <f>IF([2]CHAMNORD!H17=0,"",[2]CHAMNORD!H17)</f>
        <v>12459.53</v>
      </c>
      <c r="F15" s="17">
        <f t="shared" si="1"/>
        <v>-5.6051160017485668E-2</v>
      </c>
      <c r="G15" s="12" t="s">
        <v>26</v>
      </c>
      <c r="H15" s="7">
        <f>SUM(C79:C85)</f>
        <v>138813.23000000001</v>
      </c>
      <c r="I15" s="7">
        <f>SUM(E78:E84)</f>
        <v>136427.66999999998</v>
      </c>
      <c r="J15" s="17">
        <f t="shared" si="18"/>
        <v>-1.718539364007321E-2</v>
      </c>
      <c r="K15" s="12" t="s">
        <v>14</v>
      </c>
      <c r="L15" s="6">
        <f>SUM(C338:C368)</f>
        <v>622311.01</v>
      </c>
      <c r="M15" s="7" t="str">
        <f>IF(SUM(E338:E368)=0,"",SUM(E338:E368))</f>
        <v/>
      </c>
      <c r="N15" s="17" t="str">
        <f t="shared" si="19"/>
        <v/>
      </c>
      <c r="R15" s="39"/>
      <c r="T15" s="5">
        <v>46034</v>
      </c>
      <c r="U15" s="24">
        <f>IF([1]CHAMNORD!I16=0,"",[1]CHAMNORD!I16)</f>
        <v>25505.73</v>
      </c>
      <c r="V15" s="22">
        <f t="shared" si="3"/>
        <v>25505.73</v>
      </c>
      <c r="W15" s="21">
        <f>IF([2]CHAMNORD!I17=0,"",[2]CHAMNORD!I17)</f>
        <v>12302.34</v>
      </c>
      <c r="X15" s="17">
        <f t="shared" si="4"/>
        <v>-5.803037159376212E-2</v>
      </c>
      <c r="Y15" s="12" t="s">
        <v>26</v>
      </c>
      <c r="Z15" s="7">
        <f>SUM(U79:U85)</f>
        <v>137200.21</v>
      </c>
      <c r="AA15" s="7">
        <f>SUM(W78:W84)</f>
        <v>134637.24</v>
      </c>
      <c r="AB15" s="17">
        <f t="shared" si="20"/>
        <v>-1.8680510765982095E-2</v>
      </c>
      <c r="AC15" s="12" t="s">
        <v>14</v>
      </c>
      <c r="AD15" s="6">
        <f>SUM(U338:U368)</f>
        <v>611272.35999999987</v>
      </c>
      <c r="AE15" s="7" t="str">
        <f>IF(SUM(W338:W368)=0,"",SUM(W338:W368))</f>
        <v/>
      </c>
      <c r="AF15" s="17" t="str">
        <f t="shared" si="21"/>
        <v/>
      </c>
      <c r="AJ15" s="39"/>
      <c r="AL15" s="5">
        <v>46034</v>
      </c>
      <c r="AM15" s="24">
        <f>IF([1]CHAMNORD!J16=0,"",[1]CHAMNORD!J16)</f>
        <v>1251</v>
      </c>
      <c r="AN15" s="22">
        <f t="shared" si="6"/>
        <v>1251</v>
      </c>
      <c r="AO15" s="21">
        <f>IF([2]CHAMNORD!J17=0,"",[2]CHAMNORD!J17)</f>
        <v>747</v>
      </c>
      <c r="AP15" s="17">
        <f t="shared" si="7"/>
        <v>-0.11702127659574468</v>
      </c>
      <c r="AQ15" s="12" t="s">
        <v>26</v>
      </c>
      <c r="AR15" s="7">
        <f>SUM(AM79:AM85)</f>
        <v>7919</v>
      </c>
      <c r="AS15" s="7">
        <f>SUM(AO78:AO84)</f>
        <v>7382</v>
      </c>
      <c r="AT15" s="17">
        <f t="shared" si="22"/>
        <v>-6.7811592372774343E-2</v>
      </c>
      <c r="AU15" s="12" t="s">
        <v>14</v>
      </c>
      <c r="AV15" s="6">
        <f>SUM(AM338:AM368)</f>
        <v>32691</v>
      </c>
      <c r="AW15" s="7" t="str">
        <f>IF(SUM(AO338:AO368)=0,"",SUM(AO338:AO368))</f>
        <v/>
      </c>
      <c r="AX15" s="17" t="str">
        <f t="shared" si="23"/>
        <v/>
      </c>
      <c r="BB15" s="39"/>
      <c r="BD15" s="5">
        <v>46034</v>
      </c>
      <c r="BE15" s="43">
        <f t="shared" si="9"/>
        <v>20.712605915267787</v>
      </c>
      <c r="BF15" s="72">
        <f t="shared" si="10"/>
        <v>20.712605915267787</v>
      </c>
      <c r="BG15" s="41">
        <f t="shared" si="11"/>
        <v>16.679424364123161</v>
      </c>
      <c r="BH15" s="17">
        <f t="shared" si="12"/>
        <v>6.9050493474172914E-2</v>
      </c>
      <c r="BI15" s="12" t="s">
        <v>26</v>
      </c>
      <c r="BJ15" s="45">
        <f t="shared" si="13"/>
        <v>17.529136254577601</v>
      </c>
      <c r="BK15" s="45">
        <f t="shared" si="14"/>
        <v>18.481125711189378</v>
      </c>
      <c r="BL15" s="17">
        <f t="shared" si="24"/>
        <v>5.4308976939076103E-2</v>
      </c>
      <c r="BM15" s="12" t="s">
        <v>14</v>
      </c>
      <c r="BN15" s="45">
        <f t="shared" si="15"/>
        <v>19.036157046281851</v>
      </c>
      <c r="BO15" s="45" t="str">
        <f t="shared" si="16"/>
        <v/>
      </c>
      <c r="BP15" s="17" t="str">
        <f t="shared" si="25"/>
        <v/>
      </c>
      <c r="BT15" s="39"/>
      <c r="BV15" s="47" t="s">
        <v>26</v>
      </c>
      <c r="BW15" s="45"/>
      <c r="BX15" s="45"/>
      <c r="BY15" s="50">
        <f t="shared" si="26"/>
        <v>0</v>
      </c>
      <c r="BZ15" s="12" t="s">
        <v>14</v>
      </c>
      <c r="CA15" s="53">
        <v>406</v>
      </c>
      <c r="CB15" s="53"/>
      <c r="CC15" s="50">
        <f t="shared" si="27"/>
        <v>-406</v>
      </c>
      <c r="CG15" s="39"/>
      <c r="CI15" s="47" t="s">
        <v>26</v>
      </c>
      <c r="CJ15" s="45"/>
      <c r="CK15" s="45"/>
      <c r="CL15" s="50">
        <f t="shared" si="28"/>
        <v>0</v>
      </c>
      <c r="CM15" s="12" t="s">
        <v>14</v>
      </c>
      <c r="CN15" s="53">
        <v>405</v>
      </c>
      <c r="CO15" s="53"/>
      <c r="CP15" s="50">
        <f t="shared" si="29"/>
        <v>-405</v>
      </c>
      <c r="CT15" s="39"/>
      <c r="CV15" s="48" t="s">
        <v>14</v>
      </c>
      <c r="CW15" s="54">
        <v>61</v>
      </c>
      <c r="CX15" s="54"/>
      <c r="CY15" s="59">
        <f t="shared" si="30"/>
        <v>-61</v>
      </c>
      <c r="CZ15" s="9"/>
      <c r="DA15" s="9"/>
      <c r="DB15" s="9"/>
      <c r="DC15" s="40"/>
    </row>
    <row r="16" spans="2:107" ht="18" thickBot="1">
      <c r="B16" s="5">
        <v>46035</v>
      </c>
      <c r="C16" s="21">
        <f>IF([1]CHAMNORD!H17=0,"",[1]CHAMNORD!H17)</f>
        <v>13199.37</v>
      </c>
      <c r="D16" s="22">
        <f t="shared" si="0"/>
        <v>13199.37</v>
      </c>
      <c r="E16" s="23">
        <f>IF([2]CHAMNORD!H18=0,"",[2]CHAMNORD!H18)</f>
        <v>16074.3</v>
      </c>
      <c r="F16" s="17">
        <f t="shared" si="1"/>
        <v>9.2903196855565362E-2</v>
      </c>
      <c r="G16" s="12" t="s">
        <v>27</v>
      </c>
      <c r="H16" s="7">
        <f>SUM(C86:C92)</f>
        <v>145586.76</v>
      </c>
      <c r="I16" s="7">
        <f>SUM(E85:E91)</f>
        <v>145865</v>
      </c>
      <c r="J16" s="17">
        <f t="shared" si="18"/>
        <v>1.9111628007930648E-3</v>
      </c>
      <c r="R16" s="39"/>
      <c r="T16" s="5">
        <v>46035</v>
      </c>
      <c r="U16" s="21">
        <f>IF([1]CHAMNORD!I17=0,"",[1]CHAMNORD!I17)</f>
        <v>13060.23</v>
      </c>
      <c r="V16" s="22">
        <f t="shared" si="3"/>
        <v>13060.23</v>
      </c>
      <c r="W16" s="23">
        <f>IF([2]CHAMNORD!I18=0,"",[2]CHAMNORD!I18)</f>
        <v>15884.71</v>
      </c>
      <c r="X16" s="17">
        <f t="shared" si="4"/>
        <v>9.4055351877628812E-2</v>
      </c>
      <c r="Y16" s="12" t="s">
        <v>27</v>
      </c>
      <c r="Z16" s="7">
        <f>SUM(U86:U92)</f>
        <v>142601.35</v>
      </c>
      <c r="AA16" s="7">
        <f>SUM(W85:W91)</f>
        <v>143211.39000000001</v>
      </c>
      <c r="AB16" s="17">
        <f t="shared" si="20"/>
        <v>4.2779398652257328E-3</v>
      </c>
      <c r="AJ16" s="39"/>
      <c r="AL16" s="5">
        <v>46035</v>
      </c>
      <c r="AM16" s="21">
        <f>IF([1]CHAMNORD!J17=0,"",[1]CHAMNORD!J17)</f>
        <v>846</v>
      </c>
      <c r="AN16" s="22">
        <f t="shared" si="6"/>
        <v>846</v>
      </c>
      <c r="AO16" s="23">
        <f>IF([2]CHAMNORD!J18=0,"",[2]CHAMNORD!J18)</f>
        <v>908</v>
      </c>
      <c r="AP16" s="17">
        <f t="shared" si="7"/>
        <v>5.5370985603544476E-3</v>
      </c>
      <c r="AQ16" s="12" t="s">
        <v>27</v>
      </c>
      <c r="AR16" s="7">
        <f>SUM(AM86:AM92)</f>
        <v>8185</v>
      </c>
      <c r="AS16" s="7">
        <f>SUM(AO85:AO91)</f>
        <v>7587</v>
      </c>
      <c r="AT16" s="17">
        <f t="shared" si="22"/>
        <v>-7.3060476481368375E-2</v>
      </c>
      <c r="BB16" s="39"/>
      <c r="BD16" s="5">
        <v>46035</v>
      </c>
      <c r="BE16" s="41">
        <f t="shared" si="9"/>
        <v>15.602092198581561</v>
      </c>
      <c r="BF16" s="72">
        <f t="shared" si="10"/>
        <v>15.602092198581561</v>
      </c>
      <c r="BG16" s="42">
        <f t="shared" si="11"/>
        <v>17.702973568281937</v>
      </c>
      <c r="BH16" s="17">
        <f t="shared" si="12"/>
        <v>8.6885007445567597E-2</v>
      </c>
      <c r="BI16" s="12" t="s">
        <v>27</v>
      </c>
      <c r="BJ16" s="45">
        <f t="shared" si="13"/>
        <v>17.787020158827122</v>
      </c>
      <c r="BK16" s="45">
        <f t="shared" si="14"/>
        <v>19.225649136681167</v>
      </c>
      <c r="BL16" s="17">
        <f t="shared" si="24"/>
        <v>8.0880831359495531E-2</v>
      </c>
      <c r="BT16" s="39"/>
      <c r="BV16" s="47" t="s">
        <v>27</v>
      </c>
      <c r="BW16" s="45"/>
      <c r="BX16" s="45"/>
      <c r="BY16" s="50">
        <f t="shared" si="26"/>
        <v>0</v>
      </c>
      <c r="BZ16" s="10"/>
      <c r="CG16" s="39"/>
      <c r="CI16" s="47" t="s">
        <v>27</v>
      </c>
      <c r="CJ16" s="45"/>
      <c r="CK16" s="45"/>
      <c r="CL16" s="50">
        <f t="shared" si="28"/>
        <v>0</v>
      </c>
      <c r="CM16" s="10"/>
      <c r="CT16" s="39"/>
    </row>
    <row r="17" spans="2:107">
      <c r="B17" s="5">
        <v>46036</v>
      </c>
      <c r="C17" s="23">
        <f>IF([1]CHAMNORD!H18=0,"",[1]CHAMNORD!H18)</f>
        <v>14707.89</v>
      </c>
      <c r="D17" s="22">
        <f t="shared" si="0"/>
        <v>14707.89</v>
      </c>
      <c r="E17" s="23">
        <f>IF([2]CHAMNORD!H19=0,"",[2]CHAMNORD!H19)</f>
        <v>18153.47</v>
      </c>
      <c r="F17" s="17">
        <f t="shared" si="1"/>
        <v>-9.2272944103702015E-2</v>
      </c>
      <c r="G17" s="12" t="s">
        <v>28</v>
      </c>
      <c r="H17" s="7">
        <f>SUM(C93:C99)</f>
        <v>155892.38</v>
      </c>
      <c r="I17" s="7">
        <f>SUM(E92:E98)</f>
        <v>135777.96</v>
      </c>
      <c r="J17" s="17">
        <f t="shared" si="18"/>
        <v>-0.12902760224714005</v>
      </c>
      <c r="R17" s="39"/>
      <c r="T17" s="5">
        <v>46036</v>
      </c>
      <c r="U17" s="23">
        <f>IF([1]CHAMNORD!I18=0,"",[1]CHAMNORD!I18)</f>
        <v>14519.11</v>
      </c>
      <c r="V17" s="22">
        <f t="shared" si="3"/>
        <v>14519.11</v>
      </c>
      <c r="W17" s="23">
        <f>IF([2]CHAMNORD!I19=0,"",[2]CHAMNORD!I19)</f>
        <v>17905.810000000001</v>
      </c>
      <c r="X17" s="17">
        <f t="shared" si="4"/>
        <v>-9.3820392749473958E-2</v>
      </c>
      <c r="Y17" s="12" t="s">
        <v>28</v>
      </c>
      <c r="Z17" s="7">
        <f>SUM(U93:U99)</f>
        <v>153099.81</v>
      </c>
      <c r="AA17" s="7">
        <f>SUM(W92:W98)</f>
        <v>133046.76</v>
      </c>
      <c r="AB17" s="17">
        <f t="shared" si="20"/>
        <v>-0.13098024092910365</v>
      </c>
      <c r="AJ17" s="39"/>
      <c r="AL17" s="5">
        <v>46036</v>
      </c>
      <c r="AM17" s="23">
        <f>IF([1]CHAMNORD!J18=0,"",[1]CHAMNORD!J18)</f>
        <v>903</v>
      </c>
      <c r="AN17" s="22">
        <f t="shared" si="6"/>
        <v>903</v>
      </c>
      <c r="AO17" s="23">
        <f>IF([2]CHAMNORD!J19=0,"",[2]CHAMNORD!J19)</f>
        <v>1028</v>
      </c>
      <c r="AP17" s="17">
        <f t="shared" si="7"/>
        <v>-0.1339511373209773</v>
      </c>
      <c r="AQ17" s="12" t="s">
        <v>28</v>
      </c>
      <c r="AR17" s="7">
        <f>SUM(AM93:AM99)</f>
        <v>8669</v>
      </c>
      <c r="AS17" s="7">
        <f>SUM(AO92:AO98)</f>
        <v>7073</v>
      </c>
      <c r="AT17" s="17">
        <f t="shared" si="22"/>
        <v>-0.18410427961702613</v>
      </c>
      <c r="BB17" s="39"/>
      <c r="BD17" s="5">
        <v>46036</v>
      </c>
      <c r="BE17" s="42">
        <f t="shared" si="9"/>
        <v>16.287807308970098</v>
      </c>
      <c r="BF17" s="72">
        <f t="shared" si="10"/>
        <v>16.287807308970098</v>
      </c>
      <c r="BG17" s="42">
        <f t="shared" si="11"/>
        <v>17.659017509727626</v>
      </c>
      <c r="BH17" s="17">
        <f t="shared" si="12"/>
        <v>4.8124528549518875E-2</v>
      </c>
      <c r="BI17" s="12" t="s">
        <v>28</v>
      </c>
      <c r="BJ17" s="45">
        <f t="shared" si="13"/>
        <v>17.982740800553696</v>
      </c>
      <c r="BK17" s="45">
        <f t="shared" si="14"/>
        <v>19.196657712427541</v>
      </c>
      <c r="BL17" s="17">
        <f t="shared" si="24"/>
        <v>6.7504554802706673E-2</v>
      </c>
      <c r="BT17" s="39"/>
      <c r="BV17" s="47" t="s">
        <v>28</v>
      </c>
      <c r="BW17" s="45"/>
      <c r="BX17" s="45"/>
      <c r="BY17" s="50">
        <f t="shared" si="26"/>
        <v>0</v>
      </c>
      <c r="BZ17" s="10"/>
      <c r="CG17" s="39"/>
      <c r="CI17" s="47" t="s">
        <v>28</v>
      </c>
      <c r="CJ17" s="45"/>
      <c r="CK17" s="45"/>
      <c r="CL17" s="50">
        <f t="shared" si="28"/>
        <v>0</v>
      </c>
      <c r="CM17" s="10"/>
      <c r="CT17" s="39"/>
      <c r="CV17" s="27" t="s">
        <v>79</v>
      </c>
      <c r="CW17" s="28"/>
      <c r="CX17" s="28"/>
      <c r="CY17" s="28"/>
      <c r="CZ17" s="35"/>
      <c r="DA17" s="35"/>
      <c r="DB17" s="35"/>
      <c r="DC17" s="36"/>
    </row>
    <row r="18" spans="2:107">
      <c r="B18" s="5">
        <v>46037</v>
      </c>
      <c r="C18" s="23">
        <f>IF([1]CHAMNORD!H19=0,"",[1]CHAMNORD!H19)</f>
        <v>19998.82</v>
      </c>
      <c r="D18" s="22">
        <f t="shared" si="0"/>
        <v>19998.82</v>
      </c>
      <c r="E18" s="23">
        <f>IF([2]CHAMNORD!H20=0,"",[2]CHAMNORD!H20)</f>
        <v>17835.849999999999</v>
      </c>
      <c r="F18" s="17">
        <f t="shared" si="1"/>
        <v>-9.2833753622643012E-2</v>
      </c>
      <c r="G18" s="12" t="s">
        <v>29</v>
      </c>
      <c r="H18" s="7">
        <f>SUM(C100:C106)</f>
        <v>149065.44999999998</v>
      </c>
      <c r="I18" s="7">
        <f>SUM(E99:E105)</f>
        <v>144178.37</v>
      </c>
      <c r="J18" s="17">
        <f t="shared" si="18"/>
        <v>-3.2784793525260092E-2</v>
      </c>
      <c r="R18" s="39"/>
      <c r="T18" s="5">
        <v>46037</v>
      </c>
      <c r="U18" s="23">
        <f>IF([1]CHAMNORD!I19=0,"",[1]CHAMNORD!I19)</f>
        <v>19759.669999999998</v>
      </c>
      <c r="V18" s="22">
        <f t="shared" si="3"/>
        <v>19759.669999999998</v>
      </c>
      <c r="W18" s="23">
        <f>IF([2]CHAMNORD!I20=0,"",[2]CHAMNORD!I20)</f>
        <v>17654.27</v>
      </c>
      <c r="X18" s="17">
        <f t="shared" si="4"/>
        <v>-9.4561812366781517E-2</v>
      </c>
      <c r="Y18" s="12" t="s">
        <v>29</v>
      </c>
      <c r="Z18" s="7">
        <f>SUM(U100:U106)</f>
        <v>147014.27999999997</v>
      </c>
      <c r="AA18" s="7">
        <f>SUM(W99:W105)</f>
        <v>141289.22</v>
      </c>
      <c r="AB18" s="17">
        <f t="shared" si="20"/>
        <v>-3.8942203437652201E-2</v>
      </c>
      <c r="AJ18" s="39"/>
      <c r="AL18" s="5">
        <v>46037</v>
      </c>
      <c r="AM18" s="23">
        <f>IF([1]CHAMNORD!J19=0,"",[1]CHAMNORD!J19)</f>
        <v>1187</v>
      </c>
      <c r="AN18" s="22">
        <f t="shared" si="6"/>
        <v>1187</v>
      </c>
      <c r="AO18" s="23">
        <f>IF([2]CHAMNORD!J20=0,"",[2]CHAMNORD!J20)</f>
        <v>1017</v>
      </c>
      <c r="AP18" s="17">
        <f t="shared" si="7"/>
        <v>-0.12553740326741192</v>
      </c>
      <c r="AQ18" s="12" t="s">
        <v>29</v>
      </c>
      <c r="AR18" s="7">
        <f>SUM(AM100:AM106)</f>
        <v>8447</v>
      </c>
      <c r="AS18" s="7">
        <f>SUM(AO99:AO105)</f>
        <v>7285</v>
      </c>
      <c r="AT18" s="17">
        <f t="shared" si="22"/>
        <v>-0.13756363205871902</v>
      </c>
      <c r="BB18" s="39"/>
      <c r="BD18" s="5">
        <v>46037</v>
      </c>
      <c r="BE18" s="42">
        <f t="shared" si="9"/>
        <v>16.84820556023589</v>
      </c>
      <c r="BF18" s="72">
        <f t="shared" si="10"/>
        <v>16.84820556023589</v>
      </c>
      <c r="BG18" s="42">
        <f t="shared" si="11"/>
        <v>17.537708947885939</v>
      </c>
      <c r="BH18" s="17">
        <f t="shared" si="12"/>
        <v>3.739856886614179E-2</v>
      </c>
      <c r="BI18" s="12" t="s">
        <v>29</v>
      </c>
      <c r="BJ18" s="45">
        <f t="shared" si="13"/>
        <v>17.647146916064873</v>
      </c>
      <c r="BK18" s="45">
        <f t="shared" si="14"/>
        <v>19.791128345916267</v>
      </c>
      <c r="BL18" s="17">
        <f t="shared" si="24"/>
        <v>0.12149167454936549</v>
      </c>
      <c r="BT18" s="39"/>
      <c r="BV18" s="47" t="s">
        <v>29</v>
      </c>
      <c r="BW18" s="45"/>
      <c r="BX18" s="45"/>
      <c r="BY18" s="50">
        <f t="shared" si="26"/>
        <v>0</v>
      </c>
      <c r="BZ18" s="10"/>
      <c r="CG18" s="39"/>
      <c r="CI18" s="47" t="s">
        <v>29</v>
      </c>
      <c r="CJ18" s="45"/>
      <c r="CK18" s="45"/>
      <c r="CL18" s="50">
        <f t="shared" si="28"/>
        <v>0</v>
      </c>
      <c r="CM18" s="10"/>
      <c r="CT18" s="39"/>
      <c r="CV18" s="2" t="s">
        <v>2</v>
      </c>
      <c r="CW18" s="3">
        <v>2025</v>
      </c>
      <c r="CX18" s="3">
        <v>2026</v>
      </c>
      <c r="CY18" s="16" t="s">
        <v>75</v>
      </c>
      <c r="CZ18" s="3" t="s">
        <v>70</v>
      </c>
      <c r="DA18" s="3">
        <v>2025</v>
      </c>
      <c r="DB18" s="30">
        <v>2026</v>
      </c>
      <c r="DC18" s="37" t="s">
        <v>75</v>
      </c>
    </row>
    <row r="19" spans="2:107">
      <c r="B19" s="5">
        <v>46038</v>
      </c>
      <c r="C19" s="23">
        <f>IF([1]CHAMNORD!H20=0,"",[1]CHAMNORD!H20)</f>
        <v>19661.060000000001</v>
      </c>
      <c r="D19" s="22">
        <f t="shared" si="0"/>
        <v>19661.060000000001</v>
      </c>
      <c r="E19" s="23">
        <f>IF([2]CHAMNORD!H21=0,"",[2]CHAMNORD!H21)</f>
        <v>26687.200000000001</v>
      </c>
      <c r="F19" s="17">
        <f t="shared" si="1"/>
        <v>-2.5452633270279912E-2</v>
      </c>
      <c r="G19" s="12" t="s">
        <v>30</v>
      </c>
      <c r="H19" s="7">
        <f>SUM(C107:C113)</f>
        <v>141718.21999999997</v>
      </c>
      <c r="I19" s="7">
        <f>SUM(E106:E112)</f>
        <v>135741.96000000002</v>
      </c>
      <c r="J19" s="17">
        <f t="shared" si="18"/>
        <v>-4.2170018787986097E-2</v>
      </c>
      <c r="R19" s="39"/>
      <c r="T19" s="5">
        <v>46038</v>
      </c>
      <c r="U19" s="23">
        <f>IF([1]CHAMNORD!I20=0,"",[1]CHAMNORD!I20)</f>
        <v>19498.04</v>
      </c>
      <c r="V19" s="22">
        <f t="shared" si="3"/>
        <v>19498.04</v>
      </c>
      <c r="W19" s="23">
        <f>IF([2]CHAMNORD!I21=0,"",[2]CHAMNORD!I21)</f>
        <v>26320.01</v>
      </c>
      <c r="X19" s="17">
        <f t="shared" si="4"/>
        <v>-3.1684008296905097E-2</v>
      </c>
      <c r="Y19" s="12" t="s">
        <v>30</v>
      </c>
      <c r="Z19" s="7">
        <f>SUM(U107:U113)</f>
        <v>140070.42000000001</v>
      </c>
      <c r="AA19" s="7">
        <f>SUM(W106:W112)</f>
        <v>133035.13999999998</v>
      </c>
      <c r="AB19" s="17">
        <f t="shared" si="20"/>
        <v>-5.0226735951816481E-2</v>
      </c>
      <c r="AJ19" s="39"/>
      <c r="AL19" s="5">
        <v>46038</v>
      </c>
      <c r="AM19" s="23">
        <f>IF([1]CHAMNORD!J20=0,"",[1]CHAMNORD!J20)</f>
        <v>1163</v>
      </c>
      <c r="AN19" s="22">
        <f t="shared" si="6"/>
        <v>1163</v>
      </c>
      <c r="AO19" s="23">
        <f>IF([2]CHAMNORD!J21=0,"",[2]CHAMNORD!J21)</f>
        <v>1391</v>
      </c>
      <c r="AP19" s="17">
        <f t="shared" si="7"/>
        <v>-7.0187165775401072E-2</v>
      </c>
      <c r="AQ19" s="12" t="s">
        <v>30</v>
      </c>
      <c r="AR19" s="7">
        <f>SUM(AM107:AM113)</f>
        <v>8044</v>
      </c>
      <c r="AS19" s="7">
        <f>SUM(AO106:AO112)</f>
        <v>6999</v>
      </c>
      <c r="AT19" s="17">
        <f t="shared" si="22"/>
        <v>-0.12991049229239182</v>
      </c>
      <c r="BB19" s="39"/>
      <c r="BD19" s="5">
        <v>46038</v>
      </c>
      <c r="BE19" s="42">
        <f t="shared" si="9"/>
        <v>16.905468615649184</v>
      </c>
      <c r="BF19" s="72">
        <f t="shared" si="10"/>
        <v>16.905468615649184</v>
      </c>
      <c r="BG19" s="42">
        <f t="shared" si="11"/>
        <v>19.185621854780734</v>
      </c>
      <c r="BH19" s="17">
        <f t="shared" si="12"/>
        <v>4.811133042966298E-2</v>
      </c>
      <c r="BI19" s="12" t="s">
        <v>30</v>
      </c>
      <c r="BJ19" s="45">
        <f t="shared" si="13"/>
        <v>17.617879164594726</v>
      </c>
      <c r="BK19" s="45">
        <f t="shared" si="14"/>
        <v>19.394479211315904</v>
      </c>
      <c r="BL19" s="17">
        <f t="shared" si="24"/>
        <v>0.10084074423052414</v>
      </c>
      <c r="BT19" s="39"/>
      <c r="BV19" s="47" t="s">
        <v>30</v>
      </c>
      <c r="BW19" s="45"/>
      <c r="BX19" s="45"/>
      <c r="BY19" s="50">
        <f t="shared" si="26"/>
        <v>0</v>
      </c>
      <c r="BZ19" s="10"/>
      <c r="CG19" s="39"/>
      <c r="CI19" s="47" t="s">
        <v>30</v>
      </c>
      <c r="CJ19" s="45"/>
      <c r="CK19" s="45"/>
      <c r="CL19" s="50">
        <f t="shared" si="28"/>
        <v>0</v>
      </c>
      <c r="CM19" s="10"/>
      <c r="CT19" s="39"/>
      <c r="CV19" s="47" t="s">
        <v>3</v>
      </c>
      <c r="CW19" s="63">
        <v>0.94399999999999995</v>
      </c>
      <c r="CX19" s="63">
        <v>0.89700000000000002</v>
      </c>
      <c r="CY19" s="70">
        <f>CX19-CW19</f>
        <v>-4.6999999999999931E-2</v>
      </c>
      <c r="CZ19" s="32" t="s">
        <v>71</v>
      </c>
      <c r="DA19" s="65">
        <f>AVERAGE(CW19:CW30)</f>
        <v>0.9405</v>
      </c>
      <c r="DB19" s="68">
        <f>AVERAGE(CX19:CX30)</f>
        <v>0.9385</v>
      </c>
      <c r="DC19" s="38">
        <f>DB19-DA19</f>
        <v>-2.0000000000000018E-3</v>
      </c>
    </row>
    <row r="20" spans="2:107">
      <c r="B20" s="5">
        <v>46039</v>
      </c>
      <c r="C20" s="23">
        <f>IF([1]CHAMNORD!H21=0,"",[1]CHAMNORD!H21)</f>
        <v>27384.2</v>
      </c>
      <c r="D20" s="22">
        <f t="shared" si="0"/>
        <v>27384.2</v>
      </c>
      <c r="E20" s="23">
        <f>IF([2]CHAMNORD!H22=0,"",[2]CHAMNORD!H22)</f>
        <v>30558.35</v>
      </c>
      <c r="F20" s="17">
        <f t="shared" si="1"/>
        <v>-3.6005376705338987E-2</v>
      </c>
      <c r="G20" s="12" t="s">
        <v>31</v>
      </c>
      <c r="H20" s="7">
        <f>SUM(C114:C120)</f>
        <v>143839.22</v>
      </c>
      <c r="I20" s="7">
        <f>SUM(E113:E119)</f>
        <v>130629.12</v>
      </c>
      <c r="J20" s="17">
        <f t="shared" si="18"/>
        <v>-9.183934673728078E-2</v>
      </c>
      <c r="R20" s="39"/>
      <c r="T20" s="5">
        <v>46039</v>
      </c>
      <c r="U20" s="23">
        <f>IF([1]CHAMNORD!I21=0,"",[1]CHAMNORD!I21)</f>
        <v>27181.22</v>
      </c>
      <c r="V20" s="22">
        <f t="shared" si="3"/>
        <v>27181.22</v>
      </c>
      <c r="W20" s="23">
        <f>IF([2]CHAMNORD!I22=0,"",[2]CHAMNORD!I22)</f>
        <v>30120.91</v>
      </c>
      <c r="X20" s="17">
        <f t="shared" si="4"/>
        <v>-4.0850814774527122E-2</v>
      </c>
      <c r="Y20" s="12" t="s">
        <v>31</v>
      </c>
      <c r="Z20" s="7">
        <f>SUM(U114:U120)</f>
        <v>142046.95000000001</v>
      </c>
      <c r="AA20" s="7">
        <f>SUM(W113:W119)</f>
        <v>128470.03</v>
      </c>
      <c r="AB20" s="17">
        <f t="shared" si="20"/>
        <v>-9.5580510528385232E-2</v>
      </c>
      <c r="AJ20" s="39"/>
      <c r="AL20" s="5">
        <v>46039</v>
      </c>
      <c r="AM20" s="23">
        <f>IF([1]CHAMNORD!J21=0,"",[1]CHAMNORD!J21)</f>
        <v>1496</v>
      </c>
      <c r="AN20" s="22">
        <f t="shared" si="6"/>
        <v>1496</v>
      </c>
      <c r="AO20" s="23">
        <f>IF([2]CHAMNORD!J22=0,"",[2]CHAMNORD!J22)</f>
        <v>1514</v>
      </c>
      <c r="AP20" s="17">
        <f t="shared" si="7"/>
        <v>-0.11565420560747663</v>
      </c>
      <c r="AQ20" s="12" t="s">
        <v>31</v>
      </c>
      <c r="AR20" s="7">
        <f>SUM(AM114:AM120)</f>
        <v>8002</v>
      </c>
      <c r="AS20" s="7">
        <f>SUM(AO113:AO119)</f>
        <v>7018</v>
      </c>
      <c r="AT20" s="17">
        <f t="shared" si="22"/>
        <v>-0.12296925768557865</v>
      </c>
      <c r="BB20" s="39"/>
      <c r="BD20" s="5">
        <v>46039</v>
      </c>
      <c r="BE20" s="42">
        <f t="shared" si="9"/>
        <v>18.304946524064171</v>
      </c>
      <c r="BF20" s="72">
        <f t="shared" si="10"/>
        <v>18.304946524064171</v>
      </c>
      <c r="BG20" s="42">
        <f t="shared" si="11"/>
        <v>20.18385072655218</v>
      </c>
      <c r="BH20" s="17">
        <f t="shared" si="12"/>
        <v>9.0065254346406665E-2</v>
      </c>
      <c r="BI20" s="12" t="s">
        <v>31</v>
      </c>
      <c r="BJ20" s="45">
        <f t="shared" si="13"/>
        <v>17.975408647838041</v>
      </c>
      <c r="BK20" s="45">
        <f t="shared" si="14"/>
        <v>18.613439726417781</v>
      </c>
      <c r="BL20" s="17">
        <f t="shared" si="24"/>
        <v>3.5494663352561906E-2</v>
      </c>
      <c r="BT20" s="39"/>
      <c r="BV20" s="47" t="s">
        <v>31</v>
      </c>
      <c r="BW20" s="45"/>
      <c r="BX20" s="45"/>
      <c r="BY20" s="50">
        <f t="shared" si="26"/>
        <v>0</v>
      </c>
      <c r="BZ20" s="10"/>
      <c r="CG20" s="39"/>
      <c r="CI20" s="47" t="s">
        <v>31</v>
      </c>
      <c r="CJ20" s="45"/>
      <c r="CK20" s="45"/>
      <c r="CL20" s="50">
        <f t="shared" si="28"/>
        <v>0</v>
      </c>
      <c r="CM20" s="10"/>
      <c r="CT20" s="39"/>
      <c r="CV20" s="47" t="s">
        <v>4</v>
      </c>
      <c r="CW20" s="63">
        <v>0.94499999999999995</v>
      </c>
      <c r="CX20" s="63">
        <v>0.93400000000000005</v>
      </c>
      <c r="CY20" s="70">
        <f t="shared" ref="CY20:CY30" si="31">CX20-CW20</f>
        <v>-1.0999999999999899E-2</v>
      </c>
      <c r="DC20" s="39"/>
    </row>
    <row r="21" spans="2:107">
      <c r="B21" s="5">
        <v>46040</v>
      </c>
      <c r="C21" s="23">
        <f>IF([1]CHAMNORD!H22=0,"",[1]CHAMNORD!H22)</f>
        <v>31699.71</v>
      </c>
      <c r="D21" s="22">
        <f t="shared" si="0"/>
        <v>31699.71</v>
      </c>
      <c r="E21" s="24">
        <f>IF([2]CHAMNORD!H23=0,"",[2]CHAMNORD!H23)</f>
        <v>22921.01</v>
      </c>
      <c r="F21" s="17">
        <f t="shared" si="1"/>
        <v>-6.5391572258521324E-2</v>
      </c>
      <c r="G21" s="12" t="s">
        <v>32</v>
      </c>
      <c r="H21" s="7">
        <f>SUM(C121:C127)</f>
        <v>150959.76999999999</v>
      </c>
      <c r="I21" s="7">
        <f>SUM(E120:E126)</f>
        <v>133947.85</v>
      </c>
      <c r="J21" s="17">
        <f t="shared" si="18"/>
        <v>-0.11269174562202888</v>
      </c>
      <c r="R21" s="39"/>
      <c r="T21" s="5">
        <v>46040</v>
      </c>
      <c r="U21" s="23">
        <f>IF([1]CHAMNORD!I22=0,"",[1]CHAMNORD!I22)</f>
        <v>31403.78</v>
      </c>
      <c r="V21" s="22">
        <f t="shared" si="3"/>
        <v>31403.78</v>
      </c>
      <c r="W21" s="24">
        <f>IF([2]CHAMNORD!I23=0,"",[2]CHAMNORD!I23)</f>
        <v>22517.91</v>
      </c>
      <c r="X21" s="17">
        <f t="shared" si="4"/>
        <v>-6.963010645708545E-2</v>
      </c>
      <c r="Y21" s="12" t="s">
        <v>32</v>
      </c>
      <c r="Z21" s="7">
        <f>SUM(U121:U127)</f>
        <v>149618.18</v>
      </c>
      <c r="AA21" s="7">
        <f>SUM(W120:W126)</f>
        <v>131604.75</v>
      </c>
      <c r="AB21" s="17">
        <f t="shared" si="20"/>
        <v>-0.12039599733134032</v>
      </c>
      <c r="AJ21" s="39"/>
      <c r="AL21" s="5">
        <v>46040</v>
      </c>
      <c r="AM21" s="23">
        <f>IF([1]CHAMNORD!J22=0,"",[1]CHAMNORD!J22)</f>
        <v>1712</v>
      </c>
      <c r="AN21" s="22">
        <f t="shared" si="6"/>
        <v>1712</v>
      </c>
      <c r="AO21" s="24">
        <f>IF([2]CHAMNORD!J23=0,"",[2]CHAMNORD!J23)</f>
        <v>1087</v>
      </c>
      <c r="AP21" s="17">
        <f t="shared" si="7"/>
        <v>-0.12409347300564066</v>
      </c>
      <c r="AQ21" s="12" t="s">
        <v>32</v>
      </c>
      <c r="AR21" s="7">
        <f>SUM(AM121:AM127)</f>
        <v>8290</v>
      </c>
      <c r="AS21" s="7">
        <f>SUM(AO120:AO126)</f>
        <v>6897</v>
      </c>
      <c r="AT21" s="17">
        <f t="shared" si="22"/>
        <v>-0.16803377563329314</v>
      </c>
      <c r="BB21" s="39"/>
      <c r="BD21" s="5">
        <v>46040</v>
      </c>
      <c r="BE21" s="42">
        <f t="shared" si="9"/>
        <v>18.516185747663553</v>
      </c>
      <c r="BF21" s="72">
        <f t="shared" si="10"/>
        <v>18.516185747663553</v>
      </c>
      <c r="BG21" s="43">
        <f t="shared" si="11"/>
        <v>21.086485740570375</v>
      </c>
      <c r="BH21" s="17">
        <f t="shared" si="12"/>
        <v>6.7018453382865717E-2</v>
      </c>
      <c r="BI21" s="12" t="s">
        <v>32</v>
      </c>
      <c r="BJ21" s="45">
        <f t="shared" si="13"/>
        <v>18.209863691194208</v>
      </c>
      <c r="BK21" s="45">
        <f t="shared" si="14"/>
        <v>19.42117587356822</v>
      </c>
      <c r="BL21" s="17">
        <f t="shared" si="24"/>
        <v>6.6519563403419024E-2</v>
      </c>
      <c r="BT21" s="39"/>
      <c r="BV21" s="47" t="s">
        <v>32</v>
      </c>
      <c r="BW21" s="45"/>
      <c r="BX21" s="45"/>
      <c r="BY21" s="50">
        <f t="shared" si="26"/>
        <v>0</v>
      </c>
      <c r="BZ21" s="10"/>
      <c r="CG21" s="39"/>
      <c r="CI21" s="47" t="s">
        <v>32</v>
      </c>
      <c r="CJ21" s="45"/>
      <c r="CK21" s="45"/>
      <c r="CL21" s="50">
        <f t="shared" si="28"/>
        <v>0</v>
      </c>
      <c r="CM21" s="10"/>
      <c r="CT21" s="39"/>
      <c r="CV21" s="47" t="s">
        <v>5</v>
      </c>
      <c r="CW21" s="63">
        <v>0.92700000000000005</v>
      </c>
      <c r="CX21" s="63">
        <v>0.95099999999999996</v>
      </c>
      <c r="CY21" s="70">
        <f t="shared" si="31"/>
        <v>2.399999999999991E-2</v>
      </c>
      <c r="DC21" s="39"/>
    </row>
    <row r="22" spans="2:107">
      <c r="B22" s="5">
        <v>46041</v>
      </c>
      <c r="C22" s="24">
        <f>IF([1]CHAMNORD!H23=0,"",[1]CHAMNORD!H23)</f>
        <v>24524.720000000001</v>
      </c>
      <c r="D22" s="22">
        <f t="shared" si="0"/>
        <v>24524.720000000001</v>
      </c>
      <c r="E22" s="21">
        <f>IF([2]CHAMNORD!H24=0,"",[2]CHAMNORD!H24)</f>
        <v>13024.01</v>
      </c>
      <c r="F22" s="17">
        <f t="shared" si="1"/>
        <v>-5.1446144632796287E-3</v>
      </c>
      <c r="G22" s="12" t="s">
        <v>33</v>
      </c>
      <c r="H22" s="7">
        <f>SUM(C128:C134)</f>
        <v>139006.87999999998</v>
      </c>
      <c r="I22" s="7">
        <f>SUM(E127:E133)</f>
        <v>128671.15</v>
      </c>
      <c r="J22" s="17">
        <f t="shared" si="18"/>
        <v>-7.4354089524201861E-2</v>
      </c>
      <c r="R22" s="39"/>
      <c r="T22" s="5">
        <v>46041</v>
      </c>
      <c r="U22" s="24">
        <f>IF([1]CHAMNORD!I23=0,"",[1]CHAMNORD!I23)</f>
        <v>24203.18</v>
      </c>
      <c r="V22" s="22">
        <f t="shared" si="3"/>
        <v>24203.18</v>
      </c>
      <c r="W22" s="21">
        <f>IF([2]CHAMNORD!I24=0,"",[2]CHAMNORD!I24)</f>
        <v>12877.08</v>
      </c>
      <c r="X22" s="17">
        <f t="shared" si="4"/>
        <v>-4.5508833908604052E-3</v>
      </c>
      <c r="Y22" s="12" t="s">
        <v>33</v>
      </c>
      <c r="Z22" s="7">
        <f>SUM(U128:U134)</f>
        <v>137334.53</v>
      </c>
      <c r="AA22" s="7">
        <f>SUM(W127:W133)</f>
        <v>126406.65999999999</v>
      </c>
      <c r="AB22" s="17">
        <f t="shared" si="20"/>
        <v>-7.9571175581261366E-2</v>
      </c>
      <c r="AJ22" s="39"/>
      <c r="AL22" s="5">
        <v>46041</v>
      </c>
      <c r="AM22" s="24">
        <f>IF([1]CHAMNORD!J23=0,"",[1]CHAMNORD!J23)</f>
        <v>1241</v>
      </c>
      <c r="AN22" s="22">
        <f t="shared" si="6"/>
        <v>1241</v>
      </c>
      <c r="AO22" s="21">
        <f>IF([2]CHAMNORD!J24=0,"",[2]CHAMNORD!J24)</f>
        <v>792</v>
      </c>
      <c r="AP22" s="17">
        <f t="shared" si="7"/>
        <v>-6.2721893491124225E-2</v>
      </c>
      <c r="AQ22" s="12" t="s">
        <v>33</v>
      </c>
      <c r="AR22" s="7">
        <f>SUM(AM128:AM134)</f>
        <v>7724</v>
      </c>
      <c r="AS22" s="7">
        <f>SUM(AO127:AO133)</f>
        <v>7010</v>
      </c>
      <c r="AT22" s="17">
        <f t="shared" si="22"/>
        <v>-9.2439150699119677E-2</v>
      </c>
      <c r="BB22" s="39"/>
      <c r="BD22" s="5">
        <v>46041</v>
      </c>
      <c r="BE22" s="43">
        <f t="shared" si="9"/>
        <v>19.762062852538275</v>
      </c>
      <c r="BF22" s="72">
        <f t="shared" si="10"/>
        <v>19.762062852538275</v>
      </c>
      <c r="BG22" s="41">
        <f t="shared" si="11"/>
        <v>16.44445707070707</v>
      </c>
      <c r="BH22" s="17">
        <f t="shared" si="12"/>
        <v>6.1430304013293746E-2</v>
      </c>
      <c r="BI22" s="12" t="s">
        <v>33</v>
      </c>
      <c r="BJ22" s="45">
        <f t="shared" si="13"/>
        <v>17.996747799067837</v>
      </c>
      <c r="BK22" s="45">
        <f t="shared" si="14"/>
        <v>18.355370898716117</v>
      </c>
      <c r="BL22" s="17">
        <f t="shared" si="24"/>
        <v>1.9927105922263211E-2</v>
      </c>
      <c r="BT22" s="39"/>
      <c r="BV22" s="47" t="s">
        <v>33</v>
      </c>
      <c r="BW22" s="45"/>
      <c r="BX22" s="45"/>
      <c r="BY22" s="50">
        <f t="shared" si="26"/>
        <v>0</v>
      </c>
      <c r="BZ22" s="10"/>
      <c r="CG22" s="39"/>
      <c r="CI22" s="47" t="s">
        <v>33</v>
      </c>
      <c r="CJ22" s="45"/>
      <c r="CK22" s="45"/>
      <c r="CL22" s="50">
        <f t="shared" si="28"/>
        <v>0</v>
      </c>
      <c r="CM22" s="10"/>
      <c r="CT22" s="39"/>
      <c r="CV22" s="47" t="s">
        <v>6</v>
      </c>
      <c r="CW22" s="63">
        <v>0.93899999999999995</v>
      </c>
      <c r="CX22" s="63">
        <v>0.94099999999999995</v>
      </c>
      <c r="CY22" s="70">
        <f t="shared" si="31"/>
        <v>2.0000000000000018E-3</v>
      </c>
      <c r="DC22" s="39"/>
    </row>
    <row r="23" spans="2:107">
      <c r="B23" s="5">
        <v>46042</v>
      </c>
      <c r="C23" s="21">
        <f>IF([1]CHAMNORD!H24=0,"",[1]CHAMNORD!H24)</f>
        <v>13091.36</v>
      </c>
      <c r="D23" s="22">
        <f t="shared" si="0"/>
        <v>13091.36</v>
      </c>
      <c r="E23" s="23">
        <f>IF([2]CHAMNORD!H25=0,"",[2]CHAMNORD!H25)</f>
        <v>13633.75</v>
      </c>
      <c r="F23" s="17">
        <f t="shared" si="1"/>
        <v>-8.8738353362653233E-2</v>
      </c>
      <c r="G23" s="12" t="s">
        <v>34</v>
      </c>
      <c r="H23" s="7">
        <f>SUM(C135:C141)</f>
        <v>135529.21</v>
      </c>
      <c r="I23" s="7">
        <f>SUM(E134:E140)</f>
        <v>128796.14</v>
      </c>
      <c r="J23" s="17">
        <f t="shared" si="18"/>
        <v>-4.9679843924420375E-2</v>
      </c>
      <c r="R23" s="39"/>
      <c r="T23" s="5">
        <v>46042</v>
      </c>
      <c r="U23" s="21">
        <f>IF([1]CHAMNORD!I24=0,"",[1]CHAMNORD!I24)</f>
        <v>12935.95</v>
      </c>
      <c r="V23" s="22">
        <f t="shared" si="3"/>
        <v>12935.95</v>
      </c>
      <c r="W23" s="23">
        <f>IF([2]CHAMNORD!I25=0,"",[2]CHAMNORD!I25)</f>
        <v>13461.86</v>
      </c>
      <c r="X23" s="17">
        <f t="shared" si="4"/>
        <v>-8.8960895699758624E-2</v>
      </c>
      <c r="Y23" s="12" t="s">
        <v>34</v>
      </c>
      <c r="Z23" s="7">
        <f>SUM(U135:U141)</f>
        <v>133853.03</v>
      </c>
      <c r="AA23" s="7">
        <f>SUM(W134:W140)</f>
        <v>126453.23</v>
      </c>
      <c r="AB23" s="17">
        <f t="shared" si="20"/>
        <v>-5.5283021983140834E-2</v>
      </c>
      <c r="AJ23" s="39"/>
      <c r="AL23" s="5">
        <v>46042</v>
      </c>
      <c r="AM23" s="21">
        <f>IF([1]CHAMNORD!J24=0,"",[1]CHAMNORD!J24)</f>
        <v>845</v>
      </c>
      <c r="AN23" s="22">
        <f t="shared" si="6"/>
        <v>845</v>
      </c>
      <c r="AO23" s="23">
        <f>IF([2]CHAMNORD!J25=0,"",[2]CHAMNORD!J25)</f>
        <v>823</v>
      </c>
      <c r="AP23" s="17">
        <f t="shared" si="7"/>
        <v>-0.10348583877995643</v>
      </c>
      <c r="AQ23" s="12" t="s">
        <v>34</v>
      </c>
      <c r="AR23" s="7">
        <f>SUM(AM135:AM141)</f>
        <v>7895</v>
      </c>
      <c r="AS23" s="7">
        <f>SUM(AO134:AO140)</f>
        <v>6928</v>
      </c>
      <c r="AT23" s="17">
        <f t="shared" si="22"/>
        <v>-0.12248258391386957</v>
      </c>
      <c r="BB23" s="39"/>
      <c r="BD23" s="5">
        <v>46042</v>
      </c>
      <c r="BE23" s="41">
        <f t="shared" si="9"/>
        <v>15.492733727810652</v>
      </c>
      <c r="BF23" s="72">
        <f t="shared" si="10"/>
        <v>15.492733727810652</v>
      </c>
      <c r="BG23" s="42">
        <f t="shared" si="11"/>
        <v>16.565917375455651</v>
      </c>
      <c r="BH23" s="17">
        <f t="shared" si="12"/>
        <v>1.6449807549312911E-2</v>
      </c>
      <c r="BI23" s="12" t="s">
        <v>34</v>
      </c>
      <c r="BJ23" s="45">
        <f t="shared" si="13"/>
        <v>17.166461051298288</v>
      </c>
      <c r="BK23" s="45">
        <f t="shared" si="14"/>
        <v>18.5906668591224</v>
      </c>
      <c r="BL23" s="17">
        <f t="shared" si="24"/>
        <v>8.2964438830355203E-2</v>
      </c>
      <c r="BT23" s="39"/>
      <c r="BV23" s="47" t="s">
        <v>34</v>
      </c>
      <c r="BW23" s="45"/>
      <c r="BX23" s="45"/>
      <c r="BY23" s="50">
        <f t="shared" si="26"/>
        <v>0</v>
      </c>
      <c r="BZ23" s="10"/>
      <c r="CG23" s="39"/>
      <c r="CI23" s="47" t="s">
        <v>34</v>
      </c>
      <c r="CJ23" s="45"/>
      <c r="CK23" s="45"/>
      <c r="CL23" s="50">
        <f t="shared" si="28"/>
        <v>0</v>
      </c>
      <c r="CM23" s="10"/>
      <c r="CT23" s="39"/>
      <c r="CV23" s="47" t="s">
        <v>7</v>
      </c>
      <c r="CW23" s="63">
        <v>0.93700000000000006</v>
      </c>
      <c r="CX23" s="63">
        <v>0.93100000000000005</v>
      </c>
      <c r="CY23" s="70">
        <f t="shared" si="31"/>
        <v>-6.0000000000000053E-3</v>
      </c>
      <c r="DC23" s="39"/>
    </row>
    <row r="24" spans="2:107">
      <c r="B24" s="5">
        <v>46043</v>
      </c>
      <c r="C24" s="23">
        <f>IF([1]CHAMNORD!H25=0,"",[1]CHAMNORD!H25)</f>
        <v>14961.4</v>
      </c>
      <c r="D24" s="22">
        <f t="shared" si="0"/>
        <v>14961.4</v>
      </c>
      <c r="E24" s="23">
        <f>IF([2]CHAMNORD!H26=0,"",[2]CHAMNORD!H26)</f>
        <v>17361.53</v>
      </c>
      <c r="F24" s="17">
        <f t="shared" si="1"/>
        <v>-0.11366635644319512</v>
      </c>
      <c r="G24" s="12" t="s">
        <v>35</v>
      </c>
      <c r="H24" s="7">
        <f>SUM(C142:C148)</f>
        <v>135184.85</v>
      </c>
      <c r="I24" s="7">
        <f>SUM(E141:E147)</f>
        <v>111935.42000000001</v>
      </c>
      <c r="J24" s="17">
        <f t="shared" si="18"/>
        <v>-0.17198251135389797</v>
      </c>
      <c r="R24" s="39"/>
      <c r="T24" s="5">
        <v>46043</v>
      </c>
      <c r="U24" s="23">
        <f>IF([1]CHAMNORD!I25=0,"",[1]CHAMNORD!I25)</f>
        <v>14776.38</v>
      </c>
      <c r="V24" s="22">
        <f t="shared" si="3"/>
        <v>14776.38</v>
      </c>
      <c r="W24" s="23">
        <f>IF([2]CHAMNORD!I26=0,"",[2]CHAMNORD!I26)</f>
        <v>17117.91</v>
      </c>
      <c r="X24" s="17">
        <f t="shared" si="4"/>
        <v>-0.11491483375998746</v>
      </c>
      <c r="Y24" s="12" t="s">
        <v>35</v>
      </c>
      <c r="Z24" s="7">
        <f>SUM(U142:U148)</f>
        <v>133645.39000000001</v>
      </c>
      <c r="AA24" s="7">
        <f>SUM(W141:W147)</f>
        <v>110580</v>
      </c>
      <c r="AB24" s="17">
        <f t="shared" si="20"/>
        <v>-0.17258649924251046</v>
      </c>
      <c r="AJ24" s="39"/>
      <c r="AL24" s="5">
        <v>46043</v>
      </c>
      <c r="AM24" s="23">
        <f>IF([1]CHAMNORD!J25=0,"",[1]CHAMNORD!J25)</f>
        <v>918</v>
      </c>
      <c r="AN24" s="22">
        <f t="shared" si="6"/>
        <v>918</v>
      </c>
      <c r="AO24" s="23">
        <f>IF([2]CHAMNORD!J26=0,"",[2]CHAMNORD!J26)</f>
        <v>989</v>
      </c>
      <c r="AP24" s="17">
        <f t="shared" si="7"/>
        <v>-0.17445742904841399</v>
      </c>
      <c r="AQ24" s="12" t="s">
        <v>35</v>
      </c>
      <c r="AR24" s="7">
        <f>SUM(AM142:AM148)</f>
        <v>7697</v>
      </c>
      <c r="AS24" s="7">
        <f>SUM(AO141:AO147)</f>
        <v>6364</v>
      </c>
      <c r="AT24" s="17">
        <f t="shared" si="22"/>
        <v>-0.17318435754189943</v>
      </c>
      <c r="BB24" s="39"/>
      <c r="BD24" s="5">
        <v>46043</v>
      </c>
      <c r="BE24" s="42">
        <f t="shared" si="9"/>
        <v>16.297821350762526</v>
      </c>
      <c r="BF24" s="72">
        <f t="shared" si="10"/>
        <v>16.297821350762526</v>
      </c>
      <c r="BG24" s="42">
        <f t="shared" si="11"/>
        <v>17.554630940343781</v>
      </c>
      <c r="BH24" s="17">
        <f t="shared" si="12"/>
        <v>7.3637719899951604E-2</v>
      </c>
      <c r="BI24" s="12" t="s">
        <v>35</v>
      </c>
      <c r="BJ24" s="45">
        <f t="shared" si="13"/>
        <v>17.563316876705212</v>
      </c>
      <c r="BK24" s="45">
        <f t="shared" si="14"/>
        <v>17.58884663733501</v>
      </c>
      <c r="BL24" s="17">
        <f t="shared" si="24"/>
        <v>1.4535842408935906E-3</v>
      </c>
      <c r="BT24" s="39"/>
      <c r="BV24" s="47" t="s">
        <v>35</v>
      </c>
      <c r="BW24" s="45"/>
      <c r="BX24" s="45"/>
      <c r="BY24" s="50">
        <f t="shared" si="26"/>
        <v>0</v>
      </c>
      <c r="BZ24" s="10"/>
      <c r="CG24" s="39"/>
      <c r="CI24" s="47" t="s">
        <v>35</v>
      </c>
      <c r="CJ24" s="45"/>
      <c r="CK24" s="45"/>
      <c r="CL24" s="50">
        <f t="shared" si="28"/>
        <v>0</v>
      </c>
      <c r="CM24" s="10"/>
      <c r="CT24" s="39"/>
      <c r="CV24" s="47" t="s">
        <v>8</v>
      </c>
      <c r="CW24" s="63">
        <v>0.96599999999999997</v>
      </c>
      <c r="CX24" s="63">
        <v>0.97699999999999998</v>
      </c>
      <c r="CY24" s="70">
        <f t="shared" si="31"/>
        <v>1.100000000000001E-2</v>
      </c>
      <c r="DC24" s="39"/>
    </row>
    <row r="25" spans="2:107">
      <c r="B25" s="5">
        <v>46044</v>
      </c>
      <c r="C25" s="23">
        <f>IF([1]CHAMNORD!H26=0,"",[1]CHAMNORD!H26)</f>
        <v>19588.03</v>
      </c>
      <c r="D25" s="22">
        <f t="shared" si="0"/>
        <v>19588.03</v>
      </c>
      <c r="E25" s="23">
        <f>IF([2]CHAMNORD!H27=0,"",[2]CHAMNORD!H27)</f>
        <v>15922.56</v>
      </c>
      <c r="F25" s="17">
        <f t="shared" si="1"/>
        <v>-7.3318841718391203E-2</v>
      </c>
      <c r="G25" s="12" t="s">
        <v>36</v>
      </c>
      <c r="H25" s="7">
        <f>SUM(C149:C155)</f>
        <v>148072.56</v>
      </c>
      <c r="I25" s="7">
        <f>SUM(E148:E154)</f>
        <v>130155.51000000001</v>
      </c>
      <c r="J25" s="17">
        <f t="shared" si="18"/>
        <v>-0.12100182505117751</v>
      </c>
      <c r="R25" s="39"/>
      <c r="T25" s="5">
        <v>46044</v>
      </c>
      <c r="U25" s="23">
        <f>IF([1]CHAMNORD!I26=0,"",[1]CHAMNORD!I26)</f>
        <v>19340.41</v>
      </c>
      <c r="V25" s="22">
        <f t="shared" si="3"/>
        <v>19340.41</v>
      </c>
      <c r="W25" s="23">
        <f>IF([2]CHAMNORD!I27=0,"",[2]CHAMNORD!I27)</f>
        <v>15763.96</v>
      </c>
      <c r="X25" s="17">
        <f t="shared" si="4"/>
        <v>-7.5187819950978674E-2</v>
      </c>
      <c r="Y25" s="12" t="s">
        <v>36</v>
      </c>
      <c r="Z25" s="7">
        <f>SUM(U149:U155)</f>
        <v>146474.57999999999</v>
      </c>
      <c r="AA25" s="7">
        <f>SUM(W148:W154)</f>
        <v>128466.15</v>
      </c>
      <c r="AB25" s="17">
        <f t="shared" si="20"/>
        <v>-0.12294576983938099</v>
      </c>
      <c r="AJ25" s="39"/>
      <c r="AL25" s="5">
        <v>46044</v>
      </c>
      <c r="AM25" s="23">
        <f>IF([1]CHAMNORD!J26=0,"",[1]CHAMNORD!J26)</f>
        <v>1198</v>
      </c>
      <c r="AN25" s="22">
        <f t="shared" si="6"/>
        <v>1198</v>
      </c>
      <c r="AO25" s="23">
        <f>IF([2]CHAMNORD!J27=0,"",[2]CHAMNORD!J27)</f>
        <v>892</v>
      </c>
      <c r="AP25" s="17">
        <f t="shared" si="7"/>
        <v>-0.1373307543520309</v>
      </c>
      <c r="AQ25" s="12" t="s">
        <v>36</v>
      </c>
      <c r="AR25" s="7">
        <f>SUM(AM149:AM155)</f>
        <v>8206</v>
      </c>
      <c r="AS25" s="7">
        <f>SUM(AO148:AO154)</f>
        <v>6969</v>
      </c>
      <c r="AT25" s="17">
        <f t="shared" si="22"/>
        <v>-0.15074335851815746</v>
      </c>
      <c r="BB25" s="39"/>
      <c r="BD25" s="5">
        <v>46044</v>
      </c>
      <c r="BE25" s="42">
        <f t="shared" si="9"/>
        <v>16.350609348914858</v>
      </c>
      <c r="BF25" s="72">
        <f t="shared" si="10"/>
        <v>16.350609348914858</v>
      </c>
      <c r="BG25" s="42">
        <f t="shared" si="11"/>
        <v>17.850403587443946</v>
      </c>
      <c r="BH25" s="17">
        <f t="shared" si="12"/>
        <v>7.4202149846618326E-2</v>
      </c>
      <c r="BI25" s="12" t="s">
        <v>36</v>
      </c>
      <c r="BJ25" s="45">
        <f t="shared" si="13"/>
        <v>18.044426029734339</v>
      </c>
      <c r="BK25" s="45">
        <f t="shared" si="14"/>
        <v>18.676353852776582</v>
      </c>
      <c r="BL25" s="17">
        <f t="shared" si="24"/>
        <v>3.5020666326594618E-2</v>
      </c>
      <c r="BT25" s="39"/>
      <c r="BV25" s="47" t="s">
        <v>36</v>
      </c>
      <c r="BW25" s="45"/>
      <c r="BX25" s="45"/>
      <c r="BY25" s="50">
        <f t="shared" si="26"/>
        <v>0</v>
      </c>
      <c r="BZ25" s="10"/>
      <c r="CG25" s="39"/>
      <c r="CI25" s="47" t="s">
        <v>36</v>
      </c>
      <c r="CJ25" s="45"/>
      <c r="CK25" s="45"/>
      <c r="CL25" s="50">
        <f t="shared" si="28"/>
        <v>0</v>
      </c>
      <c r="CM25" s="10"/>
      <c r="CT25" s="39"/>
      <c r="CV25" s="47" t="s">
        <v>9</v>
      </c>
      <c r="CW25" s="63">
        <v>0.92</v>
      </c>
      <c r="CX25" s="63"/>
      <c r="CY25" s="70">
        <f t="shared" si="31"/>
        <v>-0.92</v>
      </c>
      <c r="DC25" s="39"/>
    </row>
    <row r="26" spans="2:107">
      <c r="B26" s="5">
        <v>46045</v>
      </c>
      <c r="C26" s="23">
        <f>IF([1]CHAMNORD!H27=0,"",[1]CHAMNORD!H27)</f>
        <v>17182.349999999999</v>
      </c>
      <c r="D26" s="22">
        <f t="shared" si="0"/>
        <v>17182.349999999999</v>
      </c>
      <c r="E26" s="23">
        <f>IF([2]CHAMNORD!H28=0,"",[2]CHAMNORD!H28)</f>
        <v>24513.599999999999</v>
      </c>
      <c r="F26" s="17">
        <f t="shared" si="1"/>
        <v>-0.12907111008473526</v>
      </c>
      <c r="G26" s="12" t="s">
        <v>37</v>
      </c>
      <c r="H26" s="7">
        <f>SUM(C156:C162)</f>
        <v>142119</v>
      </c>
      <c r="I26" s="7">
        <f>SUM(E155:E161)</f>
        <v>132697.91999999998</v>
      </c>
      <c r="J26" s="17">
        <f t="shared" si="18"/>
        <v>-6.6290080847740351E-2</v>
      </c>
      <c r="R26" s="39"/>
      <c r="T26" s="5">
        <v>46045</v>
      </c>
      <c r="U26" s="23">
        <f>IF([1]CHAMNORD!I27=0,"",[1]CHAMNORD!I27)</f>
        <v>17045.580000000002</v>
      </c>
      <c r="V26" s="22">
        <f t="shared" si="3"/>
        <v>17045.580000000002</v>
      </c>
      <c r="W26" s="23">
        <f>IF([2]CHAMNORD!I28=0,"",[2]CHAMNORD!I28)</f>
        <v>24256.03</v>
      </c>
      <c r="X26" s="17">
        <f t="shared" si="4"/>
        <v>-0.12938657650430618</v>
      </c>
      <c r="Y26" s="12" t="s">
        <v>37</v>
      </c>
      <c r="Z26" s="7">
        <f>SUM(U156:U162)</f>
        <v>140420.47</v>
      </c>
      <c r="AA26" s="7">
        <f>SUM(W155:W161)</f>
        <v>130685.65</v>
      </c>
      <c r="AB26" s="17">
        <f t="shared" si="20"/>
        <v>-6.9326217181868155E-2</v>
      </c>
      <c r="AJ26" s="39"/>
      <c r="AL26" s="5">
        <v>46045</v>
      </c>
      <c r="AM26" s="23">
        <f>IF([1]CHAMNORD!J27=0,"",[1]CHAMNORD!J27)</f>
        <v>1034</v>
      </c>
      <c r="AN26" s="22">
        <f t="shared" si="6"/>
        <v>1034</v>
      </c>
      <c r="AO26" s="23">
        <f>IF([2]CHAMNORD!J28=0,"",[2]CHAMNORD!J28)</f>
        <v>1246</v>
      </c>
      <c r="AP26" s="17">
        <f t="shared" si="7"/>
        <v>-0.19612903225806455</v>
      </c>
      <c r="AQ26" s="12" t="s">
        <v>37</v>
      </c>
      <c r="AR26" s="7">
        <f>SUM(AM156:AM162)</f>
        <v>7945</v>
      </c>
      <c r="AS26" s="7">
        <f>SUM(AO155:AO161)</f>
        <v>7229</v>
      </c>
      <c r="AT26" s="17">
        <f t="shared" si="22"/>
        <v>-9.0119572057898001E-2</v>
      </c>
      <c r="BB26" s="39"/>
      <c r="BD26" s="5">
        <v>46045</v>
      </c>
      <c r="BE26" s="42">
        <f t="shared" si="9"/>
        <v>16.617359767891681</v>
      </c>
      <c r="BF26" s="72">
        <f t="shared" si="10"/>
        <v>16.617359767891681</v>
      </c>
      <c r="BG26" s="42">
        <f t="shared" si="11"/>
        <v>19.673836276083467</v>
      </c>
      <c r="BH26" s="17">
        <f t="shared" si="12"/>
        <v>8.3418763538250618E-2</v>
      </c>
      <c r="BI26" s="12" t="s">
        <v>37</v>
      </c>
      <c r="BJ26" s="45">
        <f t="shared" si="13"/>
        <v>17.887853996224042</v>
      </c>
      <c r="BK26" s="45">
        <f t="shared" si="14"/>
        <v>18.356331442799831</v>
      </c>
      <c r="BL26" s="17">
        <f t="shared" si="24"/>
        <v>2.6189695347171416E-2</v>
      </c>
      <c r="BT26" s="39"/>
      <c r="BV26" s="47" t="s">
        <v>37</v>
      </c>
      <c r="BW26" s="45"/>
      <c r="BX26" s="45"/>
      <c r="BY26" s="50">
        <f t="shared" si="26"/>
        <v>0</v>
      </c>
      <c r="BZ26" s="10"/>
      <c r="CG26" s="39"/>
      <c r="CI26" s="47" t="s">
        <v>37</v>
      </c>
      <c r="CJ26" s="45"/>
      <c r="CK26" s="45"/>
      <c r="CL26" s="50">
        <f t="shared" si="28"/>
        <v>0</v>
      </c>
      <c r="CM26" s="10"/>
      <c r="CT26" s="39"/>
      <c r="CV26" s="47" t="s">
        <v>10</v>
      </c>
      <c r="CW26" s="63">
        <v>0.97099999999999997</v>
      </c>
      <c r="CX26" s="63"/>
      <c r="CY26" s="70">
        <f t="shared" si="31"/>
        <v>-0.97099999999999997</v>
      </c>
      <c r="DC26" s="39"/>
    </row>
    <row r="27" spans="2:107">
      <c r="B27" s="5">
        <v>46046</v>
      </c>
      <c r="C27" s="23">
        <f>IF([1]CHAMNORD!H28=0,"",[1]CHAMNORD!H28)</f>
        <v>28146.5</v>
      </c>
      <c r="D27" s="22">
        <f t="shared" si="0"/>
        <v>28146.5</v>
      </c>
      <c r="E27" s="23">
        <f>IF([2]CHAMNORD!H29=0,"",[2]CHAMNORD!H29)</f>
        <v>28946.23</v>
      </c>
      <c r="F27" s="17">
        <f t="shared" si="1"/>
        <v>-6.9204868805105346E-2</v>
      </c>
      <c r="G27" s="12" t="s">
        <v>38</v>
      </c>
      <c r="H27" s="7">
        <f>SUM(C163:C169)</f>
        <v>146896.41999999998</v>
      </c>
      <c r="I27" s="7">
        <f>IF(SUM(E162:E168)=0,"",SUM(E162:E168))</f>
        <v>127651.95</v>
      </c>
      <c r="J27" s="17">
        <f t="shared" si="18"/>
        <v>-0.13100707287488689</v>
      </c>
      <c r="R27" s="39"/>
      <c r="T27" s="5">
        <v>46046</v>
      </c>
      <c r="U27" s="23">
        <f>IF([1]CHAMNORD!I28=0,"",[1]CHAMNORD!I28)</f>
        <v>27860.85</v>
      </c>
      <c r="V27" s="22">
        <f t="shared" si="3"/>
        <v>27860.85</v>
      </c>
      <c r="W27" s="23">
        <f>IF([2]CHAMNORD!I29=0,"",[2]CHAMNORD!I29)</f>
        <v>28615.5</v>
      </c>
      <c r="X27" s="17">
        <f t="shared" si="4"/>
        <v>-7.0708389393498106E-2</v>
      </c>
      <c r="Y27" s="12" t="s">
        <v>38</v>
      </c>
      <c r="Z27" s="7">
        <f>SUM(U163:U169)</f>
        <v>145214.45000000001</v>
      </c>
      <c r="AA27" s="7">
        <f>IF(SUM(W162:W168)=0,"",SUM(W162:W168))</f>
        <v>125036.32999999999</v>
      </c>
      <c r="AB27" s="17">
        <f t="shared" si="20"/>
        <v>-0.13895394018983664</v>
      </c>
      <c r="AJ27" s="39"/>
      <c r="AL27" s="5">
        <v>46046</v>
      </c>
      <c r="AM27" s="23">
        <f>IF([1]CHAMNORD!J28=0,"",[1]CHAMNORD!J28)</f>
        <v>1550</v>
      </c>
      <c r="AN27" s="22">
        <f t="shared" si="6"/>
        <v>1550</v>
      </c>
      <c r="AO27" s="23">
        <f>IF([2]CHAMNORD!J29=0,"",[2]CHAMNORD!J29)</f>
        <v>1410</v>
      </c>
      <c r="AP27" s="17">
        <f t="shared" si="7"/>
        <v>-0.1454545454545455</v>
      </c>
      <c r="AQ27" s="12" t="s">
        <v>38</v>
      </c>
      <c r="AR27" s="7">
        <f>SUM(AM163:AM169)</f>
        <v>8194</v>
      </c>
      <c r="AS27" s="7">
        <f>IF(SUM(AO162:AO168)=0,"",SUM(AO162:AO168))</f>
        <v>7195</v>
      </c>
      <c r="AT27" s="17">
        <f t="shared" si="22"/>
        <v>-0.12191847693434221</v>
      </c>
      <c r="BB27" s="39"/>
      <c r="BD27" s="5">
        <v>46046</v>
      </c>
      <c r="BE27" s="42">
        <f t="shared" si="9"/>
        <v>18.159032258064517</v>
      </c>
      <c r="BF27" s="72">
        <f t="shared" si="10"/>
        <v>18.159032258064517</v>
      </c>
      <c r="BG27" s="42">
        <f t="shared" si="11"/>
        <v>20.529241134751771</v>
      </c>
      <c r="BH27" s="17">
        <f t="shared" si="12"/>
        <v>8.9228345015302191E-2</v>
      </c>
      <c r="BI27" s="12" t="s">
        <v>38</v>
      </c>
      <c r="BJ27" s="45">
        <f t="shared" si="13"/>
        <v>17.92731510861606</v>
      </c>
      <c r="BK27" s="45">
        <f t="shared" si="14"/>
        <v>17.741758165392632</v>
      </c>
      <c r="BL27" s="17">
        <f t="shared" si="24"/>
        <v>-1.0350514959947765E-2</v>
      </c>
      <c r="BT27" s="39"/>
      <c r="BV27" s="47" t="s">
        <v>38</v>
      </c>
      <c r="BW27" s="45"/>
      <c r="BX27" s="45"/>
      <c r="BY27" s="50">
        <f t="shared" si="26"/>
        <v>0</v>
      </c>
      <c r="BZ27" s="10"/>
      <c r="CG27" s="39"/>
      <c r="CI27" s="47" t="s">
        <v>38</v>
      </c>
      <c r="CJ27" s="45"/>
      <c r="CK27" s="45"/>
      <c r="CL27" s="50">
        <f t="shared" si="28"/>
        <v>0</v>
      </c>
      <c r="CM27" s="10"/>
      <c r="CT27" s="39"/>
      <c r="CV27" s="47" t="s">
        <v>11</v>
      </c>
      <c r="CW27" s="63">
        <v>0.95699999999999996</v>
      </c>
      <c r="CX27" s="63"/>
      <c r="CY27" s="70">
        <f t="shared" si="31"/>
        <v>-0.95699999999999996</v>
      </c>
      <c r="DC27" s="39"/>
    </row>
    <row r="28" spans="2:107">
      <c r="B28" s="5">
        <v>46047</v>
      </c>
      <c r="C28" s="23">
        <f>IF([1]CHAMNORD!H29=0,"",[1]CHAMNORD!H29)</f>
        <v>31098.39</v>
      </c>
      <c r="D28" s="22">
        <f t="shared" si="0"/>
        <v>31098.39</v>
      </c>
      <c r="E28" s="24">
        <f>IF([2]CHAMNORD!H30=0,"",[2]CHAMNORD!H30)</f>
        <v>23326.28</v>
      </c>
      <c r="F28" s="17">
        <f t="shared" si="1"/>
        <v>-9.2248912120506898E-2</v>
      </c>
      <c r="G28" s="12" t="s">
        <v>39</v>
      </c>
      <c r="H28" s="7">
        <f>SUM(C170:C176)</f>
        <v>133818.13999999998</v>
      </c>
      <c r="I28" s="7">
        <f>IF(SUM(E169:E175)=0,"",SUM(E169:E175))</f>
        <v>13648.82</v>
      </c>
      <c r="J28" s="17">
        <f t="shared" si="18"/>
        <v>-0.89800470997429793</v>
      </c>
      <c r="R28" s="39"/>
      <c r="T28" s="5">
        <v>46047</v>
      </c>
      <c r="U28" s="23">
        <f>IF([1]CHAMNORD!I29=0,"",[1]CHAMNORD!I29)</f>
        <v>30792.81</v>
      </c>
      <c r="V28" s="22">
        <f t="shared" si="3"/>
        <v>30792.81</v>
      </c>
      <c r="W28" s="24">
        <f>IF([2]CHAMNORD!I30=0,"",[2]CHAMNORD!I30)</f>
        <v>23049.98</v>
      </c>
      <c r="X28" s="17">
        <f t="shared" si="4"/>
        <v>-9.2423283123232114E-2</v>
      </c>
      <c r="Y28" s="12" t="s">
        <v>39</v>
      </c>
      <c r="Z28" s="7">
        <f>SUM(U170:U176)</f>
        <v>132129.78999999998</v>
      </c>
      <c r="AA28" s="7">
        <f>IF(SUM(W169:W175)=0,"",SUM(W169:W175))</f>
        <v>13394.91</v>
      </c>
      <c r="AB28" s="17">
        <f t="shared" si="20"/>
        <v>-0.89862308870694485</v>
      </c>
      <c r="AJ28" s="39"/>
      <c r="AL28" s="5">
        <v>46047</v>
      </c>
      <c r="AM28" s="23">
        <f>IF([1]CHAMNORD!J29=0,"",[1]CHAMNORD!J29)</f>
        <v>1650</v>
      </c>
      <c r="AN28" s="22">
        <f t="shared" si="6"/>
        <v>1650</v>
      </c>
      <c r="AO28" s="24">
        <f>IF([2]CHAMNORD!J30=0,"",[2]CHAMNORD!J30)</f>
        <v>1134</v>
      </c>
      <c r="AP28" s="17">
        <f t="shared" si="7"/>
        <v>-0.14090909090909087</v>
      </c>
      <c r="AQ28" s="12" t="s">
        <v>39</v>
      </c>
      <c r="AR28" s="7">
        <f>SUM(AM170:AM176)</f>
        <v>7943</v>
      </c>
      <c r="AS28" s="7">
        <f>IF(SUM(AO169:AO175)=0,"",SUM(AO169:AO175))</f>
        <v>850</v>
      </c>
      <c r="AT28" s="17">
        <f t="shared" si="22"/>
        <v>-0.89298753619539217</v>
      </c>
      <c r="BB28" s="39"/>
      <c r="BD28" s="5">
        <v>46047</v>
      </c>
      <c r="BE28" s="42">
        <f t="shared" si="9"/>
        <v>18.847509090909092</v>
      </c>
      <c r="BF28" s="72">
        <f t="shared" si="10"/>
        <v>18.847509090909092</v>
      </c>
      <c r="BG28" s="43">
        <f t="shared" si="11"/>
        <v>20.569911816578482</v>
      </c>
      <c r="BH28" s="17">
        <f t="shared" si="12"/>
        <v>5.6641477954965547E-2</v>
      </c>
      <c r="BI28" s="12" t="s">
        <v>39</v>
      </c>
      <c r="BJ28" s="45">
        <f t="shared" si="13"/>
        <v>16.847304544882284</v>
      </c>
      <c r="BK28" s="45">
        <f t="shared" si="14"/>
        <v>16.057435294117646</v>
      </c>
      <c r="BL28" s="17">
        <f t="shared" si="24"/>
        <v>-4.6884013324527851E-2</v>
      </c>
      <c r="BT28" s="39"/>
      <c r="BV28" s="47" t="s">
        <v>39</v>
      </c>
      <c r="BW28" s="45"/>
      <c r="BX28" s="45"/>
      <c r="BY28" s="50">
        <f t="shared" si="26"/>
        <v>0</v>
      </c>
      <c r="BZ28" s="10"/>
      <c r="CG28" s="39"/>
      <c r="CI28" s="47" t="s">
        <v>39</v>
      </c>
      <c r="CJ28" s="45"/>
      <c r="CK28" s="45"/>
      <c r="CL28" s="50">
        <f t="shared" si="28"/>
        <v>0</v>
      </c>
      <c r="CM28" s="10"/>
      <c r="CT28" s="39"/>
      <c r="CV28" s="47" t="s">
        <v>12</v>
      </c>
      <c r="CW28" s="63">
        <v>0.93400000000000005</v>
      </c>
      <c r="CX28" s="63"/>
      <c r="CY28" s="70">
        <f t="shared" si="31"/>
        <v>-0.93400000000000005</v>
      </c>
      <c r="DC28" s="39"/>
    </row>
    <row r="29" spans="2:107">
      <c r="B29" s="5">
        <v>46048</v>
      </c>
      <c r="C29" s="24">
        <f>IF([1]CHAMNORD!H30=0,"",[1]CHAMNORD!H30)</f>
        <v>25696.78</v>
      </c>
      <c r="D29" s="22">
        <f t="shared" si="0"/>
        <v>25696.78</v>
      </c>
      <c r="E29" s="21">
        <f>IF([2]CHAMNORD!H31=0,"",[2]CHAMNORD!H31)</f>
        <v>13199.75</v>
      </c>
      <c r="F29" s="17">
        <f t="shared" si="1"/>
        <v>-4.7788229862503862E-2</v>
      </c>
      <c r="G29" s="12" t="s">
        <v>40</v>
      </c>
      <c r="H29" s="7">
        <f>SUM(C177:C183)</f>
        <v>138983.38</v>
      </c>
      <c r="I29" s="7" t="str">
        <f>IF(SUM(E176:E182)=0,"",SUM(E176:E182))</f>
        <v/>
      </c>
      <c r="J29" s="17" t="str">
        <f t="shared" si="18"/>
        <v/>
      </c>
      <c r="R29" s="39"/>
      <c r="T29" s="5">
        <v>46048</v>
      </c>
      <c r="U29" s="24">
        <f>IF([1]CHAMNORD!I30=0,"",[1]CHAMNORD!I30)</f>
        <v>25397.279999999999</v>
      </c>
      <c r="V29" s="22">
        <f t="shared" si="3"/>
        <v>25397.279999999999</v>
      </c>
      <c r="W29" s="21">
        <f>IF([2]CHAMNORD!I31=0,"",[2]CHAMNORD!I31)</f>
        <v>13060.9</v>
      </c>
      <c r="X29" s="17">
        <f t="shared" si="4"/>
        <v>-4.9209828425502367E-2</v>
      </c>
      <c r="Y29" s="12" t="s">
        <v>40</v>
      </c>
      <c r="Z29" s="7">
        <f>SUM(U177:U183)</f>
        <v>137143.99</v>
      </c>
      <c r="AA29" s="7" t="str">
        <f>IF(SUM(W176:W182)=0,"",SUM(W176:W182))</f>
        <v/>
      </c>
      <c r="AB29" s="17" t="str">
        <f t="shared" si="20"/>
        <v/>
      </c>
      <c r="AJ29" s="39"/>
      <c r="AL29" s="5">
        <v>46048</v>
      </c>
      <c r="AM29" s="24">
        <f>IF([1]CHAMNORD!J30=0,"",[1]CHAMNORD!J30)</f>
        <v>1320</v>
      </c>
      <c r="AN29" s="22">
        <f t="shared" si="6"/>
        <v>1320</v>
      </c>
      <c r="AO29" s="21">
        <f>IF([2]CHAMNORD!J31=0,"",[2]CHAMNORD!J31)</f>
        <v>815</v>
      </c>
      <c r="AP29" s="17">
        <f t="shared" si="7"/>
        <v>-7.0695553021664748E-2</v>
      </c>
      <c r="AQ29" s="12" t="s">
        <v>40</v>
      </c>
      <c r="AR29" s="7">
        <f>SUM(AM177:AM183)</f>
        <v>8038</v>
      </c>
      <c r="AS29" s="7" t="str">
        <f>IF(SUM(AO176:AO182)=0,"",SUM(AO176:AO182))</f>
        <v/>
      </c>
      <c r="AT29" s="17" t="str">
        <f t="shared" si="22"/>
        <v/>
      </c>
      <c r="BB29" s="39"/>
      <c r="BD29" s="5">
        <v>46048</v>
      </c>
      <c r="BE29" s="43">
        <f t="shared" si="9"/>
        <v>19.467257575757575</v>
      </c>
      <c r="BF29" s="72">
        <f t="shared" si="10"/>
        <v>19.467257575757575</v>
      </c>
      <c r="BG29" s="41">
        <f t="shared" si="11"/>
        <v>16.196012269938649</v>
      </c>
      <c r="BH29" s="17">
        <f t="shared" si="12"/>
        <v>2.4649966147956004E-2</v>
      </c>
      <c r="BI29" s="12" t="s">
        <v>40</v>
      </c>
      <c r="BJ29" s="45">
        <f t="shared" si="13"/>
        <v>17.290791241602388</v>
      </c>
      <c r="BK29" s="45" t="str">
        <f t="shared" si="14"/>
        <v/>
      </c>
      <c r="BL29" s="17" t="str">
        <f t="shared" si="24"/>
        <v/>
      </c>
      <c r="BT29" s="39"/>
      <c r="BV29" s="47" t="s">
        <v>40</v>
      </c>
      <c r="BW29" s="45"/>
      <c r="BX29" s="45"/>
      <c r="BY29" s="50">
        <f t="shared" si="26"/>
        <v>0</v>
      </c>
      <c r="BZ29" s="10"/>
      <c r="CG29" s="39"/>
      <c r="CI29" s="47" t="s">
        <v>40</v>
      </c>
      <c r="CJ29" s="45"/>
      <c r="CK29" s="45"/>
      <c r="CL29" s="50">
        <f t="shared" si="28"/>
        <v>0</v>
      </c>
      <c r="CM29" s="10"/>
      <c r="CT29" s="39"/>
      <c r="CV29" s="47" t="s">
        <v>13</v>
      </c>
      <c r="CW29" s="63">
        <v>0.94</v>
      </c>
      <c r="CX29" s="63"/>
      <c r="CY29" s="70">
        <f t="shared" si="31"/>
        <v>-0.94</v>
      </c>
      <c r="DC29" s="39"/>
    </row>
    <row r="30" spans="2:107" ht="18" thickBot="1">
      <c r="B30" s="5">
        <v>46049</v>
      </c>
      <c r="C30" s="21">
        <f>IF([1]CHAMNORD!H31=0,"",[1]CHAMNORD!H31)</f>
        <v>13862.2</v>
      </c>
      <c r="D30" s="22">
        <f t="shared" si="0"/>
        <v>13862.2</v>
      </c>
      <c r="E30" s="23">
        <f>IF([2]CHAMNORD!H32=0,"",[2]CHAMNORD!H32)</f>
        <v>14185.83</v>
      </c>
      <c r="F30" s="17">
        <f t="shared" si="1"/>
        <v>-2.8659875557965786E-2</v>
      </c>
      <c r="G30" s="12" t="s">
        <v>41</v>
      </c>
      <c r="H30" s="7">
        <f>SUM(C184:C190)</f>
        <v>162114.07999999999</v>
      </c>
      <c r="I30" s="7" t="str">
        <f>IF(SUM(E183:E189)=0,"",SUM(E183:E189))</f>
        <v/>
      </c>
      <c r="J30" s="17" t="str">
        <f t="shared" si="18"/>
        <v/>
      </c>
      <c r="R30" s="39"/>
      <c r="T30" s="5">
        <v>46049</v>
      </c>
      <c r="U30" s="21">
        <f>IF([1]CHAMNORD!I31=0,"",[1]CHAMNORD!I31)</f>
        <v>13736.89</v>
      </c>
      <c r="V30" s="22">
        <f t="shared" si="3"/>
        <v>13736.89</v>
      </c>
      <c r="W30" s="23">
        <f>IF([2]CHAMNORD!I32=0,"",[2]CHAMNORD!I32)</f>
        <v>14008.87</v>
      </c>
      <c r="X30" s="17">
        <f t="shared" si="4"/>
        <v>-3.2349487469952698E-2</v>
      </c>
      <c r="Y30" s="12" t="s">
        <v>41</v>
      </c>
      <c r="Z30" s="7">
        <f>SUM(U184:U190)</f>
        <v>160192.42000000001</v>
      </c>
      <c r="AA30" s="7" t="str">
        <f>IF(SUM(W183:W189)=0,"",SUM(W183:W189))</f>
        <v/>
      </c>
      <c r="AB30" s="17" t="str">
        <f t="shared" si="20"/>
        <v/>
      </c>
      <c r="AJ30" s="39"/>
      <c r="AL30" s="5">
        <v>46049</v>
      </c>
      <c r="AM30" s="21">
        <f>IF([1]CHAMNORD!J31=0,"",[1]CHAMNORD!J31)</f>
        <v>877</v>
      </c>
      <c r="AN30" s="22">
        <f t="shared" si="6"/>
        <v>877</v>
      </c>
      <c r="AO30" s="23">
        <f>IF([2]CHAMNORD!J32=0,"",[2]CHAMNORD!J32)</f>
        <v>819</v>
      </c>
      <c r="AP30" s="17">
        <f t="shared" si="7"/>
        <v>-0.13698630136986301</v>
      </c>
      <c r="AQ30" s="12" t="s">
        <v>41</v>
      </c>
      <c r="AR30" s="7">
        <f>SUM(AM184:AM190)</f>
        <v>8638</v>
      </c>
      <c r="AS30" s="7" t="str">
        <f>IF(SUM(AO183:AO189)=0,"",SUM(AO183:AO189))</f>
        <v/>
      </c>
      <c r="AT30" s="17" t="str">
        <f t="shared" si="22"/>
        <v/>
      </c>
      <c r="BB30" s="39"/>
      <c r="BD30" s="5">
        <v>46049</v>
      </c>
      <c r="BE30" s="41">
        <f t="shared" si="9"/>
        <v>15.806385404789054</v>
      </c>
      <c r="BF30" s="72">
        <f t="shared" si="10"/>
        <v>15.806385404789054</v>
      </c>
      <c r="BG30" s="42">
        <f t="shared" si="11"/>
        <v>17.320915750915752</v>
      </c>
      <c r="BH30" s="17">
        <f t="shared" si="12"/>
        <v>0.12552109657569055</v>
      </c>
      <c r="BI30" s="12" t="s">
        <v>41</v>
      </c>
      <c r="BJ30" s="45">
        <f t="shared" si="13"/>
        <v>18.767548043528592</v>
      </c>
      <c r="BK30" s="45" t="str">
        <f t="shared" si="14"/>
        <v/>
      </c>
      <c r="BL30" s="17" t="str">
        <f t="shared" si="24"/>
        <v/>
      </c>
      <c r="BT30" s="39"/>
      <c r="BV30" s="47" t="s">
        <v>41</v>
      </c>
      <c r="BW30" s="45"/>
      <c r="BX30" s="45"/>
      <c r="BY30" s="50">
        <f t="shared" si="26"/>
        <v>0</v>
      </c>
      <c r="BZ30" s="10"/>
      <c r="CG30" s="39"/>
      <c r="CI30" s="47" t="s">
        <v>41</v>
      </c>
      <c r="CJ30" s="45"/>
      <c r="CK30" s="45"/>
      <c r="CL30" s="50">
        <f t="shared" si="28"/>
        <v>0</v>
      </c>
      <c r="CM30" s="10"/>
      <c r="CT30" s="39"/>
      <c r="CV30" s="48" t="s">
        <v>14</v>
      </c>
      <c r="CW30" s="64">
        <v>0.90600000000000003</v>
      </c>
      <c r="CX30" s="64"/>
      <c r="CY30" s="71">
        <f t="shared" si="31"/>
        <v>-0.90600000000000003</v>
      </c>
      <c r="CZ30" s="9"/>
      <c r="DA30" s="9"/>
      <c r="DB30" s="9"/>
      <c r="DC30" s="40"/>
    </row>
    <row r="31" spans="2:107" ht="18" thickBot="1">
      <c r="B31" s="5">
        <v>46050</v>
      </c>
      <c r="C31" s="23">
        <f>IF([1]CHAMNORD!H32=0,"",[1]CHAMNORD!H32)</f>
        <v>14604.39</v>
      </c>
      <c r="D31" s="22">
        <f t="shared" si="0"/>
        <v>14604.39</v>
      </c>
      <c r="E31" s="23">
        <f>IF([2]CHAMNORD!H33=0,"",[2]CHAMNORD!H33)</f>
        <v>17025.93</v>
      </c>
      <c r="F31" s="17">
        <f t="shared" si="1"/>
        <v>-7.7806659253413568E-2</v>
      </c>
      <c r="G31" s="12" t="s">
        <v>42</v>
      </c>
      <c r="H31" s="7">
        <f>SUM(C191:C197)</f>
        <v>162326.24</v>
      </c>
      <c r="I31" s="7" t="str">
        <f>IF(SUM(E190:E196)=0,"",SUM(E190:E196))</f>
        <v/>
      </c>
      <c r="J31" s="17" t="str">
        <f t="shared" si="18"/>
        <v/>
      </c>
      <c r="R31" s="39"/>
      <c r="T31" s="5">
        <v>46050</v>
      </c>
      <c r="U31" s="23">
        <f>IF([1]CHAMNORD!I32=0,"",[1]CHAMNORD!I32)</f>
        <v>14477.2</v>
      </c>
      <c r="V31" s="22">
        <f t="shared" si="3"/>
        <v>14477.2</v>
      </c>
      <c r="W31" s="23">
        <f>IF([2]CHAMNORD!I33=0,"",[2]CHAMNORD!I33)</f>
        <v>16747.71</v>
      </c>
      <c r="X31" s="17">
        <f t="shared" si="4"/>
        <v>-8.1671159325245823E-2</v>
      </c>
      <c r="Y31" s="12" t="s">
        <v>42</v>
      </c>
      <c r="Z31" s="7">
        <f>SUM(U191:U197)</f>
        <v>157514.00999999998</v>
      </c>
      <c r="AA31" s="7" t="str">
        <f>IF(SUM(W190:W196)=0,"",SUM(W190:W196))</f>
        <v/>
      </c>
      <c r="AB31" s="17" t="str">
        <f t="shared" si="20"/>
        <v/>
      </c>
      <c r="AJ31" s="39"/>
      <c r="AL31" s="5">
        <v>46050</v>
      </c>
      <c r="AM31" s="23">
        <f>IF([1]CHAMNORD!J32=0,"",[1]CHAMNORD!J32)</f>
        <v>949</v>
      </c>
      <c r="AN31" s="22">
        <f t="shared" si="6"/>
        <v>949</v>
      </c>
      <c r="AO31" s="23">
        <f>IF([2]CHAMNORD!J33=0,"",[2]CHAMNORD!J33)</f>
        <v>949</v>
      </c>
      <c r="AP31" s="17">
        <f t="shared" si="7"/>
        <v>-0.15267857142857144</v>
      </c>
      <c r="AQ31" s="12" t="s">
        <v>42</v>
      </c>
      <c r="AR31" s="7">
        <f>SUM(AM191:AM197)</f>
        <v>8601</v>
      </c>
      <c r="AS31" s="7" t="str">
        <f>IF(SUM(AO190:AO196)=0,"",SUM(AO190:AO196))</f>
        <v/>
      </c>
      <c r="AT31" s="17" t="str">
        <f t="shared" si="22"/>
        <v/>
      </c>
      <c r="BB31" s="39"/>
      <c r="BD31" s="5">
        <v>46050</v>
      </c>
      <c r="BE31" s="42">
        <f t="shared" si="9"/>
        <v>15.389241306638567</v>
      </c>
      <c r="BF31" s="72">
        <f t="shared" si="10"/>
        <v>15.389241306638567</v>
      </c>
      <c r="BG31" s="42">
        <f t="shared" si="11"/>
        <v>17.940916754478398</v>
      </c>
      <c r="BH31" s="17">
        <f t="shared" si="12"/>
        <v>8.8363057572367509E-2</v>
      </c>
      <c r="BI31" s="12" t="s">
        <v>42</v>
      </c>
      <c r="BJ31" s="45">
        <f t="shared" si="13"/>
        <v>18.872949657016626</v>
      </c>
      <c r="BK31" s="45" t="str">
        <f t="shared" si="14"/>
        <v/>
      </c>
      <c r="BL31" s="17" t="str">
        <f t="shared" si="24"/>
        <v/>
      </c>
      <c r="BT31" s="39"/>
      <c r="BV31" s="47" t="s">
        <v>42</v>
      </c>
      <c r="BW31" s="45"/>
      <c r="BX31" s="45"/>
      <c r="BY31" s="50">
        <f t="shared" si="26"/>
        <v>0</v>
      </c>
      <c r="BZ31" s="10"/>
      <c r="CG31" s="39"/>
      <c r="CI31" s="47" t="s">
        <v>42</v>
      </c>
      <c r="CJ31" s="45"/>
      <c r="CK31" s="45"/>
      <c r="CL31" s="50">
        <f t="shared" si="28"/>
        <v>0</v>
      </c>
      <c r="CM31" s="10"/>
      <c r="CT31" s="39"/>
    </row>
    <row r="32" spans="2:107">
      <c r="B32" s="5">
        <v>46051</v>
      </c>
      <c r="C32" s="23">
        <f>IF([1]CHAMNORD!H33=0,"",[1]CHAMNORD!H33)</f>
        <v>18462.43</v>
      </c>
      <c r="D32" s="22">
        <f t="shared" si="0"/>
        <v>18462.43</v>
      </c>
      <c r="E32" s="23">
        <f>IF([2]CHAMNORD!H34=0,"",[2]CHAMNORD!H34)</f>
        <v>17482.07</v>
      </c>
      <c r="F32" s="17">
        <f t="shared" si="1"/>
        <v>-3.2268474951563819E-2</v>
      </c>
      <c r="G32" s="12" t="s">
        <v>43</v>
      </c>
      <c r="H32" s="7">
        <f>SUM(C198:C204)</f>
        <v>152311.53</v>
      </c>
      <c r="I32" s="7" t="str">
        <f>IF(SUM(E197:E203)=0,"",SUM(E197:E203))</f>
        <v/>
      </c>
      <c r="J32" s="17" t="str">
        <f t="shared" si="18"/>
        <v/>
      </c>
      <c r="R32" s="39"/>
      <c r="T32" s="5">
        <v>46051</v>
      </c>
      <c r="U32" s="23">
        <f>IF([1]CHAMNORD!I33=0,"",[1]CHAMNORD!I33)</f>
        <v>18237.16</v>
      </c>
      <c r="V32" s="22">
        <f t="shared" si="3"/>
        <v>18237.16</v>
      </c>
      <c r="W32" s="23">
        <f>IF([2]CHAMNORD!I34=0,"",[2]CHAMNORD!I34)</f>
        <v>17273.060000000001</v>
      </c>
      <c r="X32" s="17">
        <f t="shared" si="4"/>
        <v>-3.5588680810721307E-2</v>
      </c>
      <c r="Y32" s="12" t="s">
        <v>43</v>
      </c>
      <c r="Z32" s="7">
        <f>SUM(U198:U204)</f>
        <v>150536.66</v>
      </c>
      <c r="AA32" s="7" t="str">
        <f>IF(SUM(W197:W203)=0,"",SUM(W197:W203))</f>
        <v/>
      </c>
      <c r="AB32" s="17" t="str">
        <f t="shared" si="20"/>
        <v/>
      </c>
      <c r="AJ32" s="39"/>
      <c r="AL32" s="5">
        <v>46051</v>
      </c>
      <c r="AM32" s="23">
        <f>IF([1]CHAMNORD!J33=0,"",[1]CHAMNORD!J33)</f>
        <v>1120</v>
      </c>
      <c r="AN32" s="22">
        <f t="shared" si="6"/>
        <v>1120</v>
      </c>
      <c r="AO32" s="23">
        <f>IF([2]CHAMNORD!J34=0,"",[2]CHAMNORD!J34)</f>
        <v>983</v>
      </c>
      <c r="AP32" s="17">
        <f t="shared" si="7"/>
        <v>-7.5258701787394133E-2</v>
      </c>
      <c r="AQ32" s="12" t="s">
        <v>43</v>
      </c>
      <c r="AR32" s="7">
        <f>SUM(AM198:AM204)</f>
        <v>7955</v>
      </c>
      <c r="AS32" s="7" t="str">
        <f>IF(SUM(AO197:AO203)=0,"",SUM(AO197:AO203))</f>
        <v/>
      </c>
      <c r="AT32" s="17" t="str">
        <f t="shared" si="22"/>
        <v/>
      </c>
      <c r="BB32" s="39"/>
      <c r="BD32" s="5">
        <v>46051</v>
      </c>
      <c r="BE32" s="42">
        <f t="shared" si="9"/>
        <v>16.484312500000001</v>
      </c>
      <c r="BF32" s="72">
        <f t="shared" si="10"/>
        <v>16.484312500000001</v>
      </c>
      <c r="BG32" s="42">
        <f t="shared" si="11"/>
        <v>17.784404883011192</v>
      </c>
      <c r="BH32" s="17">
        <f t="shared" si="12"/>
        <v>4.6488922814331479E-2</v>
      </c>
      <c r="BI32" s="12" t="s">
        <v>43</v>
      </c>
      <c r="BJ32" s="45">
        <f t="shared" si="13"/>
        <v>19.1466411062225</v>
      </c>
      <c r="BK32" s="45" t="str">
        <f t="shared" si="14"/>
        <v/>
      </c>
      <c r="BL32" s="17" t="str">
        <f t="shared" si="24"/>
        <v/>
      </c>
      <c r="BT32" s="39"/>
      <c r="BV32" s="47" t="s">
        <v>43</v>
      </c>
      <c r="BW32" s="45"/>
      <c r="BX32" s="45"/>
      <c r="BY32" s="50">
        <f t="shared" si="26"/>
        <v>0</v>
      </c>
      <c r="BZ32" s="10"/>
      <c r="CG32" s="39"/>
      <c r="CI32" s="47" t="s">
        <v>43</v>
      </c>
      <c r="CJ32" s="45"/>
      <c r="CK32" s="45"/>
      <c r="CL32" s="50">
        <f t="shared" si="28"/>
        <v>0</v>
      </c>
      <c r="CM32" s="10"/>
      <c r="CT32" s="39"/>
      <c r="CV32" s="27" t="s">
        <v>80</v>
      </c>
      <c r="CW32" s="28"/>
      <c r="CX32" s="28"/>
      <c r="CY32" s="28"/>
      <c r="CZ32" s="35"/>
      <c r="DA32" s="35"/>
      <c r="DB32" s="35"/>
      <c r="DC32" s="36"/>
    </row>
    <row r="33" spans="2:107">
      <c r="B33" s="5">
        <v>46052</v>
      </c>
      <c r="C33" s="23">
        <f>IF([1]CHAMNORD!H34=0,"",[1]CHAMNORD!H34)</f>
        <v>18065</v>
      </c>
      <c r="D33" s="22">
        <f t="shared" si="0"/>
        <v>18065</v>
      </c>
      <c r="E33" s="23">
        <f>IF([2]CHAMNORD!H35=0,"",[2]CHAMNORD!H35)</f>
        <v>25158.45</v>
      </c>
      <c r="F33" s="17">
        <f t="shared" si="1"/>
        <v>-3.5535203600481569E-2</v>
      </c>
      <c r="G33" s="12" t="s">
        <v>44</v>
      </c>
      <c r="H33" s="7">
        <f>SUM(C205:C211)</f>
        <v>143020.10999999999</v>
      </c>
      <c r="I33" s="7" t="str">
        <f>IF(SUM(E204:E210)=0,"",SUM(E204:E210))</f>
        <v/>
      </c>
      <c r="J33" s="17" t="str">
        <f t="shared" si="18"/>
        <v/>
      </c>
      <c r="R33" s="39"/>
      <c r="T33" s="5">
        <v>46052</v>
      </c>
      <c r="U33" s="23">
        <f>IF([1]CHAMNORD!I34=0,"",[1]CHAMNORD!I34)</f>
        <v>17910.47</v>
      </c>
      <c r="V33" s="22">
        <f t="shared" si="3"/>
        <v>17910.47</v>
      </c>
      <c r="W33" s="23">
        <f>IF([2]CHAMNORD!I35=0,"",[2]CHAMNORD!I35)</f>
        <v>24877.91</v>
      </c>
      <c r="X33" s="17">
        <f t="shared" si="4"/>
        <v>-3.6600633929764315E-2</v>
      </c>
      <c r="Y33" s="12" t="s">
        <v>44</v>
      </c>
      <c r="Z33" s="7">
        <f>SUM(U205:U211)</f>
        <v>141273.68</v>
      </c>
      <c r="AA33" s="7" t="str">
        <f>IF(SUM(W204:W210)=0,"",SUM(W204:W210))</f>
        <v/>
      </c>
      <c r="AB33" s="17" t="str">
        <f t="shared" si="20"/>
        <v/>
      </c>
      <c r="AJ33" s="39"/>
      <c r="AL33" s="5">
        <v>46052</v>
      </c>
      <c r="AM33" s="23">
        <f>IF([1]CHAMNORD!J34=0,"",[1]CHAMNORD!J34)</f>
        <v>1063</v>
      </c>
      <c r="AN33" s="22">
        <f t="shared" si="6"/>
        <v>1063</v>
      </c>
      <c r="AO33" s="23">
        <f>IF([2]CHAMNORD!J35=0,"",[2]CHAMNORD!J35)</f>
        <v>1295</v>
      </c>
      <c r="AP33" s="17">
        <f t="shared" si="7"/>
        <v>-0.13551401869158874</v>
      </c>
      <c r="AQ33" s="12" t="s">
        <v>44</v>
      </c>
      <c r="AR33" s="7">
        <f>SUM(AM205:AM211)</f>
        <v>7531</v>
      </c>
      <c r="AS33" s="7" t="str">
        <f>IF(SUM(AO204:AO210)=0,"",SUM(AO204:AO210))</f>
        <v/>
      </c>
      <c r="AT33" s="17" t="str">
        <f t="shared" si="22"/>
        <v/>
      </c>
      <c r="BB33" s="39"/>
      <c r="BD33" s="5">
        <v>46052</v>
      </c>
      <c r="BE33" s="42">
        <f t="shared" si="9"/>
        <v>16.994355597365946</v>
      </c>
      <c r="BF33" s="72">
        <f t="shared" si="10"/>
        <v>16.994355597365946</v>
      </c>
      <c r="BG33" s="42">
        <f t="shared" si="11"/>
        <v>19.427374517374517</v>
      </c>
      <c r="BH33" s="17">
        <f t="shared" si="12"/>
        <v>0.11565116988917268</v>
      </c>
      <c r="BI33" s="12" t="s">
        <v>44</v>
      </c>
      <c r="BJ33" s="45">
        <f t="shared" si="13"/>
        <v>18.990852476430749</v>
      </c>
      <c r="BK33" s="45" t="str">
        <f t="shared" si="14"/>
        <v/>
      </c>
      <c r="BL33" s="17" t="str">
        <f t="shared" si="24"/>
        <v/>
      </c>
      <c r="BT33" s="39"/>
      <c r="BV33" s="47" t="s">
        <v>44</v>
      </c>
      <c r="BW33" s="45"/>
      <c r="BX33" s="45"/>
      <c r="BY33" s="50">
        <f t="shared" si="26"/>
        <v>0</v>
      </c>
      <c r="BZ33" s="10"/>
      <c r="CG33" s="39"/>
      <c r="CI33" s="47" t="s">
        <v>44</v>
      </c>
      <c r="CJ33" s="45"/>
      <c r="CK33" s="45"/>
      <c r="CL33" s="50">
        <f t="shared" si="28"/>
        <v>0</v>
      </c>
      <c r="CM33" s="10"/>
      <c r="CT33" s="39"/>
      <c r="CV33" s="2" t="s">
        <v>2</v>
      </c>
      <c r="CW33" s="3">
        <v>2025</v>
      </c>
      <c r="CX33" s="3">
        <v>2026</v>
      </c>
      <c r="CY33" s="16" t="s">
        <v>75</v>
      </c>
      <c r="CZ33" s="3" t="s">
        <v>70</v>
      </c>
      <c r="DA33" s="3">
        <v>2025</v>
      </c>
      <c r="DB33" s="30">
        <v>2026</v>
      </c>
      <c r="DC33" s="37" t="s">
        <v>75</v>
      </c>
    </row>
    <row r="34" spans="2:107">
      <c r="B34" s="5">
        <v>46053</v>
      </c>
      <c r="C34" s="23">
        <f>IF([1]CHAMNORD!H35=0,"",[1]CHAMNORD!H35)</f>
        <v>26085.4</v>
      </c>
      <c r="D34" s="22">
        <f t="shared" si="0"/>
        <v>26085.4</v>
      </c>
      <c r="E34" s="23">
        <f>IF([2]CHAMNORD!H36=0,"",[2]CHAMNORD!H36)</f>
        <v>32604.25</v>
      </c>
      <c r="F34" s="17">
        <f t="shared" si="1"/>
        <v>4.5787660929269558E-2</v>
      </c>
      <c r="G34" s="12" t="s">
        <v>45</v>
      </c>
      <c r="H34" s="7">
        <f>SUM(C212:C218)</f>
        <v>145174.9</v>
      </c>
      <c r="I34" s="7" t="str">
        <f>IF(SUM(E211:E217)=0,"",SUM(E211:E217))</f>
        <v/>
      </c>
      <c r="J34" s="17" t="str">
        <f t="shared" si="18"/>
        <v/>
      </c>
      <c r="R34" s="39"/>
      <c r="T34" s="5">
        <v>46053</v>
      </c>
      <c r="U34" s="23">
        <f>IF([1]CHAMNORD!I35=0,"",[1]CHAMNORD!I35)</f>
        <v>25823.05</v>
      </c>
      <c r="V34" s="22">
        <f t="shared" si="3"/>
        <v>25823.05</v>
      </c>
      <c r="W34" s="23">
        <f>IF([2]CHAMNORD!I36=0,"",[2]CHAMNORD!I36)</f>
        <v>32046.22</v>
      </c>
      <c r="X34" s="17">
        <f t="shared" si="4"/>
        <v>3.9502173805153307E-2</v>
      </c>
      <c r="Y34" s="12" t="s">
        <v>45</v>
      </c>
      <c r="Z34" s="7">
        <f>SUM(U212:U218)</f>
        <v>143553.38</v>
      </c>
      <c r="AA34" s="7" t="str">
        <f>IF(SUM(W211:W217)=0,"",SUM(W211:W217))</f>
        <v/>
      </c>
      <c r="AB34" s="17" t="str">
        <f t="shared" si="20"/>
        <v/>
      </c>
      <c r="AJ34" s="39"/>
      <c r="AL34" s="5">
        <v>46053</v>
      </c>
      <c r="AM34" s="23">
        <f>IF([1]CHAMNORD!J35=0,"",[1]CHAMNORD!J35)</f>
        <v>1498</v>
      </c>
      <c r="AN34" s="22">
        <f t="shared" si="6"/>
        <v>1498</v>
      </c>
      <c r="AO34" s="23">
        <f>IF([2]CHAMNORD!J36=0,"",[2]CHAMNORD!J36)</f>
        <v>1517</v>
      </c>
      <c r="AP34" s="17">
        <f t="shared" si="7"/>
        <v>-2.1921341070277212E-2</v>
      </c>
      <c r="AQ34" s="12" t="s">
        <v>45</v>
      </c>
      <c r="AR34" s="7">
        <f>SUM(AM212:AM218)</f>
        <v>7718</v>
      </c>
      <c r="AS34" s="7" t="str">
        <f>IF(SUM(AO211:AO217)=0,"",SUM(AO211:AO217))</f>
        <v/>
      </c>
      <c r="AT34" s="17" t="str">
        <f t="shared" si="22"/>
        <v/>
      </c>
      <c r="BB34" s="39"/>
      <c r="BD34" s="5">
        <v>46053</v>
      </c>
      <c r="BE34" s="42">
        <f t="shared" si="9"/>
        <v>17.413484646194927</v>
      </c>
      <c r="BF34" s="72">
        <f t="shared" si="10"/>
        <v>17.413484646194927</v>
      </c>
      <c r="BG34" s="42">
        <f t="shared" si="11"/>
        <v>21.492584047462095</v>
      </c>
      <c r="BH34" s="17">
        <f t="shared" si="12"/>
        <v>6.9226540607315146E-2</v>
      </c>
      <c r="BI34" s="12" t="s">
        <v>45</v>
      </c>
      <c r="BJ34" s="45">
        <f t="shared" si="13"/>
        <v>18.809911894273128</v>
      </c>
      <c r="BK34" s="45" t="str">
        <f t="shared" si="14"/>
        <v/>
      </c>
      <c r="BL34" s="17" t="str">
        <f t="shared" si="24"/>
        <v/>
      </c>
      <c r="BT34" s="39"/>
      <c r="BV34" s="47" t="s">
        <v>45</v>
      </c>
      <c r="BW34" s="45"/>
      <c r="BX34" s="45"/>
      <c r="BY34" s="50">
        <f t="shared" si="26"/>
        <v>0</v>
      </c>
      <c r="BZ34" s="10"/>
      <c r="CG34" s="39"/>
      <c r="CI34" s="47" t="s">
        <v>45</v>
      </c>
      <c r="CJ34" s="45"/>
      <c r="CK34" s="45"/>
      <c r="CL34" s="50">
        <f t="shared" si="28"/>
        <v>0</v>
      </c>
      <c r="CM34" s="10"/>
      <c r="CT34" s="39"/>
      <c r="CV34" s="47" t="s">
        <v>3</v>
      </c>
      <c r="CW34" s="66">
        <v>3</v>
      </c>
      <c r="CX34" s="66">
        <v>3.2</v>
      </c>
      <c r="CY34" s="56">
        <f>CX34-CW34</f>
        <v>0.20000000000000018</v>
      </c>
      <c r="CZ34" s="32" t="s">
        <v>71</v>
      </c>
      <c r="DA34" s="69">
        <f>AVERAGE(CW34:CW45)</f>
        <v>3.4500000000000006</v>
      </c>
      <c r="DB34" s="69">
        <f>AVERAGE(CX34:CX45)</f>
        <v>3.6166666666666667</v>
      </c>
      <c r="DC34" s="61">
        <f>DB34-DA34</f>
        <v>0.16666666666666607</v>
      </c>
    </row>
    <row r="35" spans="2:107">
      <c r="B35" s="5">
        <v>46054</v>
      </c>
      <c r="C35" s="23">
        <f>IF([1]CHAMNORD!H36=0,"",[1]CHAMNORD!H36)</f>
        <v>31176.74</v>
      </c>
      <c r="D35" s="22">
        <f t="shared" si="0"/>
        <v>31176.74</v>
      </c>
      <c r="E35" s="24">
        <f>IF([2]CHAMNORD!H37=0,"",[2]CHAMNORD!H37)</f>
        <v>24679.64</v>
      </c>
      <c r="F35" s="17">
        <f t="shared" si="1"/>
        <v>-5.9920648222355655E-2</v>
      </c>
      <c r="G35" s="12" t="s">
        <v>46</v>
      </c>
      <c r="H35" s="7">
        <f>SUM(C219:C225)</f>
        <v>142878.21999999997</v>
      </c>
      <c r="I35" s="7" t="str">
        <f>IF(SUM(E218:E224)=0,"",SUM(E218:E224))</f>
        <v/>
      </c>
      <c r="J35" s="17" t="str">
        <f t="shared" si="18"/>
        <v/>
      </c>
      <c r="R35" s="39"/>
      <c r="T35" s="5">
        <v>46054</v>
      </c>
      <c r="U35" s="23">
        <f>IF([1]CHAMNORD!I36=0,"",[1]CHAMNORD!I36)</f>
        <v>30828.43</v>
      </c>
      <c r="V35" s="22">
        <f t="shared" si="3"/>
        <v>30828.43</v>
      </c>
      <c r="W35" s="24">
        <f>IF([2]CHAMNORD!I37=0,"",[2]CHAMNORD!I37)</f>
        <v>24352.799999999999</v>
      </c>
      <c r="X35" s="17">
        <f t="shared" si="4"/>
        <v>-6.0350944614925184E-2</v>
      </c>
      <c r="Y35" s="12" t="s">
        <v>46</v>
      </c>
      <c r="Z35" s="7">
        <f>SUM(U219:U225)</f>
        <v>140812.04</v>
      </c>
      <c r="AA35" s="7" t="str">
        <f>IF(SUM(W218:W224)=0,"",SUM(W218:W224))</f>
        <v/>
      </c>
      <c r="AB35" s="17" t="str">
        <f t="shared" si="20"/>
        <v/>
      </c>
      <c r="AJ35" s="39"/>
      <c r="AL35" s="5">
        <v>46054</v>
      </c>
      <c r="AM35" s="23">
        <f>IF([1]CHAMNORD!J36=0,"",[1]CHAMNORD!J36)</f>
        <v>1551</v>
      </c>
      <c r="AN35" s="22">
        <f t="shared" si="6"/>
        <v>1551</v>
      </c>
      <c r="AO35" s="24">
        <f>IF([2]CHAMNORD!J37=0,"",[2]CHAMNORD!J37)</f>
        <v>1147</v>
      </c>
      <c r="AP35" s="17">
        <f t="shared" si="7"/>
        <v>-0.16277372262773726</v>
      </c>
      <c r="AQ35" s="12" t="s">
        <v>46</v>
      </c>
      <c r="AR35" s="7">
        <f>SUM(AM219:AM225)</f>
        <v>7392</v>
      </c>
      <c r="AS35" s="7" t="str">
        <f>IF(SUM(AO218:AO224)=0,"",SUM(AO218:AO224))</f>
        <v/>
      </c>
      <c r="AT35" s="17" t="str">
        <f t="shared" si="22"/>
        <v/>
      </c>
      <c r="BB35" s="39"/>
      <c r="BD35" s="5">
        <v>46054</v>
      </c>
      <c r="BE35" s="42">
        <f t="shared" si="9"/>
        <v>20.10105738233398</v>
      </c>
      <c r="BF35" s="72">
        <f t="shared" si="10"/>
        <v>20.10105738233398</v>
      </c>
      <c r="BG35" s="43">
        <f t="shared" si="11"/>
        <v>21.516687009590235</v>
      </c>
      <c r="BH35" s="17">
        <f t="shared" si="12"/>
        <v>0.12284979244583494</v>
      </c>
      <c r="BI35" s="12" t="s">
        <v>46</v>
      </c>
      <c r="BJ35" s="45">
        <f t="shared" si="13"/>
        <v>19.328763528138523</v>
      </c>
      <c r="BK35" s="45" t="str">
        <f t="shared" si="14"/>
        <v/>
      </c>
      <c r="BL35" s="17" t="str">
        <f t="shared" si="24"/>
        <v/>
      </c>
      <c r="BT35" s="39"/>
      <c r="BV35" s="47" t="s">
        <v>46</v>
      </c>
      <c r="BW35" s="45"/>
      <c r="BX35" s="45"/>
      <c r="BY35" s="50">
        <f t="shared" si="26"/>
        <v>0</v>
      </c>
      <c r="BZ35" s="10"/>
      <c r="CG35" s="39"/>
      <c r="CI35" s="47" t="s">
        <v>46</v>
      </c>
      <c r="CJ35" s="45"/>
      <c r="CK35" s="45"/>
      <c r="CL35" s="50">
        <f t="shared" si="28"/>
        <v>0</v>
      </c>
      <c r="CM35" s="10"/>
      <c r="CT35" s="39"/>
      <c r="CV35" s="47" t="s">
        <v>4</v>
      </c>
      <c r="CW35" s="66">
        <v>3.3</v>
      </c>
      <c r="CX35" s="66">
        <v>3.4</v>
      </c>
      <c r="CY35" s="56">
        <f t="shared" ref="CY35:CY45" si="32">CX35-CW35</f>
        <v>0.10000000000000009</v>
      </c>
      <c r="DC35" s="39"/>
    </row>
    <row r="36" spans="2:107">
      <c r="B36" s="5">
        <v>46055</v>
      </c>
      <c r="C36" s="24">
        <f>IF([1]CHAMNORD!H37=0,"",[1]CHAMNORD!H37)</f>
        <v>26252.720000000001</v>
      </c>
      <c r="D36" s="22">
        <f t="shared" si="0"/>
        <v>26252.720000000001</v>
      </c>
      <c r="E36" s="21">
        <f>IF([2]CHAMNORD!H38=0,"",[2]CHAMNORD!H38)</f>
        <v>13315.67</v>
      </c>
      <c r="F36" s="17">
        <f t="shared" si="1"/>
        <v>-0.11535132039545759</v>
      </c>
      <c r="G36" s="12" t="s">
        <v>47</v>
      </c>
      <c r="H36" s="7">
        <f>SUM(C226:C232)</f>
        <v>147976.06000000003</v>
      </c>
      <c r="I36" s="7" t="str">
        <f>IF(SUM(E225:E231)=0,"",SUM(E225:E231))</f>
        <v/>
      </c>
      <c r="J36" s="17" t="str">
        <f t="shared" si="18"/>
        <v/>
      </c>
      <c r="R36" s="39"/>
      <c r="T36" s="5">
        <v>46055</v>
      </c>
      <c r="U36" s="24">
        <f>IF([1]CHAMNORD!I37=0,"",[1]CHAMNORD!I37)</f>
        <v>25916.91</v>
      </c>
      <c r="V36" s="22">
        <f t="shared" si="3"/>
        <v>25916.91</v>
      </c>
      <c r="W36" s="21">
        <f>IF([2]CHAMNORD!I38=0,"",[2]CHAMNORD!I38)</f>
        <v>13214.7</v>
      </c>
      <c r="X36" s="17">
        <f t="shared" si="4"/>
        <v>-0.11112381657053483</v>
      </c>
      <c r="Y36" s="12" t="s">
        <v>47</v>
      </c>
      <c r="Z36" s="7">
        <f>SUM(U226:U232)</f>
        <v>145605.57</v>
      </c>
      <c r="AA36" s="7" t="str">
        <f>IF(SUM(W225:W231)=0,"",SUM(W225:W231))</f>
        <v/>
      </c>
      <c r="AB36" s="17" t="str">
        <f t="shared" si="20"/>
        <v/>
      </c>
      <c r="AJ36" s="39"/>
      <c r="AL36" s="5">
        <v>46055</v>
      </c>
      <c r="AM36" s="24">
        <f>IF([1]CHAMNORD!J37=0,"",[1]CHAMNORD!J37)</f>
        <v>1370</v>
      </c>
      <c r="AN36" s="22">
        <f t="shared" si="6"/>
        <v>1370</v>
      </c>
      <c r="AO36" s="21">
        <f>IF([2]CHAMNORD!J38=0,"",[2]CHAMNORD!J38)</f>
        <v>808</v>
      </c>
      <c r="AP36" s="17">
        <f t="shared" si="7"/>
        <v>-0.14587737843551796</v>
      </c>
      <c r="AQ36" s="12" t="s">
        <v>47</v>
      </c>
      <c r="AR36" s="7">
        <f>SUM(AM226:AM232)</f>
        <v>7598</v>
      </c>
      <c r="AS36" s="7" t="str">
        <f>IF(SUM(AO225:AO231)=0,"",SUM(AO225:AO231))</f>
        <v/>
      </c>
      <c r="AT36" s="17" t="str">
        <f t="shared" si="22"/>
        <v/>
      </c>
      <c r="BB36" s="39"/>
      <c r="BD36" s="5">
        <v>46055</v>
      </c>
      <c r="BE36" s="43">
        <f t="shared" si="9"/>
        <v>19.162569343065694</v>
      </c>
      <c r="BF36" s="72">
        <f t="shared" si="10"/>
        <v>19.162569343065694</v>
      </c>
      <c r="BG36" s="41">
        <f t="shared" si="11"/>
        <v>16.479789603960395</v>
      </c>
      <c r="BH36" s="17">
        <f t="shared" si="12"/>
        <v>3.5739666962743888E-2</v>
      </c>
      <c r="BI36" s="12" t="s">
        <v>47</v>
      </c>
      <c r="BJ36" s="45">
        <f t="shared" ref="BJ36:BJ56" si="33">IFERROR(H36/AR36,"")</f>
        <v>19.475659384048438</v>
      </c>
      <c r="BK36" s="45" t="str">
        <f t="shared" ref="BK36:BK56" si="34">IFERROR(I36/AS36,"")</f>
        <v/>
      </c>
      <c r="BL36" s="17" t="str">
        <f t="shared" si="24"/>
        <v/>
      </c>
      <c r="BT36" s="39"/>
      <c r="BV36" s="47" t="s">
        <v>47</v>
      </c>
      <c r="BW36" s="45"/>
      <c r="BX36" s="45"/>
      <c r="BY36" s="50">
        <f t="shared" si="26"/>
        <v>0</v>
      </c>
      <c r="BZ36" s="10"/>
      <c r="CG36" s="39"/>
      <c r="CI36" s="47" t="s">
        <v>47</v>
      </c>
      <c r="CJ36" s="45"/>
      <c r="CK36" s="45"/>
      <c r="CL36" s="50">
        <f t="shared" si="28"/>
        <v>0</v>
      </c>
      <c r="CM36" s="10"/>
      <c r="CT36" s="39"/>
      <c r="CV36" s="47" t="s">
        <v>5</v>
      </c>
      <c r="CW36" s="66">
        <v>3.6</v>
      </c>
      <c r="CX36" s="66">
        <v>3.9</v>
      </c>
      <c r="CY36" s="56">
        <f t="shared" si="32"/>
        <v>0.29999999999999982</v>
      </c>
      <c r="DC36" s="39"/>
    </row>
    <row r="37" spans="2:107">
      <c r="B37" s="5">
        <v>46056</v>
      </c>
      <c r="C37" s="21">
        <f>IF([1]CHAMNORD!H38=0,"",[1]CHAMNORD!H38)</f>
        <v>15051.93</v>
      </c>
      <c r="D37" s="22">
        <f t="shared" si="0"/>
        <v>15051.93</v>
      </c>
      <c r="E37" s="23">
        <f>IF([2]CHAMNORD!H39=0,"",[2]CHAMNORD!H39)</f>
        <v>15351.35</v>
      </c>
      <c r="F37" s="17">
        <f t="shared" si="1"/>
        <v>-3.7502743032696961E-2</v>
      </c>
      <c r="G37" s="12" t="s">
        <v>48</v>
      </c>
      <c r="H37" s="7">
        <f>SUM(C233:C239)</f>
        <v>147716.18</v>
      </c>
      <c r="I37" s="7" t="str">
        <f>IF(SUM(E232:E238)=0,"",SUM(E232:E238))</f>
        <v/>
      </c>
      <c r="J37" s="17" t="str">
        <f t="shared" si="18"/>
        <v/>
      </c>
      <c r="R37" s="39"/>
      <c r="T37" s="5">
        <v>46056</v>
      </c>
      <c r="U37" s="21">
        <f>IF([1]CHAMNORD!I38=0,"",[1]CHAMNORD!I38)</f>
        <v>14866.75</v>
      </c>
      <c r="V37" s="22">
        <f t="shared" si="3"/>
        <v>14866.75</v>
      </c>
      <c r="W37" s="23">
        <f>IF([2]CHAMNORD!I39=0,"",[2]CHAMNORD!I39)</f>
        <v>15171.34</v>
      </c>
      <c r="X37" s="17">
        <f t="shared" si="4"/>
        <v>-3.8477772862497317E-2</v>
      </c>
      <c r="Y37" s="12" t="s">
        <v>48</v>
      </c>
      <c r="Z37" s="7">
        <f>SUM(U233:U239)</f>
        <v>145602.05000000002</v>
      </c>
      <c r="AA37" s="7" t="str">
        <f>IF(SUM(W232:W238)=0,"",SUM(W232:W238))</f>
        <v/>
      </c>
      <c r="AB37" s="17" t="str">
        <f t="shared" si="20"/>
        <v/>
      </c>
      <c r="AJ37" s="39"/>
      <c r="AL37" s="5">
        <v>46056</v>
      </c>
      <c r="AM37" s="21">
        <f>IF([1]CHAMNORD!J38=0,"",[1]CHAMNORD!J38)</f>
        <v>946</v>
      </c>
      <c r="AN37" s="22">
        <f t="shared" si="6"/>
        <v>946</v>
      </c>
      <c r="AO37" s="23">
        <f>IF([2]CHAMNORD!J39=0,"",[2]CHAMNORD!J39)</f>
        <v>899</v>
      </c>
      <c r="AP37" s="17">
        <f t="shared" si="7"/>
        <v>-8.2653061224489788E-2</v>
      </c>
      <c r="AQ37" s="12" t="s">
        <v>48</v>
      </c>
      <c r="AR37" s="7">
        <f>SUM(AM233:AM239)</f>
        <v>7752</v>
      </c>
      <c r="AS37" s="7" t="str">
        <f>IF(SUM(AO232:AO238)=0,"",SUM(AO232:AO238))</f>
        <v/>
      </c>
      <c r="AT37" s="17" t="str">
        <f t="shared" si="22"/>
        <v/>
      </c>
      <c r="BB37" s="39"/>
      <c r="BD37" s="5">
        <v>46056</v>
      </c>
      <c r="BE37" s="41">
        <f t="shared" si="9"/>
        <v>15.911131078224102</v>
      </c>
      <c r="BF37" s="72">
        <f t="shared" si="10"/>
        <v>15.911131078224102</v>
      </c>
      <c r="BG37" s="42">
        <f t="shared" si="11"/>
        <v>17.076028921023358</v>
      </c>
      <c r="BH37" s="17">
        <f t="shared" si="12"/>
        <v>4.921836688315584E-2</v>
      </c>
      <c r="BI37" s="12" t="s">
        <v>48</v>
      </c>
      <c r="BJ37" s="45">
        <f t="shared" si="33"/>
        <v>19.055234778121775</v>
      </c>
      <c r="BK37" s="45" t="str">
        <f t="shared" si="34"/>
        <v/>
      </c>
      <c r="BL37" s="17" t="str">
        <f t="shared" si="24"/>
        <v/>
      </c>
      <c r="BT37" s="39"/>
      <c r="BV37" s="47" t="s">
        <v>48</v>
      </c>
      <c r="BW37" s="45"/>
      <c r="BX37" s="45"/>
      <c r="BY37" s="50">
        <f t="shared" si="26"/>
        <v>0</v>
      </c>
      <c r="BZ37" s="10"/>
      <c r="CG37" s="39"/>
      <c r="CI37" s="47" t="s">
        <v>48</v>
      </c>
      <c r="CJ37" s="45"/>
      <c r="CK37" s="45"/>
      <c r="CL37" s="50">
        <f t="shared" si="28"/>
        <v>0</v>
      </c>
      <c r="CM37" s="10"/>
      <c r="CT37" s="39"/>
      <c r="CV37" s="47" t="s">
        <v>6</v>
      </c>
      <c r="CW37" s="66">
        <v>3.1</v>
      </c>
      <c r="CX37" s="66">
        <v>3.8</v>
      </c>
      <c r="CY37" s="56">
        <f t="shared" si="32"/>
        <v>0.69999999999999973</v>
      </c>
      <c r="DC37" s="39"/>
    </row>
    <row r="38" spans="2:107">
      <c r="B38" s="5">
        <v>46057</v>
      </c>
      <c r="C38" s="23">
        <f>IF([1]CHAMNORD!H39=0,"",[1]CHAMNORD!H39)</f>
        <v>15949.5</v>
      </c>
      <c r="D38" s="22">
        <f t="shared" si="0"/>
        <v>15949.5</v>
      </c>
      <c r="E38" s="23">
        <f>IF([2]CHAMNORD!H40=0,"",[2]CHAMNORD!H40)</f>
        <v>18464.27</v>
      </c>
      <c r="F38" s="17">
        <f t="shared" si="1"/>
        <v>-9.992956115870677E-2</v>
      </c>
      <c r="G38" s="12" t="s">
        <v>49</v>
      </c>
      <c r="H38" s="7">
        <f>SUM(C240:C246)</f>
        <v>153948.62</v>
      </c>
      <c r="I38" s="7" t="str">
        <f>IF(SUM(E239:E245)=0,"",SUM(E239:E245))</f>
        <v/>
      </c>
      <c r="J38" s="17" t="str">
        <f t="shared" si="18"/>
        <v/>
      </c>
      <c r="R38" s="39"/>
      <c r="T38" s="5">
        <v>46057</v>
      </c>
      <c r="U38" s="23">
        <f>IF([1]CHAMNORD!I39=0,"",[1]CHAMNORD!I39)</f>
        <v>15778.46</v>
      </c>
      <c r="V38" s="22">
        <f t="shared" si="3"/>
        <v>15778.46</v>
      </c>
      <c r="W38" s="23">
        <f>IF([2]CHAMNORD!I40=0,"",[2]CHAMNORD!I40)</f>
        <v>18194.3</v>
      </c>
      <c r="X38" s="17">
        <f t="shared" si="4"/>
        <v>-0.10260842973861461</v>
      </c>
      <c r="Y38" s="12" t="s">
        <v>49</v>
      </c>
      <c r="Z38" s="7">
        <f>SUM(U240:U246)</f>
        <v>152020.12000000002</v>
      </c>
      <c r="AA38" s="7" t="str">
        <f>IF(SUM(W239:W245)=0,"",SUM(W239:W245))</f>
        <v/>
      </c>
      <c r="AB38" s="17" t="str">
        <f t="shared" si="20"/>
        <v/>
      </c>
      <c r="AJ38" s="39"/>
      <c r="AL38" s="5">
        <v>46057</v>
      </c>
      <c r="AM38" s="23">
        <f>IF([1]CHAMNORD!J39=0,"",[1]CHAMNORD!J39)</f>
        <v>980</v>
      </c>
      <c r="AN38" s="22">
        <f t="shared" si="6"/>
        <v>980</v>
      </c>
      <c r="AO38" s="23">
        <f>IF([2]CHAMNORD!J40=0,"",[2]CHAMNORD!J40)</f>
        <v>1071</v>
      </c>
      <c r="AP38" s="17">
        <f t="shared" si="7"/>
        <v>-0.11633663366336633</v>
      </c>
      <c r="AQ38" s="12" t="s">
        <v>49</v>
      </c>
      <c r="AR38" s="7">
        <f>SUM(AM240:AM246)</f>
        <v>8090</v>
      </c>
      <c r="AS38" s="7" t="str">
        <f>IF(SUM(AO239:AO245)=0,"",SUM(AO239:AO245))</f>
        <v/>
      </c>
      <c r="AT38" s="17" t="str">
        <f t="shared" si="22"/>
        <v/>
      </c>
      <c r="BB38" s="39"/>
      <c r="BD38" s="5">
        <v>46057</v>
      </c>
      <c r="BE38" s="42">
        <f t="shared" si="9"/>
        <v>16.274999999999999</v>
      </c>
      <c r="BF38" s="72">
        <f t="shared" si="10"/>
        <v>16.274999999999999</v>
      </c>
      <c r="BG38" s="42">
        <f t="shared" si="11"/>
        <v>17.240214752567695</v>
      </c>
      <c r="BH38" s="17">
        <f t="shared" si="12"/>
        <v>1.8567107260175186E-2</v>
      </c>
      <c r="BI38" s="12" t="s">
        <v>49</v>
      </c>
      <c r="BJ38" s="45">
        <f t="shared" si="33"/>
        <v>19.0294956736712</v>
      </c>
      <c r="BK38" s="45" t="str">
        <f t="shared" si="34"/>
        <v/>
      </c>
      <c r="BL38" s="17" t="str">
        <f t="shared" si="24"/>
        <v/>
      </c>
      <c r="BT38" s="39"/>
      <c r="BV38" s="47" t="s">
        <v>49</v>
      </c>
      <c r="BW38" s="45"/>
      <c r="BX38" s="45"/>
      <c r="BY38" s="50">
        <f t="shared" si="26"/>
        <v>0</v>
      </c>
      <c r="BZ38" s="10"/>
      <c r="CG38" s="39"/>
      <c r="CI38" s="47" t="s">
        <v>49</v>
      </c>
      <c r="CJ38" s="45"/>
      <c r="CK38" s="45"/>
      <c r="CL38" s="50">
        <f t="shared" si="28"/>
        <v>0</v>
      </c>
      <c r="CM38" s="10"/>
      <c r="CT38" s="39"/>
      <c r="CV38" s="47" t="s">
        <v>7</v>
      </c>
      <c r="CW38" s="66">
        <v>2.8</v>
      </c>
      <c r="CX38" s="66">
        <v>3.5</v>
      </c>
      <c r="CY38" s="56">
        <f t="shared" si="32"/>
        <v>0.70000000000000018</v>
      </c>
      <c r="DC38" s="39"/>
    </row>
    <row r="39" spans="2:107">
      <c r="B39" s="5">
        <v>46058</v>
      </c>
      <c r="C39" s="23">
        <f>IF([1]CHAMNORD!H40=0,"",[1]CHAMNORD!H40)</f>
        <v>20514.25</v>
      </c>
      <c r="D39" s="22">
        <f t="shared" si="0"/>
        <v>20514.25</v>
      </c>
      <c r="E39" s="23">
        <f>IF([2]CHAMNORD!H41=0,"",[2]CHAMNORD!H41)</f>
        <v>18598.78</v>
      </c>
      <c r="F39" s="17">
        <f t="shared" si="1"/>
        <v>2.927995484153012E-2</v>
      </c>
      <c r="G39" s="12" t="s">
        <v>50</v>
      </c>
      <c r="H39" s="7">
        <f>SUM(C247:C253)</f>
        <v>146300.99</v>
      </c>
      <c r="I39" s="7" t="str">
        <f>IF(SUM(E246:E252)=0,"",SUM(E246:E252))</f>
        <v/>
      </c>
      <c r="J39" s="17" t="str">
        <f t="shared" si="18"/>
        <v/>
      </c>
      <c r="R39" s="39"/>
      <c r="T39" s="5">
        <v>46058</v>
      </c>
      <c r="U39" s="23">
        <f>IF([1]CHAMNORD!I40=0,"",[1]CHAMNORD!I40)</f>
        <v>20274.650000000001</v>
      </c>
      <c r="V39" s="22">
        <f t="shared" si="3"/>
        <v>20274.650000000001</v>
      </c>
      <c r="W39" s="23">
        <f>IF([2]CHAMNORD!I41=0,"",[2]CHAMNORD!I41)</f>
        <v>18450.86</v>
      </c>
      <c r="X39" s="17">
        <f t="shared" si="4"/>
        <v>3.1925561646149569E-2</v>
      </c>
      <c r="Y39" s="12" t="s">
        <v>50</v>
      </c>
      <c r="Z39" s="7">
        <f>SUM(U247:U253)</f>
        <v>142813.66</v>
      </c>
      <c r="AA39" s="7" t="str">
        <f>IF(SUM(W246:W252)=0,"",SUM(W246:W252))</f>
        <v/>
      </c>
      <c r="AB39" s="17" t="str">
        <f t="shared" si="20"/>
        <v/>
      </c>
      <c r="AJ39" s="39"/>
      <c r="AL39" s="5">
        <v>46058</v>
      </c>
      <c r="AM39" s="23">
        <f>IF([1]CHAMNORD!J40=0,"",[1]CHAMNORD!J40)</f>
        <v>1212</v>
      </c>
      <c r="AN39" s="22">
        <f t="shared" si="6"/>
        <v>1212</v>
      </c>
      <c r="AO39" s="23">
        <f>IF([2]CHAMNORD!J41=0,"",[2]CHAMNORD!J41)</f>
        <v>1044</v>
      </c>
      <c r="AP39" s="17">
        <f t="shared" si="7"/>
        <v>-5.3490480507706217E-2</v>
      </c>
      <c r="AQ39" s="12" t="s">
        <v>50</v>
      </c>
      <c r="AR39" s="7">
        <f>SUM(AM247:AM253)</f>
        <v>7954</v>
      </c>
      <c r="AS39" s="7" t="str">
        <f>IF(SUM(AO246:AO252)=0,"",SUM(AO246:AO252))</f>
        <v/>
      </c>
      <c r="AT39" s="17" t="str">
        <f t="shared" si="22"/>
        <v/>
      </c>
      <c r="BB39" s="39"/>
      <c r="BD39" s="5">
        <v>46058</v>
      </c>
      <c r="BE39" s="42">
        <f t="shared" si="9"/>
        <v>16.925948844884488</v>
      </c>
      <c r="BF39" s="72">
        <f t="shared" si="10"/>
        <v>16.925948844884488</v>
      </c>
      <c r="BG39" s="42">
        <f t="shared" si="11"/>
        <v>17.814923371647509</v>
      </c>
      <c r="BH39" s="17">
        <f t="shared" si="12"/>
        <v>8.7448074894834971E-2</v>
      </c>
      <c r="BI39" s="12" t="s">
        <v>50</v>
      </c>
      <c r="BJ39" s="45">
        <f t="shared" si="33"/>
        <v>18.393385717877795</v>
      </c>
      <c r="BK39" s="45" t="str">
        <f t="shared" si="34"/>
        <v/>
      </c>
      <c r="BL39" s="17" t="str">
        <f t="shared" si="24"/>
        <v/>
      </c>
      <c r="BT39" s="39"/>
      <c r="BV39" s="47" t="s">
        <v>50</v>
      </c>
      <c r="BW39" s="45"/>
      <c r="BX39" s="45"/>
      <c r="BY39" s="50">
        <f t="shared" si="26"/>
        <v>0</v>
      </c>
      <c r="BZ39" s="10"/>
      <c r="CG39" s="39"/>
      <c r="CI39" s="47" t="s">
        <v>50</v>
      </c>
      <c r="CJ39" s="45"/>
      <c r="CK39" s="45"/>
      <c r="CL39" s="50">
        <f t="shared" si="28"/>
        <v>0</v>
      </c>
      <c r="CM39" s="10"/>
      <c r="CT39" s="39"/>
      <c r="CV39" s="47" t="s">
        <v>8</v>
      </c>
      <c r="CW39" s="66">
        <v>3.3</v>
      </c>
      <c r="CX39" s="66">
        <v>3.9</v>
      </c>
      <c r="CY39" s="56">
        <f t="shared" si="32"/>
        <v>0.60000000000000009</v>
      </c>
      <c r="DC39" s="39"/>
    </row>
    <row r="40" spans="2:107">
      <c r="B40" s="5">
        <v>46059</v>
      </c>
      <c r="C40" s="23">
        <f>IF([1]CHAMNORD!H41=0,"",[1]CHAMNORD!H41)</f>
        <v>18069.7</v>
      </c>
      <c r="D40" s="22">
        <f t="shared" si="0"/>
        <v>18069.7</v>
      </c>
      <c r="E40" s="23">
        <f>IF([2]CHAMNORD!H42=0,"",[2]CHAMNORD!H42)</f>
        <v>28945.05</v>
      </c>
      <c r="F40" s="17">
        <f t="shared" si="1"/>
        <v>-1.5425595964969729E-2</v>
      </c>
      <c r="G40" s="12" t="s">
        <v>51</v>
      </c>
      <c r="H40" s="7">
        <f>SUM(C254:C260)</f>
        <v>128168.64</v>
      </c>
      <c r="I40" s="7" t="str">
        <f>IF(SUM(E253:E259)=0,"",SUM(E253:E259))</f>
        <v/>
      </c>
      <c r="J40" s="17" t="str">
        <f t="shared" si="18"/>
        <v/>
      </c>
      <c r="R40" s="39"/>
      <c r="T40" s="5">
        <v>46059</v>
      </c>
      <c r="U40" s="23">
        <f>IF([1]CHAMNORD!I41=0,"",[1]CHAMNORD!I41)</f>
        <v>17880.03</v>
      </c>
      <c r="V40" s="22">
        <f t="shared" si="3"/>
        <v>17880.03</v>
      </c>
      <c r="W40" s="23">
        <f>IF([2]CHAMNORD!I42=0,"",[2]CHAMNORD!I42)</f>
        <v>28568.49</v>
      </c>
      <c r="X40" s="17">
        <f t="shared" si="4"/>
        <v>-1.8586352991614707E-2</v>
      </c>
      <c r="Y40" s="12" t="s">
        <v>51</v>
      </c>
      <c r="Z40" s="7">
        <f>SUM(U254:U260)</f>
        <v>126557.1</v>
      </c>
      <c r="AA40" s="7" t="str">
        <f>IF(SUM(W253:W259)=0,"",SUM(W253:W259))</f>
        <v/>
      </c>
      <c r="AB40" s="17" t="str">
        <f t="shared" si="20"/>
        <v/>
      </c>
      <c r="AJ40" s="39"/>
      <c r="AL40" s="5">
        <v>46059</v>
      </c>
      <c r="AM40" s="23">
        <f>IF([1]CHAMNORD!J41=0,"",[1]CHAMNORD!J41)</f>
        <v>1103</v>
      </c>
      <c r="AN40" s="22">
        <f t="shared" si="6"/>
        <v>1103</v>
      </c>
      <c r="AO40" s="23">
        <f>IF([2]CHAMNORD!J42=0,"",[2]CHAMNORD!J42)</f>
        <v>1478</v>
      </c>
      <c r="AP40" s="17">
        <f t="shared" si="7"/>
        <v>-6.2777425491439387E-2</v>
      </c>
      <c r="AQ40" s="12" t="s">
        <v>51</v>
      </c>
      <c r="AR40" s="7">
        <f>SUM(AM254:AM260)</f>
        <v>7137</v>
      </c>
      <c r="AS40" s="7" t="str">
        <f>IF(SUM(AO253:AO259)=0,"",SUM(AO253:AO259))</f>
        <v/>
      </c>
      <c r="AT40" s="17" t="str">
        <f t="shared" si="22"/>
        <v/>
      </c>
      <c r="BB40" s="39"/>
      <c r="BD40" s="5">
        <v>46059</v>
      </c>
      <c r="BE40" s="42">
        <f t="shared" si="9"/>
        <v>16.382320942883048</v>
      </c>
      <c r="BF40" s="72">
        <f t="shared" si="10"/>
        <v>16.382320942883048</v>
      </c>
      <c r="BG40" s="42">
        <f t="shared" si="11"/>
        <v>19.583930987821379</v>
      </c>
      <c r="BH40" s="17">
        <f t="shared" si="12"/>
        <v>5.0523569122627121E-2</v>
      </c>
      <c r="BI40" s="12" t="s">
        <v>51</v>
      </c>
      <c r="BJ40" s="45">
        <f t="shared" si="33"/>
        <v>17.958335435056746</v>
      </c>
      <c r="BK40" s="45" t="str">
        <f t="shared" si="34"/>
        <v/>
      </c>
      <c r="BL40" s="17" t="str">
        <f t="shared" si="24"/>
        <v/>
      </c>
      <c r="BT40" s="39"/>
      <c r="BV40" s="47" t="s">
        <v>51</v>
      </c>
      <c r="BW40" s="45"/>
      <c r="BX40" s="45"/>
      <c r="BY40" s="50">
        <f t="shared" si="26"/>
        <v>0</v>
      </c>
      <c r="BZ40" s="10"/>
      <c r="CG40" s="39"/>
      <c r="CI40" s="47" t="s">
        <v>51</v>
      </c>
      <c r="CJ40" s="45"/>
      <c r="CK40" s="45"/>
      <c r="CL40" s="50">
        <f t="shared" si="28"/>
        <v>0</v>
      </c>
      <c r="CM40" s="10"/>
      <c r="CT40" s="39"/>
      <c r="CV40" s="47" t="s">
        <v>9</v>
      </c>
      <c r="CW40" s="66">
        <v>3.3</v>
      </c>
      <c r="CX40" s="66"/>
      <c r="CY40" s="56">
        <f t="shared" si="32"/>
        <v>-3.3</v>
      </c>
      <c r="DC40" s="39"/>
    </row>
    <row r="41" spans="2:107">
      <c r="B41" s="5">
        <v>46060</v>
      </c>
      <c r="C41" s="23">
        <f>IF([1]CHAMNORD!H42=0,"",[1]CHAMNORD!H42)</f>
        <v>29398.54</v>
      </c>
      <c r="D41" s="22">
        <f t="shared" si="0"/>
        <v>29398.54</v>
      </c>
      <c r="E41" s="23">
        <f>IF([2]CHAMNORD!H43=0,"",[2]CHAMNORD!H43)</f>
        <v>30509.83</v>
      </c>
      <c r="F41" s="17">
        <f t="shared" si="1"/>
        <v>-5.2339656280963709E-2</v>
      </c>
      <c r="G41" s="12" t="s">
        <v>52</v>
      </c>
      <c r="H41" s="7">
        <f>SUM(C261:C267)</f>
        <v>125662.65999999999</v>
      </c>
      <c r="I41" s="7" t="str">
        <f>IF(SUM(E260:E266)=0,"",SUM(E260:E266))</f>
        <v/>
      </c>
      <c r="J41" s="17" t="str">
        <f t="shared" si="18"/>
        <v/>
      </c>
      <c r="R41" s="39"/>
      <c r="T41" s="5">
        <v>46060</v>
      </c>
      <c r="U41" s="23">
        <f>IF([1]CHAMNORD!I42=0,"",[1]CHAMNORD!I42)</f>
        <v>29109.53</v>
      </c>
      <c r="V41" s="22">
        <f t="shared" si="3"/>
        <v>29109.53</v>
      </c>
      <c r="W41" s="23">
        <f>IF([2]CHAMNORD!I43=0,"",[2]CHAMNORD!I43)</f>
        <v>30154.18</v>
      </c>
      <c r="X41" s="17">
        <f t="shared" si="4"/>
        <v>-5.3338473584113144E-2</v>
      </c>
      <c r="Y41" s="12" t="s">
        <v>52</v>
      </c>
      <c r="Z41" s="7">
        <f>SUM(U261:U267)</f>
        <v>124008.15000000002</v>
      </c>
      <c r="AA41" s="7" t="str">
        <f>IF(SUM(W260:W266)=0,"",SUM(W260:W266))</f>
        <v/>
      </c>
      <c r="AB41" s="17" t="str">
        <f t="shared" si="20"/>
        <v/>
      </c>
      <c r="AJ41" s="39"/>
      <c r="AL41" s="5">
        <v>46060</v>
      </c>
      <c r="AM41" s="23">
        <f>IF([1]CHAMNORD!J42=0,"",[1]CHAMNORD!J42)</f>
        <v>1577</v>
      </c>
      <c r="AN41" s="22">
        <f t="shared" si="6"/>
        <v>1577</v>
      </c>
      <c r="AO41" s="23">
        <f>IF([2]CHAMNORD!J43=0,"",[2]CHAMNORD!J43)</f>
        <v>1508</v>
      </c>
      <c r="AP41" s="17">
        <f t="shared" si="7"/>
        <v>-8.4395871281117141E-2</v>
      </c>
      <c r="AQ41" s="12" t="s">
        <v>52</v>
      </c>
      <c r="AR41" s="7">
        <f>SUM(AM261:AM267)</f>
        <v>7059</v>
      </c>
      <c r="AS41" s="7" t="str">
        <f>IF(SUM(AO260:AO266)=0,"",SUM(AO260:AO266))</f>
        <v/>
      </c>
      <c r="AT41" s="17" t="str">
        <f t="shared" si="22"/>
        <v/>
      </c>
      <c r="BB41" s="39"/>
      <c r="BD41" s="5">
        <v>46060</v>
      </c>
      <c r="BE41" s="42">
        <f t="shared" si="9"/>
        <v>18.642067216233354</v>
      </c>
      <c r="BF41" s="72">
        <f t="shared" si="10"/>
        <v>18.642067216233354</v>
      </c>
      <c r="BG41" s="42">
        <f t="shared" si="11"/>
        <v>20.231982758620692</v>
      </c>
      <c r="BH41" s="17">
        <f t="shared" si="12"/>
        <v>3.5010998743536303E-2</v>
      </c>
      <c r="BI41" s="12" t="s">
        <v>52</v>
      </c>
      <c r="BJ41" s="45">
        <f t="shared" si="33"/>
        <v>17.801765122538601</v>
      </c>
      <c r="BK41" s="45" t="str">
        <f t="shared" si="34"/>
        <v/>
      </c>
      <c r="BL41" s="17" t="str">
        <f t="shared" si="24"/>
        <v/>
      </c>
      <c r="BT41" s="39"/>
      <c r="BV41" s="47" t="s">
        <v>52</v>
      </c>
      <c r="BW41" s="45"/>
      <c r="BX41" s="45"/>
      <c r="BY41" s="50">
        <f t="shared" si="26"/>
        <v>0</v>
      </c>
      <c r="BZ41" s="10"/>
      <c r="CG41" s="39"/>
      <c r="CI41" s="47" t="s">
        <v>52</v>
      </c>
      <c r="CJ41" s="45"/>
      <c r="CK41" s="45"/>
      <c r="CL41" s="50">
        <f t="shared" si="28"/>
        <v>0</v>
      </c>
      <c r="CM41" s="10"/>
      <c r="CT41" s="39"/>
      <c r="CV41" s="47" t="s">
        <v>10</v>
      </c>
      <c r="CW41" s="66">
        <v>3.8</v>
      </c>
      <c r="CX41" s="66"/>
      <c r="CY41" s="56">
        <f t="shared" si="32"/>
        <v>-3.8</v>
      </c>
      <c r="DC41" s="39"/>
    </row>
    <row r="42" spans="2:107">
      <c r="B42" s="5">
        <v>46061</v>
      </c>
      <c r="C42" s="23">
        <f>IF([1]CHAMNORD!H43=0,"",[1]CHAMNORD!H43)</f>
        <v>32194.9</v>
      </c>
      <c r="D42" s="22">
        <f t="shared" si="0"/>
        <v>32194.9</v>
      </c>
      <c r="E42" s="24">
        <f>IF([2]CHAMNORD!H44=0,"",[2]CHAMNORD!H44)</f>
        <v>26941.47</v>
      </c>
      <c r="F42" s="17">
        <f t="shared" si="1"/>
        <v>7.4415783399387481E-2</v>
      </c>
      <c r="G42" s="12" t="s">
        <v>53</v>
      </c>
      <c r="H42" s="7">
        <f>SUM(C268:C274)</f>
        <v>129079.45000000001</v>
      </c>
      <c r="I42" s="7" t="str">
        <f>IF(SUM(E267:E273)=0,"",SUM(E267:E273))</f>
        <v/>
      </c>
      <c r="J42" s="17" t="str">
        <f t="shared" si="18"/>
        <v/>
      </c>
      <c r="R42" s="39"/>
      <c r="T42" s="5">
        <v>46061</v>
      </c>
      <c r="U42" s="23">
        <f>IF([1]CHAMNORD!I43=0,"",[1]CHAMNORD!I43)</f>
        <v>31853.18</v>
      </c>
      <c r="V42" s="22">
        <f t="shared" si="3"/>
        <v>31853.18</v>
      </c>
      <c r="W42" s="24">
        <f>IF([2]CHAMNORD!I44=0,"",[2]CHAMNORD!I44)</f>
        <v>26492.6</v>
      </c>
      <c r="X42" s="17">
        <f t="shared" si="4"/>
        <v>6.9124699199466066E-2</v>
      </c>
      <c r="Y42" s="12" t="s">
        <v>53</v>
      </c>
      <c r="Z42" s="7">
        <f>SUM(U268:U274)</f>
        <v>126754.95000000001</v>
      </c>
      <c r="AA42" s="7" t="str">
        <f>IF(SUM(W267:W273)=0,"",SUM(W267:W273))</f>
        <v/>
      </c>
      <c r="AB42" s="17" t="str">
        <f t="shared" si="20"/>
        <v/>
      </c>
      <c r="AJ42" s="39"/>
      <c r="AL42" s="5">
        <v>46061</v>
      </c>
      <c r="AM42" s="23">
        <f>IF([1]CHAMNORD!J43=0,"",[1]CHAMNORD!J43)</f>
        <v>1647</v>
      </c>
      <c r="AN42" s="22">
        <f t="shared" si="6"/>
        <v>1647</v>
      </c>
      <c r="AO42" s="24">
        <f>IF([2]CHAMNORD!J44=0,"",[2]CHAMNORD!J44)</f>
        <v>1315</v>
      </c>
      <c r="AP42" s="17">
        <f t="shared" si="7"/>
        <v>3.624901497241928E-2</v>
      </c>
      <c r="AQ42" s="12" t="s">
        <v>53</v>
      </c>
      <c r="AR42" s="7">
        <f>SUM(AM268:AM274)</f>
        <v>7204</v>
      </c>
      <c r="AS42" s="7" t="str">
        <f>IF(SUM(AO267:AO273)=0,"",SUM(AO267:AO273))</f>
        <v/>
      </c>
      <c r="AT42" s="17" t="str">
        <f t="shared" si="22"/>
        <v/>
      </c>
      <c r="BB42" s="39"/>
      <c r="BD42" s="5">
        <v>46061</v>
      </c>
      <c r="BE42" s="42">
        <f t="shared" si="9"/>
        <v>19.547601700060717</v>
      </c>
      <c r="BF42" s="72">
        <f t="shared" si="10"/>
        <v>19.547601700060717</v>
      </c>
      <c r="BG42" s="43">
        <f t="shared" si="11"/>
        <v>20.487809885931561</v>
      </c>
      <c r="BH42" s="17">
        <f t="shared" si="12"/>
        <v>3.6831657135986795E-2</v>
      </c>
      <c r="BI42" s="12" t="s">
        <v>53</v>
      </c>
      <c r="BJ42" s="45">
        <f t="shared" si="33"/>
        <v>17.917747084952804</v>
      </c>
      <c r="BK42" s="45" t="str">
        <f t="shared" si="34"/>
        <v/>
      </c>
      <c r="BL42" s="17" t="str">
        <f t="shared" si="24"/>
        <v/>
      </c>
      <c r="BT42" s="39"/>
      <c r="BV42" s="47" t="s">
        <v>53</v>
      </c>
      <c r="BW42" s="45"/>
      <c r="BX42" s="45"/>
      <c r="BY42" s="50">
        <f t="shared" si="26"/>
        <v>0</v>
      </c>
      <c r="BZ42" s="10"/>
      <c r="CG42" s="39"/>
      <c r="CI42" s="47" t="s">
        <v>53</v>
      </c>
      <c r="CJ42" s="45"/>
      <c r="CK42" s="45"/>
      <c r="CL42" s="50">
        <f t="shared" si="28"/>
        <v>0</v>
      </c>
      <c r="CM42" s="10"/>
      <c r="CT42" s="39"/>
      <c r="CV42" s="47" t="s">
        <v>11</v>
      </c>
      <c r="CW42" s="66">
        <v>4</v>
      </c>
      <c r="CX42" s="66"/>
      <c r="CY42" s="56">
        <f t="shared" si="32"/>
        <v>-4</v>
      </c>
      <c r="DC42" s="39"/>
    </row>
    <row r="43" spans="2:107">
      <c r="B43" s="5">
        <v>46062</v>
      </c>
      <c r="C43" s="24">
        <f>IF([1]CHAMNORD!H44=0,"",[1]CHAMNORD!H44)</f>
        <v>25075.46</v>
      </c>
      <c r="D43" s="22">
        <f t="shared" si="0"/>
        <v>25075.46</v>
      </c>
      <c r="E43" s="21">
        <f>IF([2]CHAMNORD!H45=0,"",[2]CHAMNORD!H45)</f>
        <v>15462.78</v>
      </c>
      <c r="F43" s="17">
        <f t="shared" si="1"/>
        <v>9.7548562760896074E-2</v>
      </c>
      <c r="G43" s="12" t="s">
        <v>54</v>
      </c>
      <c r="H43" s="7">
        <f>SUM(C275:C281)</f>
        <v>128425.87</v>
      </c>
      <c r="I43" s="7" t="str">
        <f>IF(SUM(E274:E280)=0,"",SUM(E274:E280))</f>
        <v/>
      </c>
      <c r="J43" s="17" t="str">
        <f t="shared" si="18"/>
        <v/>
      </c>
      <c r="R43" s="39"/>
      <c r="T43" s="5">
        <v>46062</v>
      </c>
      <c r="U43" s="24">
        <f>IF([1]CHAMNORD!I44=0,"",[1]CHAMNORD!I44)</f>
        <v>24779.71</v>
      </c>
      <c r="V43" s="22">
        <f t="shared" si="3"/>
        <v>24779.71</v>
      </c>
      <c r="W43" s="21">
        <f>IF([2]CHAMNORD!I45=0,"",[2]CHAMNORD!I45)</f>
        <v>15218.89</v>
      </c>
      <c r="X43" s="17">
        <f t="shared" si="4"/>
        <v>9.1312675280682098E-2</v>
      </c>
      <c r="Y43" s="12" t="s">
        <v>54</v>
      </c>
      <c r="Z43" s="7">
        <f>SUM(U275:U281)</f>
        <v>126018.32</v>
      </c>
      <c r="AA43" s="7" t="str">
        <f>IF(SUM(W274:W280)=0,"",SUM(W274:W280))</f>
        <v/>
      </c>
      <c r="AB43" s="17" t="str">
        <f t="shared" si="20"/>
        <v/>
      </c>
      <c r="AJ43" s="39"/>
      <c r="AL43" s="5">
        <v>46062</v>
      </c>
      <c r="AM43" s="24">
        <f>IF([1]CHAMNORD!J44=0,"",[1]CHAMNORD!J44)</f>
        <v>1269</v>
      </c>
      <c r="AN43" s="22">
        <f t="shared" si="6"/>
        <v>1269</v>
      </c>
      <c r="AO43" s="21">
        <f>IF([2]CHAMNORD!J45=0,"",[2]CHAMNORD!J45)</f>
        <v>874</v>
      </c>
      <c r="AP43" s="17">
        <f t="shared" si="7"/>
        <v>-3.4207525655644E-3</v>
      </c>
      <c r="AQ43" s="12" t="s">
        <v>54</v>
      </c>
      <c r="AR43" s="7">
        <f>SUM(AM275:AM281)</f>
        <v>7247</v>
      </c>
      <c r="AS43" s="7" t="str">
        <f>IF(SUM(AO274:AO280)=0,"",SUM(AO274:AO280))</f>
        <v/>
      </c>
      <c r="AT43" s="17" t="str">
        <f t="shared" si="22"/>
        <v/>
      </c>
      <c r="BB43" s="39"/>
      <c r="BD43" s="5">
        <v>46062</v>
      </c>
      <c r="BE43" s="43">
        <f t="shared" si="9"/>
        <v>19.760015760441291</v>
      </c>
      <c r="BF43" s="72">
        <f t="shared" si="10"/>
        <v>19.760015760441291</v>
      </c>
      <c r="BG43" s="41">
        <f t="shared" si="11"/>
        <v>17.691967963386727</v>
      </c>
      <c r="BH43" s="17">
        <f t="shared" si="12"/>
        <v>0.10131589192369095</v>
      </c>
      <c r="BI43" s="12" t="s">
        <v>54</v>
      </c>
      <c r="BJ43" s="45">
        <f t="shared" si="33"/>
        <v>17.721246032841176</v>
      </c>
      <c r="BK43" s="45" t="str">
        <f t="shared" si="34"/>
        <v/>
      </c>
      <c r="BL43" s="17" t="str">
        <f t="shared" si="24"/>
        <v/>
      </c>
      <c r="BT43" s="39"/>
      <c r="BV43" s="47" t="s">
        <v>54</v>
      </c>
      <c r="BW43" s="45"/>
      <c r="BX43" s="45"/>
      <c r="BY43" s="50">
        <f t="shared" si="26"/>
        <v>0</v>
      </c>
      <c r="BZ43" s="10"/>
      <c r="CG43" s="39"/>
      <c r="CI43" s="47" t="s">
        <v>54</v>
      </c>
      <c r="CJ43" s="45"/>
      <c r="CK43" s="45"/>
      <c r="CL43" s="50">
        <f t="shared" si="28"/>
        <v>0</v>
      </c>
      <c r="CM43" s="10"/>
      <c r="CT43" s="39"/>
      <c r="CV43" s="47" t="s">
        <v>12</v>
      </c>
      <c r="CW43" s="66">
        <v>3.7</v>
      </c>
      <c r="CX43" s="66"/>
      <c r="CY43" s="56">
        <f t="shared" si="32"/>
        <v>-3.7</v>
      </c>
      <c r="DC43" s="39"/>
    </row>
    <row r="44" spans="2:107">
      <c r="B44" s="5">
        <v>46063</v>
      </c>
      <c r="C44" s="21">
        <f>IF([1]CHAMNORD!H45=0,"",[1]CHAMNORD!H45)</f>
        <v>14088.47</v>
      </c>
      <c r="D44" s="22">
        <f t="shared" si="0"/>
        <v>14088.47</v>
      </c>
      <c r="E44" s="23">
        <f>IF([2]CHAMNORD!H46=0,"",[2]CHAMNORD!H46)</f>
        <v>18006.599999999999</v>
      </c>
      <c r="F44" s="17">
        <f t="shared" si="1"/>
        <v>0.15421152019322104</v>
      </c>
      <c r="G44" s="12" t="s">
        <v>55</v>
      </c>
      <c r="H44" s="7">
        <f>SUM(C282:C288)</f>
        <v>145019.41999999998</v>
      </c>
      <c r="I44" s="7" t="str">
        <f>IF(SUM(E281:E287)=0,"",SUM(E281:E287))</f>
        <v/>
      </c>
      <c r="J44" s="17" t="str">
        <f t="shared" si="18"/>
        <v/>
      </c>
      <c r="R44" s="39"/>
      <c r="T44" s="5">
        <v>46063</v>
      </c>
      <c r="U44" s="21">
        <f>IF([1]CHAMNORD!I45=0,"",[1]CHAMNORD!I45)</f>
        <v>13945.49</v>
      </c>
      <c r="V44" s="22">
        <f t="shared" si="3"/>
        <v>13945.49</v>
      </c>
      <c r="W44" s="23">
        <f>IF([2]CHAMNORD!I46=0,"",[2]CHAMNORD!I46)</f>
        <v>17680.490000000002</v>
      </c>
      <c r="X44" s="17">
        <f t="shared" si="4"/>
        <v>0.14697626382836826</v>
      </c>
      <c r="Y44" s="12" t="s">
        <v>55</v>
      </c>
      <c r="Z44" s="7">
        <f>SUM(U282:U288)</f>
        <v>143081.68</v>
      </c>
      <c r="AA44" s="7" t="str">
        <f>IF(SUM(W281:W287)=0,"",SUM(W281:W287))</f>
        <v/>
      </c>
      <c r="AB44" s="17" t="str">
        <f t="shared" si="20"/>
        <v/>
      </c>
      <c r="AJ44" s="39"/>
      <c r="AL44" s="5">
        <v>46063</v>
      </c>
      <c r="AM44" s="21">
        <f>IF([1]CHAMNORD!J45=0,"",[1]CHAMNORD!J45)</f>
        <v>877</v>
      </c>
      <c r="AN44" s="22">
        <f t="shared" si="6"/>
        <v>877</v>
      </c>
      <c r="AO44" s="23">
        <f>IF([2]CHAMNORD!J46=0,"",[2]CHAMNORD!J46)</f>
        <v>1027</v>
      </c>
      <c r="AP44" s="17">
        <f t="shared" si="7"/>
        <v>7.2025052192066896E-2</v>
      </c>
      <c r="AQ44" s="12" t="s">
        <v>55</v>
      </c>
      <c r="AR44" s="7">
        <f>SUM(AM282:AM288)</f>
        <v>7763</v>
      </c>
      <c r="AS44" s="7" t="str">
        <f>IF(SUM(AO281:AO287)=0,"",SUM(AO281:AO287))</f>
        <v/>
      </c>
      <c r="AT44" s="17" t="str">
        <f t="shared" si="22"/>
        <v/>
      </c>
      <c r="BB44" s="39"/>
      <c r="BD44" s="5">
        <v>46063</v>
      </c>
      <c r="BE44" s="41">
        <f t="shared" si="9"/>
        <v>16.064389965792472</v>
      </c>
      <c r="BF44" s="72">
        <f t="shared" si="10"/>
        <v>16.064389965792472</v>
      </c>
      <c r="BG44" s="42">
        <f t="shared" si="11"/>
        <v>17.533203505355402</v>
      </c>
      <c r="BH44" s="17">
        <f t="shared" si="12"/>
        <v>7.6664689722595547E-2</v>
      </c>
      <c r="BI44" s="12" t="s">
        <v>55</v>
      </c>
      <c r="BJ44" s="45">
        <f t="shared" si="33"/>
        <v>18.680847610459871</v>
      </c>
      <c r="BK44" s="45" t="str">
        <f t="shared" si="34"/>
        <v/>
      </c>
      <c r="BL44" s="17" t="str">
        <f t="shared" si="24"/>
        <v/>
      </c>
      <c r="BT44" s="39"/>
      <c r="BV44" s="47" t="s">
        <v>55</v>
      </c>
      <c r="BW44" s="45"/>
      <c r="BX44" s="45"/>
      <c r="BY44" s="50">
        <f t="shared" si="26"/>
        <v>0</v>
      </c>
      <c r="BZ44" s="10"/>
      <c r="CG44" s="39"/>
      <c r="CI44" s="47" t="s">
        <v>55</v>
      </c>
      <c r="CJ44" s="45"/>
      <c r="CK44" s="45"/>
      <c r="CL44" s="50">
        <f t="shared" si="28"/>
        <v>0</v>
      </c>
      <c r="CM44" s="10"/>
      <c r="CT44" s="39"/>
      <c r="CV44" s="47" t="s">
        <v>13</v>
      </c>
      <c r="CW44" s="66">
        <v>3.8</v>
      </c>
      <c r="CX44" s="66"/>
      <c r="CY44" s="56">
        <f t="shared" si="32"/>
        <v>-3.8</v>
      </c>
      <c r="DC44" s="39"/>
    </row>
    <row r="45" spans="2:107" ht="18" thickBot="1">
      <c r="B45" s="5">
        <v>46064</v>
      </c>
      <c r="C45" s="23">
        <f>IF([1]CHAMNORD!H46=0,"",[1]CHAMNORD!H46)</f>
        <v>15600.78</v>
      </c>
      <c r="D45" s="22">
        <f t="shared" si="0"/>
        <v>15600.78</v>
      </c>
      <c r="E45" s="23">
        <f>IF([2]CHAMNORD!H47=0,"",[2]CHAMNORD!H47)</f>
        <v>18736.27</v>
      </c>
      <c r="F45" s="17">
        <f t="shared" si="1"/>
        <v>4.3329630279288267E-2</v>
      </c>
      <c r="G45" s="12" t="s">
        <v>56</v>
      </c>
      <c r="H45" s="7">
        <f>SUM(C289:C295)</f>
        <v>135097.44</v>
      </c>
      <c r="I45" s="7" t="str">
        <f>IF(SUM(E288:E294)=0,"",SUM(E288:E294))</f>
        <v/>
      </c>
      <c r="J45" s="17" t="str">
        <f t="shared" si="18"/>
        <v/>
      </c>
      <c r="R45" s="39"/>
      <c r="T45" s="5">
        <v>46064</v>
      </c>
      <c r="U45" s="23">
        <f>IF([1]CHAMNORD!I46=0,"",[1]CHAMNORD!I46)</f>
        <v>15414.87</v>
      </c>
      <c r="V45" s="22">
        <f t="shared" si="3"/>
        <v>15414.87</v>
      </c>
      <c r="W45" s="23">
        <f>IF([2]CHAMNORD!I47=0,"",[2]CHAMNORD!I47)</f>
        <v>18527.5</v>
      </c>
      <c r="X45" s="17">
        <f t="shared" si="4"/>
        <v>4.554696595278096E-2</v>
      </c>
      <c r="Y45" s="12" t="s">
        <v>56</v>
      </c>
      <c r="Z45" s="7">
        <f>SUM(U289:U295)</f>
        <v>133443.25</v>
      </c>
      <c r="AA45" s="7" t="str">
        <f>IF(SUM(W288:W294)=0,"",SUM(W288:W294))</f>
        <v/>
      </c>
      <c r="AB45" s="17" t="str">
        <f t="shared" si="20"/>
        <v/>
      </c>
      <c r="AJ45" s="39"/>
      <c r="AL45" s="5">
        <v>46064</v>
      </c>
      <c r="AM45" s="23">
        <f>IF([1]CHAMNORD!J46=0,"",[1]CHAMNORD!J46)</f>
        <v>958</v>
      </c>
      <c r="AN45" s="22">
        <f t="shared" si="6"/>
        <v>958</v>
      </c>
      <c r="AO45" s="23">
        <f>IF([2]CHAMNORD!J47=0,"",[2]CHAMNORD!J47)</f>
        <v>1048</v>
      </c>
      <c r="AP45" s="17">
        <f t="shared" si="7"/>
        <v>-1.8726591760299671E-2</v>
      </c>
      <c r="AQ45" s="12" t="s">
        <v>56</v>
      </c>
      <c r="AR45" s="7">
        <f>SUM(AM289:AM295)</f>
        <v>7427</v>
      </c>
      <c r="AS45" s="7" t="str">
        <f>IF(SUM(AO288:AO294)=0,"",SUM(AO288:AO294))</f>
        <v/>
      </c>
      <c r="AT45" s="17" t="str">
        <f t="shared" si="22"/>
        <v/>
      </c>
      <c r="BB45" s="39"/>
      <c r="BD45" s="5">
        <v>46064</v>
      </c>
      <c r="BE45" s="42">
        <f t="shared" si="9"/>
        <v>16.284739039665972</v>
      </c>
      <c r="BF45" s="72">
        <f t="shared" si="10"/>
        <v>16.284739039665972</v>
      </c>
      <c r="BG45" s="42">
        <f t="shared" si="11"/>
        <v>17.878120229007635</v>
      </c>
      <c r="BH45" s="17">
        <f t="shared" si="12"/>
        <v>6.3240501086144985E-2</v>
      </c>
      <c r="BI45" s="12" t="s">
        <v>56</v>
      </c>
      <c r="BJ45" s="45">
        <f t="shared" si="33"/>
        <v>18.190041739598762</v>
      </c>
      <c r="BK45" s="45" t="str">
        <f t="shared" si="34"/>
        <v/>
      </c>
      <c r="BL45" s="17" t="str">
        <f t="shared" si="24"/>
        <v/>
      </c>
      <c r="BT45" s="39"/>
      <c r="BV45" s="47" t="s">
        <v>56</v>
      </c>
      <c r="BW45" s="45"/>
      <c r="BX45" s="45"/>
      <c r="BY45" s="50">
        <f t="shared" si="26"/>
        <v>0</v>
      </c>
      <c r="BZ45" s="10"/>
      <c r="CG45" s="39"/>
      <c r="CI45" s="47" t="s">
        <v>56</v>
      </c>
      <c r="CJ45" s="45"/>
      <c r="CK45" s="45"/>
      <c r="CL45" s="50">
        <f t="shared" si="28"/>
        <v>0</v>
      </c>
      <c r="CM45" s="10"/>
      <c r="CT45" s="39"/>
      <c r="CV45" s="48" t="s">
        <v>14</v>
      </c>
      <c r="CW45" s="67">
        <v>3.7</v>
      </c>
      <c r="CX45" s="67"/>
      <c r="CY45" s="57">
        <f t="shared" si="32"/>
        <v>-3.7</v>
      </c>
      <c r="CZ45" s="9"/>
      <c r="DA45" s="9"/>
      <c r="DB45" s="9"/>
      <c r="DC45" s="40"/>
    </row>
    <row r="46" spans="2:107">
      <c r="B46" s="5">
        <v>46065</v>
      </c>
      <c r="C46" s="23">
        <f>IF([1]CHAMNORD!H47=0,"",[1]CHAMNORD!H47)</f>
        <v>17958.150000000001</v>
      </c>
      <c r="D46" s="22">
        <f t="shared" si="0"/>
        <v>17958.150000000001</v>
      </c>
      <c r="E46" s="23">
        <f>IF([2]CHAMNORD!H48=0,"",[2]CHAMNORD!H48)</f>
        <v>20924.38</v>
      </c>
      <c r="F46" s="17">
        <f t="shared" si="1"/>
        <v>0.15178847637951742</v>
      </c>
      <c r="G46" s="12" t="s">
        <v>57</v>
      </c>
      <c r="H46" s="7">
        <f>SUM(C296:C302)</f>
        <v>141388.94</v>
      </c>
      <c r="I46" s="7" t="str">
        <f>IF(SUM(E295:E301)=0,"",SUM(E295:E301))</f>
        <v/>
      </c>
      <c r="J46" s="17" t="str">
        <f t="shared" si="18"/>
        <v/>
      </c>
      <c r="R46" s="39"/>
      <c r="T46" s="5">
        <v>46065</v>
      </c>
      <c r="U46" s="23">
        <f>IF([1]CHAMNORD!I47=0,"",[1]CHAMNORD!I47)</f>
        <v>17720.39</v>
      </c>
      <c r="V46" s="22">
        <f t="shared" si="3"/>
        <v>17720.39</v>
      </c>
      <c r="W46" s="23">
        <f>IF([2]CHAMNORD!I48=0,"",[2]CHAMNORD!I48)</f>
        <v>20632.86</v>
      </c>
      <c r="X46" s="17">
        <f t="shared" si="4"/>
        <v>0.14625535340381757</v>
      </c>
      <c r="Y46" s="12" t="s">
        <v>57</v>
      </c>
      <c r="Z46" s="7">
        <f>SUM(U296:U302)</f>
        <v>139515.61000000002</v>
      </c>
      <c r="AA46" s="7" t="str">
        <f>IF(SUM(W295:W301)=0,"",SUM(W295:W301))</f>
        <v/>
      </c>
      <c r="AB46" s="17" t="str">
        <f t="shared" si="20"/>
        <v/>
      </c>
      <c r="AJ46" s="39"/>
      <c r="AL46" s="5">
        <v>46065</v>
      </c>
      <c r="AM46" s="23">
        <f>IF([1]CHAMNORD!J47=0,"",[1]CHAMNORD!J47)</f>
        <v>1068</v>
      </c>
      <c r="AN46" s="22">
        <f t="shared" si="6"/>
        <v>1068</v>
      </c>
      <c r="AO46" s="23">
        <f>IF([2]CHAMNORD!J48=0,"",[2]CHAMNORD!J48)</f>
        <v>1153</v>
      </c>
      <c r="AP46" s="17">
        <f t="shared" si="7"/>
        <v>5.4894784995425328E-2</v>
      </c>
      <c r="AQ46" s="12" t="s">
        <v>57</v>
      </c>
      <c r="AR46" s="7">
        <f>SUM(AM296:AM302)</f>
        <v>7584</v>
      </c>
      <c r="AS46" s="7" t="str">
        <f>IF(SUM(AO295:AO301)=0,"",SUM(AO295:AO301))</f>
        <v/>
      </c>
      <c r="AT46" s="17" t="str">
        <f t="shared" si="22"/>
        <v/>
      </c>
      <c r="BB46" s="39"/>
      <c r="BD46" s="5">
        <v>46065</v>
      </c>
      <c r="BE46" s="42">
        <f t="shared" si="9"/>
        <v>16.814747191011236</v>
      </c>
      <c r="BF46" s="72">
        <f t="shared" si="10"/>
        <v>16.814747191011236</v>
      </c>
      <c r="BG46" s="42">
        <f t="shared" si="11"/>
        <v>18.147771032090201</v>
      </c>
      <c r="BH46" s="17">
        <f t="shared" si="12"/>
        <v>9.1851521841121109E-2</v>
      </c>
      <c r="BI46" s="12" t="s">
        <v>57</v>
      </c>
      <c r="BJ46" s="45">
        <f t="shared" si="33"/>
        <v>18.643056434599156</v>
      </c>
      <c r="BK46" s="45" t="str">
        <f t="shared" si="34"/>
        <v/>
      </c>
      <c r="BL46" s="17" t="str">
        <f t="shared" si="24"/>
        <v/>
      </c>
      <c r="BT46" s="39"/>
      <c r="BV46" s="47" t="s">
        <v>57</v>
      </c>
      <c r="BW46" s="45"/>
      <c r="BX46" s="45"/>
      <c r="BY46" s="50">
        <f t="shared" si="26"/>
        <v>0</v>
      </c>
      <c r="BZ46" s="10"/>
      <c r="CG46" s="39"/>
      <c r="CI46" s="47" t="s">
        <v>57</v>
      </c>
      <c r="CJ46" s="45"/>
      <c r="CK46" s="45"/>
      <c r="CL46" s="50">
        <f t="shared" si="28"/>
        <v>0</v>
      </c>
      <c r="CM46" s="10"/>
      <c r="CT46" s="39"/>
    </row>
    <row r="47" spans="2:107">
      <c r="B47" s="5">
        <v>46066</v>
      </c>
      <c r="C47" s="23">
        <f>IF([1]CHAMNORD!H48=0,"",[1]CHAMNORD!H48)</f>
        <v>18166.86</v>
      </c>
      <c r="D47" s="22">
        <f t="shared" si="0"/>
        <v>18166.86</v>
      </c>
      <c r="E47" s="23">
        <f>IF([2]CHAMNORD!H49=0,"",[2]CHAMNORD!H49)</f>
        <v>32569.99</v>
      </c>
      <c r="F47" s="17">
        <f t="shared" si="1"/>
        <v>0.11955488656468427</v>
      </c>
      <c r="G47" s="12" t="s">
        <v>58</v>
      </c>
      <c r="H47" s="7">
        <f>SUM(C303:C309)</f>
        <v>148299.79</v>
      </c>
      <c r="I47" s="7" t="str">
        <f>IF(SUM(E302:E308)=0,"",SUM(E302:E308))</f>
        <v/>
      </c>
      <c r="J47" s="17" t="str">
        <f t="shared" si="18"/>
        <v/>
      </c>
      <c r="R47" s="39"/>
      <c r="T47" s="5">
        <v>46066</v>
      </c>
      <c r="U47" s="23">
        <f>IF([1]CHAMNORD!I48=0,"",[1]CHAMNORD!I48)</f>
        <v>18000.23</v>
      </c>
      <c r="V47" s="22">
        <f t="shared" si="3"/>
        <v>18000.23</v>
      </c>
      <c r="W47" s="23">
        <f>IF([2]CHAMNORD!I49=0,"",[2]CHAMNORD!I49)</f>
        <v>32176.98</v>
      </c>
      <c r="X47" s="17">
        <f t="shared" si="4"/>
        <v>0.11880081668303188</v>
      </c>
      <c r="Y47" s="12" t="s">
        <v>58</v>
      </c>
      <c r="Z47" s="7">
        <f>SUM(U303:U309)</f>
        <v>146243.88999999998</v>
      </c>
      <c r="AA47" s="7" t="str">
        <f>IF(SUM(W302:W308)=0,"",SUM(W302:W308))</f>
        <v/>
      </c>
      <c r="AB47" s="17" t="str">
        <f t="shared" si="20"/>
        <v/>
      </c>
      <c r="AJ47" s="39"/>
      <c r="AL47" s="5">
        <v>46066</v>
      </c>
      <c r="AM47" s="23">
        <f>IF([1]CHAMNORD!J48=0,"",[1]CHAMNORD!J48)</f>
        <v>1093</v>
      </c>
      <c r="AN47" s="22">
        <f t="shared" si="6"/>
        <v>1093</v>
      </c>
      <c r="AO47" s="23">
        <f>IF([2]CHAMNORD!J49=0,"",[2]CHAMNORD!J49)</f>
        <v>1527</v>
      </c>
      <c r="AP47" s="17">
        <f t="shared" si="7"/>
        <v>3.0364372469635637E-2</v>
      </c>
      <c r="AQ47" s="12" t="s">
        <v>58</v>
      </c>
      <c r="AR47" s="7">
        <f>SUM(AM303:AM309)</f>
        <v>7653</v>
      </c>
      <c r="AS47" s="7" t="str">
        <f>IF(SUM(AO302:AO308)=0,"",SUM(AO302:AO308))</f>
        <v/>
      </c>
      <c r="AT47" s="17" t="str">
        <f t="shared" si="22"/>
        <v/>
      </c>
      <c r="BB47" s="39"/>
      <c r="BD47" s="5">
        <v>46066</v>
      </c>
      <c r="BE47" s="42">
        <f t="shared" si="9"/>
        <v>16.621097895699908</v>
      </c>
      <c r="BF47" s="72">
        <f t="shared" si="10"/>
        <v>16.621097895699908</v>
      </c>
      <c r="BG47" s="42">
        <f t="shared" si="11"/>
        <v>21.329397511460382</v>
      </c>
      <c r="BH47" s="17">
        <f t="shared" si="12"/>
        <v>8.6562109946864529E-2</v>
      </c>
      <c r="BI47" s="12" t="s">
        <v>58</v>
      </c>
      <c r="BJ47" s="45">
        <f t="shared" si="33"/>
        <v>19.377994250620674</v>
      </c>
      <c r="BK47" s="45" t="str">
        <f t="shared" si="34"/>
        <v/>
      </c>
      <c r="BL47" s="17" t="str">
        <f t="shared" si="24"/>
        <v/>
      </c>
      <c r="BT47" s="39"/>
      <c r="BV47" s="47" t="s">
        <v>58</v>
      </c>
      <c r="BW47" s="45"/>
      <c r="BX47" s="45"/>
      <c r="BY47" s="50">
        <f t="shared" si="26"/>
        <v>0</v>
      </c>
      <c r="BZ47" s="10"/>
      <c r="CG47" s="39"/>
      <c r="CI47" s="47" t="s">
        <v>58</v>
      </c>
      <c r="CJ47" s="45"/>
      <c r="CK47" s="45"/>
      <c r="CL47" s="50">
        <f t="shared" si="28"/>
        <v>0</v>
      </c>
      <c r="CM47" s="10"/>
      <c r="CT47" s="39"/>
    </row>
    <row r="48" spans="2:107">
      <c r="B48" s="5">
        <v>46067</v>
      </c>
      <c r="C48" s="23">
        <f>IF([1]CHAMNORD!H49=0,"",[1]CHAMNORD!H49)</f>
        <v>29091.91</v>
      </c>
      <c r="D48" s="22">
        <f t="shared" si="0"/>
        <v>29091.91</v>
      </c>
      <c r="E48" s="23">
        <f>IF([2]CHAMNORD!H50=0,"",[2]CHAMNORD!H50)</f>
        <v>32818.730000000003</v>
      </c>
      <c r="F48" s="17">
        <f t="shared" si="1"/>
        <v>5.6833909644610658E-2</v>
      </c>
      <c r="G48" s="12" t="s">
        <v>59</v>
      </c>
      <c r="H48" s="7">
        <f>SUM(C310:C316)</f>
        <v>136247.03</v>
      </c>
      <c r="I48" s="7" t="str">
        <f>IF(SUM(E309:E315)=0,"",SUM(E309:E315))</f>
        <v/>
      </c>
      <c r="J48" s="17" t="str">
        <f t="shared" si="18"/>
        <v/>
      </c>
      <c r="R48" s="39"/>
      <c r="T48" s="5">
        <v>46067</v>
      </c>
      <c r="U48" s="23">
        <f>IF([1]CHAMNORD!I49=0,"",[1]CHAMNORD!I49)</f>
        <v>28760.240000000002</v>
      </c>
      <c r="V48" s="22">
        <f t="shared" si="3"/>
        <v>28760.240000000002</v>
      </c>
      <c r="W48" s="23">
        <f>IF([2]CHAMNORD!I50=0,"",[2]CHAMNORD!I50)</f>
        <v>32291.200000000001</v>
      </c>
      <c r="X48" s="17">
        <f t="shared" si="4"/>
        <v>5.4708909199110867E-2</v>
      </c>
      <c r="Y48" s="12" t="s">
        <v>59</v>
      </c>
      <c r="Z48" s="7">
        <f>SUM(U310:U316)</f>
        <v>134560.91999999998</v>
      </c>
      <c r="AA48" s="7" t="str">
        <f>IF(SUM(W309:W315)=0,"",SUM(W309:W315))</f>
        <v/>
      </c>
      <c r="AB48" s="17" t="str">
        <f t="shared" si="20"/>
        <v/>
      </c>
      <c r="AJ48" s="39"/>
      <c r="AL48" s="5">
        <v>46067</v>
      </c>
      <c r="AM48" s="23">
        <f>IF([1]CHAMNORD!J49=0,"",[1]CHAMNORD!J49)</f>
        <v>1482</v>
      </c>
      <c r="AN48" s="22">
        <f t="shared" si="6"/>
        <v>1482</v>
      </c>
      <c r="AO48" s="23">
        <f>IF([2]CHAMNORD!J50=0,"",[2]CHAMNORD!J50)</f>
        <v>1529</v>
      </c>
      <c r="AP48" s="17">
        <f t="shared" si="7"/>
        <v>-7.1428571428571175E-3</v>
      </c>
      <c r="AQ48" s="12" t="s">
        <v>59</v>
      </c>
      <c r="AR48" s="7">
        <f>SUM(AM310:AM316)</f>
        <v>7486</v>
      </c>
      <c r="AS48" s="7" t="str">
        <f>IF(SUM(AO309:AO315)=0,"",SUM(AO309:AO315))</f>
        <v/>
      </c>
      <c r="AT48" s="17" t="str">
        <f t="shared" si="22"/>
        <v/>
      </c>
      <c r="BB48" s="39"/>
      <c r="BD48" s="5">
        <v>46067</v>
      </c>
      <c r="BE48" s="42">
        <f t="shared" si="9"/>
        <v>19.630168690958165</v>
      </c>
      <c r="BF48" s="72">
        <f t="shared" si="10"/>
        <v>19.630168690958165</v>
      </c>
      <c r="BG48" s="42">
        <f t="shared" si="11"/>
        <v>21.464179202092872</v>
      </c>
      <c r="BH48" s="17">
        <f t="shared" si="12"/>
        <v>6.4437031296730174E-2</v>
      </c>
      <c r="BI48" s="12" t="s">
        <v>59</v>
      </c>
      <c r="BJ48" s="45">
        <f t="shared" si="33"/>
        <v>18.200244456318462</v>
      </c>
      <c r="BK48" s="45" t="str">
        <f t="shared" si="34"/>
        <v/>
      </c>
      <c r="BL48" s="17" t="str">
        <f t="shared" si="24"/>
        <v/>
      </c>
      <c r="BT48" s="39"/>
      <c r="BV48" s="47" t="s">
        <v>59</v>
      </c>
      <c r="BW48" s="45"/>
      <c r="BX48" s="45"/>
      <c r="BY48" s="50">
        <f t="shared" si="26"/>
        <v>0</v>
      </c>
      <c r="BZ48" s="10"/>
      <c r="CG48" s="39"/>
      <c r="CI48" s="47" t="s">
        <v>59</v>
      </c>
      <c r="CJ48" s="45"/>
      <c r="CK48" s="45"/>
      <c r="CL48" s="50">
        <f t="shared" si="28"/>
        <v>0</v>
      </c>
      <c r="CM48" s="10"/>
      <c r="CT48" s="39"/>
    </row>
    <row r="49" spans="2:98">
      <c r="B49" s="5">
        <v>46068</v>
      </c>
      <c r="C49" s="23">
        <f>IF([1]CHAMNORD!H50=0,"",[1]CHAMNORD!H50)</f>
        <v>31053.82</v>
      </c>
      <c r="D49" s="22">
        <f t="shared" si="0"/>
        <v>31053.82</v>
      </c>
      <c r="E49" s="24">
        <f>IF([2]CHAMNORD!H51=0,"",[2]CHAMNORD!H51)</f>
        <v>24987.56</v>
      </c>
      <c r="F49" s="17">
        <f t="shared" si="1"/>
        <v>1.4394523114946045E-2</v>
      </c>
      <c r="G49" s="12" t="s">
        <v>60</v>
      </c>
      <c r="H49" s="7">
        <f>SUM(C317:C323)</f>
        <v>137046.18</v>
      </c>
      <c r="I49" s="7" t="str">
        <f>IF(SUM(E316:E322)=0,"",SUM(E316:E322))</f>
        <v/>
      </c>
      <c r="J49" s="17" t="str">
        <f t="shared" si="18"/>
        <v/>
      </c>
      <c r="R49" s="39"/>
      <c r="T49" s="5">
        <v>46068</v>
      </c>
      <c r="U49" s="23">
        <f>IF([1]CHAMNORD!I50=0,"",[1]CHAMNORD!I50)</f>
        <v>30616.22</v>
      </c>
      <c r="V49" s="22">
        <f t="shared" si="3"/>
        <v>30616.22</v>
      </c>
      <c r="W49" s="24">
        <f>IF([2]CHAMNORD!I51=0,"",[2]CHAMNORD!I51)</f>
        <v>24558.95</v>
      </c>
      <c r="X49" s="17">
        <f t="shared" si="4"/>
        <v>1.3008392324895812E-2</v>
      </c>
      <c r="Y49" s="12" t="s">
        <v>60</v>
      </c>
      <c r="Z49" s="7">
        <f>SUM(U317:U323)</f>
        <v>135455.1</v>
      </c>
      <c r="AA49" s="7" t="str">
        <f>IF(SUM(W316:W322)=0,"",SUM(W316:W322))</f>
        <v/>
      </c>
      <c r="AB49" s="17" t="str">
        <f t="shared" si="20"/>
        <v/>
      </c>
      <c r="AJ49" s="39"/>
      <c r="AL49" s="5">
        <v>46068</v>
      </c>
      <c r="AM49" s="23">
        <f>IF([1]CHAMNORD!J50=0,"",[1]CHAMNORD!J50)</f>
        <v>1540</v>
      </c>
      <c r="AN49" s="22">
        <f t="shared" si="6"/>
        <v>1540</v>
      </c>
      <c r="AO49" s="24">
        <f>IF([2]CHAMNORD!J51=0,"",[2]CHAMNORD!J51)</f>
        <v>1131</v>
      </c>
      <c r="AP49" s="17">
        <f t="shared" si="7"/>
        <v>-9.4475580464371545E-2</v>
      </c>
      <c r="AQ49" s="12" t="s">
        <v>60</v>
      </c>
      <c r="AR49" s="7">
        <f>SUM(AM317:AM323)</f>
        <v>7463</v>
      </c>
      <c r="AS49" s="7" t="str">
        <f>IF(SUM(AO316:AO322)=0,"",SUM(AO316:AO322))</f>
        <v/>
      </c>
      <c r="AT49" s="17" t="str">
        <f t="shared" si="22"/>
        <v/>
      </c>
      <c r="BB49" s="39"/>
      <c r="BD49" s="5">
        <v>46068</v>
      </c>
      <c r="BE49" s="42">
        <f t="shared" si="9"/>
        <v>20.16481818181818</v>
      </c>
      <c r="BF49" s="72">
        <f t="shared" si="10"/>
        <v>20.16481818181818</v>
      </c>
      <c r="BG49" s="43">
        <f t="shared" si="11"/>
        <v>22.093333333333334</v>
      </c>
      <c r="BH49" s="17">
        <f t="shared" si="12"/>
        <v>0.1202287881260542</v>
      </c>
      <c r="BI49" s="12" t="s">
        <v>60</v>
      </c>
      <c r="BJ49" s="45">
        <f t="shared" si="33"/>
        <v>18.363416856492027</v>
      </c>
      <c r="BK49" s="45" t="str">
        <f t="shared" si="34"/>
        <v/>
      </c>
      <c r="BL49" s="17" t="str">
        <f t="shared" si="24"/>
        <v/>
      </c>
      <c r="BT49" s="39"/>
      <c r="BV49" s="47" t="s">
        <v>60</v>
      </c>
      <c r="BW49" s="45"/>
      <c r="BX49" s="45"/>
      <c r="BY49" s="50">
        <f t="shared" si="26"/>
        <v>0</v>
      </c>
      <c r="BZ49" s="10"/>
      <c r="CG49" s="39"/>
      <c r="CI49" s="47" t="s">
        <v>60</v>
      </c>
      <c r="CJ49" s="45"/>
      <c r="CK49" s="45"/>
      <c r="CL49" s="50">
        <f t="shared" si="28"/>
        <v>0</v>
      </c>
      <c r="CM49" s="10"/>
      <c r="CT49" s="39"/>
    </row>
    <row r="50" spans="2:98">
      <c r="B50" s="5">
        <v>46069</v>
      </c>
      <c r="C50" s="24">
        <f>IF([1]CHAMNORD!H51=0,"",[1]CHAMNORD!H51)</f>
        <v>24632.98</v>
      </c>
      <c r="D50" s="22">
        <f t="shared" si="0"/>
        <v>24632.98</v>
      </c>
      <c r="E50" s="21">
        <f>IF([2]CHAMNORD!H52=0,"",[2]CHAMNORD!H52)</f>
        <v>15906.59</v>
      </c>
      <c r="F50" s="17">
        <f t="shared" si="1"/>
        <v>2.2256026241173066E-2</v>
      </c>
      <c r="G50" s="12" t="s">
        <v>61</v>
      </c>
      <c r="H50" s="7">
        <f>SUM(C324:C330)</f>
        <v>126695.55</v>
      </c>
      <c r="I50" s="7" t="str">
        <f>IF(SUM(E323:E329)=0,"",SUM(E323:E329))</f>
        <v/>
      </c>
      <c r="J50" s="17" t="str">
        <f t="shared" si="18"/>
        <v/>
      </c>
      <c r="R50" s="39"/>
      <c r="T50" s="5">
        <v>46069</v>
      </c>
      <c r="U50" s="24">
        <f>IF([1]CHAMNORD!I51=0,"",[1]CHAMNORD!I51)</f>
        <v>24243.58</v>
      </c>
      <c r="V50" s="22">
        <f t="shared" si="3"/>
        <v>24243.58</v>
      </c>
      <c r="W50" s="21">
        <f>IF([2]CHAMNORD!I52=0,"",[2]CHAMNORD!I52)</f>
        <v>15695.02</v>
      </c>
      <c r="X50" s="17">
        <f t="shared" si="4"/>
        <v>1.6790134654068201E-2</v>
      </c>
      <c r="Y50" s="12" t="s">
        <v>61</v>
      </c>
      <c r="Z50" s="7">
        <f>SUM(U324:U330)</f>
        <v>125048.66</v>
      </c>
      <c r="AA50" s="7" t="str">
        <f>IF(SUM(W323:W329)=0,"",SUM(W323:W329))</f>
        <v/>
      </c>
      <c r="AB50" s="17" t="str">
        <f t="shared" si="20"/>
        <v/>
      </c>
      <c r="AJ50" s="39"/>
      <c r="AL50" s="5">
        <v>46069</v>
      </c>
      <c r="AM50" s="24">
        <f>IF([1]CHAMNORD!J51=0,"",[1]CHAMNORD!J51)</f>
        <v>1249</v>
      </c>
      <c r="AN50" s="22">
        <f t="shared" si="6"/>
        <v>1249</v>
      </c>
      <c r="AO50" s="21">
        <f>IF([2]CHAMNORD!J52=0,"",[2]CHAMNORD!J52)</f>
        <v>911</v>
      </c>
      <c r="AP50" s="17">
        <f t="shared" si="7"/>
        <v>-2.8784648187633266E-2</v>
      </c>
      <c r="AQ50" s="12" t="s">
        <v>61</v>
      </c>
      <c r="AR50" s="7">
        <f>SUM(AM324:AM330)</f>
        <v>7161</v>
      </c>
      <c r="AS50" s="7" t="str">
        <f>IF(SUM(AO323:AO329)=0,"",SUM(AO323:AO329))</f>
        <v/>
      </c>
      <c r="AT50" s="17" t="str">
        <f t="shared" si="22"/>
        <v/>
      </c>
      <c r="BB50" s="39"/>
      <c r="BD50" s="5">
        <v>46069</v>
      </c>
      <c r="BE50" s="43">
        <f t="shared" si="9"/>
        <v>19.722161729383508</v>
      </c>
      <c r="BF50" s="72">
        <f t="shared" si="10"/>
        <v>19.722161729383508</v>
      </c>
      <c r="BG50" s="41">
        <f t="shared" si="11"/>
        <v>17.460581778265642</v>
      </c>
      <c r="BH50" s="17">
        <f t="shared" si="12"/>
        <v>5.255340572362277E-2</v>
      </c>
      <c r="BI50" s="12" t="s">
        <v>61</v>
      </c>
      <c r="BJ50" s="45">
        <f t="shared" si="33"/>
        <v>17.692438206954336</v>
      </c>
      <c r="BK50" s="45" t="str">
        <f t="shared" si="34"/>
        <v/>
      </c>
      <c r="BL50" s="17" t="str">
        <f t="shared" si="24"/>
        <v/>
      </c>
      <c r="BT50" s="39"/>
      <c r="BV50" s="47" t="s">
        <v>61</v>
      </c>
      <c r="BW50" s="45"/>
      <c r="BX50" s="45"/>
      <c r="BY50" s="50">
        <f t="shared" si="26"/>
        <v>0</v>
      </c>
      <c r="BZ50" s="10"/>
      <c r="CG50" s="39"/>
      <c r="CI50" s="47" t="s">
        <v>61</v>
      </c>
      <c r="CJ50" s="45"/>
      <c r="CK50" s="45"/>
      <c r="CL50" s="50">
        <f t="shared" si="28"/>
        <v>0</v>
      </c>
      <c r="CM50" s="10"/>
      <c r="CT50" s="39"/>
    </row>
    <row r="51" spans="2:98">
      <c r="B51" s="5">
        <v>46070</v>
      </c>
      <c r="C51" s="21">
        <f>IF([1]CHAMNORD!H52=0,"",[1]CHAMNORD!H52)</f>
        <v>15560.28</v>
      </c>
      <c r="D51" s="22">
        <f t="shared" si="0"/>
        <v>15560.28</v>
      </c>
      <c r="E51" s="23">
        <f>IF([2]CHAMNORD!H53=0,"",[2]CHAMNORD!H53)</f>
        <v>16666.45</v>
      </c>
      <c r="F51" s="17">
        <f t="shared" si="1"/>
        <v>0.11243529714089284</v>
      </c>
      <c r="G51" s="12" t="s">
        <v>62</v>
      </c>
      <c r="H51" s="7">
        <f>SUM(C331:C337)</f>
        <v>137073.14000000001</v>
      </c>
      <c r="I51" s="7" t="str">
        <f>IF(SUM(E330:E336)=0,"",SUM(E330:E336))</f>
        <v/>
      </c>
      <c r="J51" s="17" t="str">
        <f t="shared" si="18"/>
        <v/>
      </c>
      <c r="R51" s="39"/>
      <c r="T51" s="5">
        <v>46070</v>
      </c>
      <c r="U51" s="21">
        <f>IF([1]CHAMNORD!I52=0,"",[1]CHAMNORD!I52)</f>
        <v>15435.85</v>
      </c>
      <c r="V51" s="22">
        <f t="shared" si="3"/>
        <v>15435.85</v>
      </c>
      <c r="W51" s="23">
        <f>IF([2]CHAMNORD!I53=0,"",[2]CHAMNORD!I53)</f>
        <v>16403.740000000002</v>
      </c>
      <c r="X51" s="17">
        <f t="shared" si="4"/>
        <v>0.1028458364623932</v>
      </c>
      <c r="Y51" s="12" t="s">
        <v>62</v>
      </c>
      <c r="Z51" s="7">
        <f>SUM(U331:U337)</f>
        <v>134818.85</v>
      </c>
      <c r="AA51" s="7" t="str">
        <f>IF(SUM(W330:W336)=0,"",SUM(W330:W336))</f>
        <v/>
      </c>
      <c r="AB51" s="17" t="str">
        <f t="shared" si="20"/>
        <v/>
      </c>
      <c r="AJ51" s="39"/>
      <c r="AL51" s="5">
        <v>46070</v>
      </c>
      <c r="AM51" s="21">
        <f>IF([1]CHAMNORD!J52=0,"",[1]CHAMNORD!J52)</f>
        <v>938</v>
      </c>
      <c r="AN51" s="22">
        <f t="shared" si="6"/>
        <v>938</v>
      </c>
      <c r="AO51" s="23">
        <f>IF([2]CHAMNORD!J53=0,"",[2]CHAMNORD!J53)</f>
        <v>952</v>
      </c>
      <c r="AP51" s="17">
        <f t="shared" si="7"/>
        <v>2.1052631578948322E-3</v>
      </c>
      <c r="AQ51" s="12" t="s">
        <v>62</v>
      </c>
      <c r="AR51" s="7">
        <f>SUM(AM331:AM337)</f>
        <v>7480</v>
      </c>
      <c r="AS51" s="7" t="str">
        <f>IF(SUM(AO330:AO336)=0,"",SUM(AO330:AO336))</f>
        <v/>
      </c>
      <c r="AT51" s="17" t="str">
        <f t="shared" si="22"/>
        <v/>
      </c>
      <c r="BB51" s="39"/>
      <c r="BD51" s="5">
        <v>46070</v>
      </c>
      <c r="BE51" s="41">
        <f t="shared" si="9"/>
        <v>16.588784648187634</v>
      </c>
      <c r="BF51" s="72">
        <f t="shared" si="10"/>
        <v>16.588784648187634</v>
      </c>
      <c r="BG51" s="42">
        <f t="shared" si="11"/>
        <v>17.506775210084033</v>
      </c>
      <c r="BH51" s="17">
        <f t="shared" si="12"/>
        <v>0.11009824819731939</v>
      </c>
      <c r="BI51" s="12" t="s">
        <v>62</v>
      </c>
      <c r="BJ51" s="45">
        <f t="shared" si="33"/>
        <v>18.325286096256686</v>
      </c>
      <c r="BK51" s="45" t="str">
        <f t="shared" si="34"/>
        <v/>
      </c>
      <c r="BL51" s="17" t="str">
        <f t="shared" si="24"/>
        <v/>
      </c>
      <c r="BT51" s="39"/>
      <c r="BV51" s="47" t="s">
        <v>62</v>
      </c>
      <c r="BW51" s="45"/>
      <c r="BX51" s="45"/>
      <c r="BY51" s="50">
        <f t="shared" si="26"/>
        <v>0</v>
      </c>
      <c r="BZ51" s="10"/>
      <c r="CG51" s="39"/>
      <c r="CI51" s="47" t="s">
        <v>62</v>
      </c>
      <c r="CJ51" s="45"/>
      <c r="CK51" s="45"/>
      <c r="CL51" s="50">
        <f t="shared" si="28"/>
        <v>0</v>
      </c>
      <c r="CM51" s="10"/>
      <c r="CT51" s="39"/>
    </row>
    <row r="52" spans="2:98">
      <c r="B52" s="5">
        <v>46071</v>
      </c>
      <c r="C52" s="23">
        <f>IF([1]CHAMNORD!H53=0,"",[1]CHAMNORD!H53)</f>
        <v>14981.95</v>
      </c>
      <c r="D52" s="22">
        <f t="shared" si="0"/>
        <v>14981.95</v>
      </c>
      <c r="E52" s="23">
        <f>IF([2]CHAMNORD!H54=0,"",[2]CHAMNORD!H54)</f>
        <v>16500.63</v>
      </c>
      <c r="F52" s="17">
        <f t="shared" si="1"/>
        <v>-0.12451518563283448</v>
      </c>
      <c r="G52" s="12" t="s">
        <v>63</v>
      </c>
      <c r="H52" s="7">
        <f>SUM(C338:C344)</f>
        <v>137862.66</v>
      </c>
      <c r="I52" s="7" t="str">
        <f>IF(SUM(E337:E343)=0,"",SUM(E337:E343))</f>
        <v/>
      </c>
      <c r="J52" s="17" t="str">
        <f t="shared" si="18"/>
        <v/>
      </c>
      <c r="R52" s="39"/>
      <c r="T52" s="5">
        <v>46071</v>
      </c>
      <c r="U52" s="23">
        <f>IF([1]CHAMNORD!I53=0,"",[1]CHAMNORD!I53)</f>
        <v>14874.01</v>
      </c>
      <c r="V52" s="22">
        <f t="shared" si="3"/>
        <v>14874.01</v>
      </c>
      <c r="W52" s="23">
        <f>IF([2]CHAMNORD!I54=0,"",[2]CHAMNORD!I54)</f>
        <v>16243.76</v>
      </c>
      <c r="X52" s="17">
        <f t="shared" si="4"/>
        <v>-0.12878734245105927</v>
      </c>
      <c r="Y52" s="12" t="s">
        <v>63</v>
      </c>
      <c r="Z52" s="7">
        <f>SUM(U338:U344)</f>
        <v>134808.24</v>
      </c>
      <c r="AA52" s="7" t="str">
        <f>IF(SUM(W337:W343)=0,"",SUM(W337:W343))</f>
        <v/>
      </c>
      <c r="AB52" s="17" t="str">
        <f t="shared" si="20"/>
        <v/>
      </c>
      <c r="AJ52" s="39"/>
      <c r="AL52" s="5">
        <v>46071</v>
      </c>
      <c r="AM52" s="23">
        <f>IF([1]CHAMNORD!J53=0,"",[1]CHAMNORD!J53)</f>
        <v>950</v>
      </c>
      <c r="AN52" s="22">
        <f t="shared" si="6"/>
        <v>950</v>
      </c>
      <c r="AO52" s="23">
        <f>IF([2]CHAMNORD!J54=0,"",[2]CHAMNORD!J54)</f>
        <v>936</v>
      </c>
      <c r="AP52" s="17">
        <f t="shared" si="7"/>
        <v>-0.18466898954703836</v>
      </c>
      <c r="AQ52" s="12" t="s">
        <v>63</v>
      </c>
      <c r="AR52" s="7">
        <f>SUM(AM338:AM344)</f>
        <v>7547</v>
      </c>
      <c r="AS52" s="7" t="str">
        <f>IF(SUM(AO337:AO343)=0,"",SUM(AO337:AO343))</f>
        <v/>
      </c>
      <c r="AT52" s="17" t="str">
        <f t="shared" si="22"/>
        <v/>
      </c>
      <c r="BB52" s="39"/>
      <c r="BD52" s="5">
        <v>46071</v>
      </c>
      <c r="BE52" s="42">
        <f t="shared" si="9"/>
        <v>15.770473684210527</v>
      </c>
      <c r="BF52" s="72">
        <f t="shared" si="10"/>
        <v>15.770473684210527</v>
      </c>
      <c r="BG52" s="42">
        <f t="shared" si="11"/>
        <v>17.628878205128206</v>
      </c>
      <c r="BH52" s="17">
        <f t="shared" si="12"/>
        <v>7.3778383433232841E-2</v>
      </c>
      <c r="BI52" s="12" t="s">
        <v>63</v>
      </c>
      <c r="BJ52" s="45">
        <f t="shared" si="33"/>
        <v>18.267213462302902</v>
      </c>
      <c r="BK52" s="45" t="str">
        <f t="shared" si="34"/>
        <v/>
      </c>
      <c r="BL52" s="17" t="str">
        <f t="shared" si="24"/>
        <v/>
      </c>
      <c r="BT52" s="39"/>
      <c r="BV52" s="47" t="s">
        <v>63</v>
      </c>
      <c r="BW52" s="45"/>
      <c r="BX52" s="45"/>
      <c r="BY52" s="50">
        <f t="shared" si="26"/>
        <v>0</v>
      </c>
      <c r="BZ52" s="10"/>
      <c r="CG52" s="39"/>
      <c r="CI52" s="47" t="s">
        <v>63</v>
      </c>
      <c r="CJ52" s="45"/>
      <c r="CK52" s="45"/>
      <c r="CL52" s="50">
        <f t="shared" si="28"/>
        <v>0</v>
      </c>
      <c r="CM52" s="10"/>
      <c r="CT52" s="39"/>
    </row>
    <row r="53" spans="2:98">
      <c r="B53" s="5">
        <v>46072</v>
      </c>
      <c r="C53" s="23">
        <f>IF([1]CHAMNORD!H54=0,"",[1]CHAMNORD!H54)</f>
        <v>18847.419999999998</v>
      </c>
      <c r="D53" s="22">
        <f t="shared" si="0"/>
        <v>18847.419999999998</v>
      </c>
      <c r="E53" s="23">
        <f>IF([2]CHAMNORD!H55=0,"",[2]CHAMNORD!H55)</f>
        <v>17647.8</v>
      </c>
      <c r="F53" s="17">
        <f t="shared" si="1"/>
        <v>-2.3017044803435915E-2</v>
      </c>
      <c r="G53" s="12" t="s">
        <v>64</v>
      </c>
      <c r="H53" s="7">
        <f>SUM(C345:C351)</f>
        <v>145774.37</v>
      </c>
      <c r="I53" s="7" t="str">
        <f>IF(SUM(E344:E350)=0,"",SUM(E344:E350))</f>
        <v/>
      </c>
      <c r="J53" s="17" t="str">
        <f t="shared" si="18"/>
        <v/>
      </c>
      <c r="R53" s="39"/>
      <c r="T53" s="5">
        <v>46072</v>
      </c>
      <c r="U53" s="23">
        <f>IF([1]CHAMNORD!I54=0,"",[1]CHAMNORD!I54)</f>
        <v>18645</v>
      </c>
      <c r="V53" s="22">
        <f t="shared" si="3"/>
        <v>18645</v>
      </c>
      <c r="W53" s="23">
        <f>IF([2]CHAMNORD!I55=0,"",[2]CHAMNORD!I55)</f>
        <v>17383.37</v>
      </c>
      <c r="X53" s="17">
        <f t="shared" si="4"/>
        <v>-2.9819183978265107E-2</v>
      </c>
      <c r="Y53" s="12" t="s">
        <v>64</v>
      </c>
      <c r="Z53" s="7">
        <f>SUM(U345:U351)</f>
        <v>143178.89000000001</v>
      </c>
      <c r="AA53" s="7" t="str">
        <f>IF(SUM(W344:W350)=0,"",SUM(W344:W350))</f>
        <v/>
      </c>
      <c r="AB53" s="17" t="str">
        <f t="shared" si="20"/>
        <v/>
      </c>
      <c r="AJ53" s="39"/>
      <c r="AL53" s="5">
        <v>46072</v>
      </c>
      <c r="AM53" s="23">
        <f>IF([1]CHAMNORD!J54=0,"",[1]CHAMNORD!J54)</f>
        <v>1148</v>
      </c>
      <c r="AN53" s="22">
        <f t="shared" si="6"/>
        <v>1148</v>
      </c>
      <c r="AO53" s="23">
        <f>IF([2]CHAMNORD!J55=0,"",[2]CHAMNORD!J55)</f>
        <v>928</v>
      </c>
      <c r="AP53" s="17">
        <f t="shared" si="7"/>
        <v>-0.18453427065026362</v>
      </c>
      <c r="AQ53" s="12" t="s">
        <v>64</v>
      </c>
      <c r="AR53" s="7">
        <f>SUM(AM345:AM351)</f>
        <v>7775</v>
      </c>
      <c r="AS53" s="7" t="str">
        <f>IF(SUM(AO344:AO350)=0,"",SUM(AO344:AO350))</f>
        <v/>
      </c>
      <c r="AT53" s="17" t="str">
        <f t="shared" si="22"/>
        <v/>
      </c>
      <c r="BB53" s="39"/>
      <c r="BD53" s="5">
        <v>46072</v>
      </c>
      <c r="BE53" s="42">
        <f t="shared" si="9"/>
        <v>16.417613240418117</v>
      </c>
      <c r="BF53" s="72">
        <f t="shared" si="10"/>
        <v>16.417613240418117</v>
      </c>
      <c r="BG53" s="42">
        <f t="shared" si="11"/>
        <v>19.017025862068966</v>
      </c>
      <c r="BH53" s="17">
        <f t="shared" si="12"/>
        <v>0.19806746014406262</v>
      </c>
      <c r="BI53" s="12" t="s">
        <v>64</v>
      </c>
      <c r="BJ53" s="45">
        <f t="shared" si="33"/>
        <v>18.749115112540192</v>
      </c>
      <c r="BK53" s="45" t="str">
        <f t="shared" si="34"/>
        <v/>
      </c>
      <c r="BL53" s="17" t="str">
        <f t="shared" si="24"/>
        <v/>
      </c>
      <c r="BT53" s="39"/>
      <c r="BV53" s="47" t="s">
        <v>64</v>
      </c>
      <c r="BW53" s="45"/>
      <c r="BX53" s="45"/>
      <c r="BY53" s="50">
        <f t="shared" si="26"/>
        <v>0</v>
      </c>
      <c r="BZ53" s="10"/>
      <c r="CG53" s="39"/>
      <c r="CI53" s="47" t="s">
        <v>64</v>
      </c>
      <c r="CJ53" s="45"/>
      <c r="CK53" s="45"/>
      <c r="CL53" s="50">
        <f t="shared" si="28"/>
        <v>0</v>
      </c>
      <c r="CM53" s="10"/>
      <c r="CT53" s="39"/>
    </row>
    <row r="54" spans="2:98">
      <c r="B54" s="5">
        <v>46073</v>
      </c>
      <c r="C54" s="23">
        <f>IF([1]CHAMNORD!H55=0,"",[1]CHAMNORD!H55)</f>
        <v>18063.57</v>
      </c>
      <c r="D54" s="22">
        <f t="shared" si="0"/>
        <v>18063.57</v>
      </c>
      <c r="E54" s="23">
        <f>IF([2]CHAMNORD!H56=0,"",[2]CHAMNORD!H56)</f>
        <v>30197.57</v>
      </c>
      <c r="F54" s="17">
        <f t="shared" si="1"/>
        <v>8.9600860692160555E-3</v>
      </c>
      <c r="G54" s="12" t="s">
        <v>65</v>
      </c>
      <c r="H54" s="7">
        <f>SUM(C352:C358)</f>
        <v>146270.87</v>
      </c>
      <c r="I54" s="7" t="str">
        <f>IF(SUM(E351:E357)=0,"",SUM(E351:E357))</f>
        <v/>
      </c>
      <c r="J54" s="17" t="str">
        <f t="shared" si="18"/>
        <v/>
      </c>
      <c r="R54" s="39"/>
      <c r="T54" s="5">
        <v>46073</v>
      </c>
      <c r="U54" s="23">
        <f>IF([1]CHAMNORD!I55=0,"",[1]CHAMNORD!I55)</f>
        <v>17917.66</v>
      </c>
      <c r="V54" s="22">
        <f t="shared" si="3"/>
        <v>17917.66</v>
      </c>
      <c r="W54" s="23">
        <f>IF([2]CHAMNORD!I56=0,"",[2]CHAMNORD!I56)</f>
        <v>29791.78</v>
      </c>
      <c r="X54" s="17">
        <f t="shared" si="4"/>
        <v>5.6860570077512662E-3</v>
      </c>
      <c r="Y54" s="12" t="s">
        <v>65</v>
      </c>
      <c r="Z54" s="7">
        <f>SUM(U352:U358)</f>
        <v>143622.58000000002</v>
      </c>
      <c r="AA54" s="7" t="str">
        <f>IF(SUM(W351:W357)=0,"",SUM(W351:W357))</f>
        <v/>
      </c>
      <c r="AB54" s="17" t="str">
        <f t="shared" si="20"/>
        <v/>
      </c>
      <c r="AJ54" s="39"/>
      <c r="AL54" s="5">
        <v>46073</v>
      </c>
      <c r="AM54" s="23">
        <f>IF([1]CHAMNORD!J55=0,"",[1]CHAMNORD!J55)</f>
        <v>1138</v>
      </c>
      <c r="AN54" s="22">
        <f t="shared" si="6"/>
        <v>1138</v>
      </c>
      <c r="AO54" s="23">
        <f>IF([2]CHAMNORD!J56=0,"",[2]CHAMNORD!J56)</f>
        <v>1343</v>
      </c>
      <c r="AP54" s="17">
        <f t="shared" si="7"/>
        <v>-9.8052384150436489E-2</v>
      </c>
      <c r="AQ54" s="12" t="s">
        <v>65</v>
      </c>
      <c r="AR54" s="7">
        <f>SUM(AM352:AM358)</f>
        <v>7935</v>
      </c>
      <c r="AS54" s="7" t="str">
        <f>IF(SUM(AO351:AO357)=0,"",SUM(AO351:AO357))</f>
        <v/>
      </c>
      <c r="AT54" s="17" t="str">
        <f t="shared" si="22"/>
        <v/>
      </c>
      <c r="BB54" s="39"/>
      <c r="BD54" s="5">
        <v>46073</v>
      </c>
      <c r="BE54" s="42">
        <f t="shared" si="9"/>
        <v>15.873084358523725</v>
      </c>
      <c r="BF54" s="72">
        <f t="shared" si="10"/>
        <v>15.873084358523725</v>
      </c>
      <c r="BG54" s="42">
        <f t="shared" si="11"/>
        <v>22.485160089352195</v>
      </c>
      <c r="BH54" s="17">
        <f t="shared" si="12"/>
        <v>0.11864599267093268</v>
      </c>
      <c r="BI54" s="12" t="s">
        <v>65</v>
      </c>
      <c r="BJ54" s="45">
        <f t="shared" si="33"/>
        <v>18.433632010081915</v>
      </c>
      <c r="BK54" s="45" t="str">
        <f t="shared" si="34"/>
        <v/>
      </c>
      <c r="BL54" s="17" t="str">
        <f t="shared" si="24"/>
        <v/>
      </c>
      <c r="BT54" s="39"/>
      <c r="BV54" s="47" t="s">
        <v>65</v>
      </c>
      <c r="BW54" s="45"/>
      <c r="BX54" s="45"/>
      <c r="BY54" s="50">
        <f t="shared" si="26"/>
        <v>0</v>
      </c>
      <c r="BZ54" s="10"/>
      <c r="CG54" s="39"/>
      <c r="CI54" s="47" t="s">
        <v>65</v>
      </c>
      <c r="CJ54" s="45"/>
      <c r="CK54" s="45"/>
      <c r="CL54" s="50">
        <f t="shared" si="28"/>
        <v>0</v>
      </c>
      <c r="CM54" s="10"/>
      <c r="CT54" s="39"/>
    </row>
    <row r="55" spans="2:98">
      <c r="B55" s="5">
        <v>46074</v>
      </c>
      <c r="C55" s="23">
        <f>IF([1]CHAMNORD!H56=0,"",[1]CHAMNORD!H56)</f>
        <v>29929.4</v>
      </c>
      <c r="D55" s="22">
        <f t="shared" si="0"/>
        <v>29929.4</v>
      </c>
      <c r="E55" s="23">
        <f>IF([2]CHAMNORD!H57=0,"",[2]CHAMNORD!H57)</f>
        <v>31756.84</v>
      </c>
      <c r="F55" s="17">
        <f t="shared" si="1"/>
        <v>4.9495441874606527E-2</v>
      </c>
      <c r="G55" s="12" t="s">
        <v>66</v>
      </c>
      <c r="H55" s="7">
        <f>SUM(C359:C365)</f>
        <v>137649.08000000002</v>
      </c>
      <c r="I55" s="7" t="str">
        <f>IF(SUM(E358:E364)=0,"",SUM(E358:E364))</f>
        <v/>
      </c>
      <c r="J55" s="17" t="str">
        <f t="shared" si="18"/>
        <v/>
      </c>
      <c r="R55" s="39"/>
      <c r="T55" s="5">
        <v>46074</v>
      </c>
      <c r="U55" s="23">
        <f>IF([1]CHAMNORD!I56=0,"",[1]CHAMNORD!I56)</f>
        <v>29623.34</v>
      </c>
      <c r="V55" s="22">
        <f t="shared" si="3"/>
        <v>29623.34</v>
      </c>
      <c r="W55" s="23">
        <f>IF([2]CHAMNORD!I57=0,"",[2]CHAMNORD!I57)</f>
        <v>31330.87</v>
      </c>
      <c r="X55" s="17">
        <f t="shared" si="4"/>
        <v>4.8210313393801885E-2</v>
      </c>
      <c r="Y55" s="12" t="s">
        <v>66</v>
      </c>
      <c r="Z55" s="7">
        <f>SUM(U359:U365)</f>
        <v>135653.51</v>
      </c>
      <c r="AA55" s="7" t="str">
        <f>IF(SUM(W358:W364)=0,"",SUM(W358:W364))</f>
        <v/>
      </c>
      <c r="AB55" s="17" t="str">
        <f t="shared" si="20"/>
        <v/>
      </c>
      <c r="AJ55" s="39"/>
      <c r="AL55" s="5">
        <v>46074</v>
      </c>
      <c r="AM55" s="23">
        <f>IF([1]CHAMNORD!J56=0,"",[1]CHAMNORD!J56)</f>
        <v>1489</v>
      </c>
      <c r="AN55" s="22">
        <f t="shared" si="6"/>
        <v>1489</v>
      </c>
      <c r="AO55" s="23">
        <f>IF([2]CHAMNORD!J57=0,"",[2]CHAMNORD!J57)</f>
        <v>1413</v>
      </c>
      <c r="AP55" s="17">
        <f t="shared" si="7"/>
        <v>-6.6093853271645742E-2</v>
      </c>
      <c r="AQ55" s="12" t="s">
        <v>66</v>
      </c>
      <c r="AR55" s="7">
        <f>SUM(AM359:AM365)</f>
        <v>6641</v>
      </c>
      <c r="AS55" s="7" t="str">
        <f>IF(SUM(AO358:AO364)=0,"",SUM(AO358:AO364))</f>
        <v/>
      </c>
      <c r="AT55" s="17" t="str">
        <f t="shared" si="22"/>
        <v/>
      </c>
      <c r="BB55" s="39"/>
      <c r="BD55" s="5">
        <v>46074</v>
      </c>
      <c r="BE55" s="42">
        <f t="shared" si="9"/>
        <v>20.100335795836134</v>
      </c>
      <c r="BF55" s="72">
        <f t="shared" si="10"/>
        <v>20.100335795836134</v>
      </c>
      <c r="BG55" s="42">
        <f t="shared" si="11"/>
        <v>22.474762915782023</v>
      </c>
      <c r="BH55" s="17">
        <f t="shared" si="12"/>
        <v>0.12376971235405487</v>
      </c>
      <c r="BI55" s="12" t="s">
        <v>66</v>
      </c>
      <c r="BJ55" s="45">
        <f t="shared" si="33"/>
        <v>20.727161572052403</v>
      </c>
      <c r="BK55" s="45" t="str">
        <f t="shared" si="34"/>
        <v/>
      </c>
      <c r="BL55" s="17" t="str">
        <f t="shared" si="24"/>
        <v/>
      </c>
      <c r="BT55" s="39"/>
      <c r="BV55" s="47" t="s">
        <v>66</v>
      </c>
      <c r="BW55" s="45"/>
      <c r="BX55" s="45"/>
      <c r="BY55" s="50">
        <f t="shared" si="26"/>
        <v>0</v>
      </c>
      <c r="BZ55" s="10"/>
      <c r="CG55" s="39"/>
      <c r="CI55" s="47" t="s">
        <v>66</v>
      </c>
      <c r="CJ55" s="45"/>
      <c r="CK55" s="45"/>
      <c r="CL55" s="50">
        <f t="shared" si="28"/>
        <v>0</v>
      </c>
      <c r="CM55" s="10"/>
      <c r="CT55" s="39"/>
    </row>
    <row r="56" spans="2:98" ht="18" thickBot="1">
      <c r="B56" s="5">
        <v>46075</v>
      </c>
      <c r="C56" s="23">
        <f>IF([1]CHAMNORD!H57=0,"",[1]CHAMNORD!H57)</f>
        <v>30259.15</v>
      </c>
      <c r="D56" s="22">
        <f t="shared" si="0"/>
        <v>30259.15</v>
      </c>
      <c r="E56" s="24">
        <f>IF([2]CHAMNORD!H58=0,"",[2]CHAMNORD!H58)</f>
        <v>23932.58</v>
      </c>
      <c r="F56" s="17">
        <f t="shared" si="1"/>
        <v>-0.1337513175116114</v>
      </c>
      <c r="G56" s="12" t="s">
        <v>67</v>
      </c>
      <c r="H56" s="7">
        <f>SUM(C366:C372)</f>
        <v>54754.03</v>
      </c>
      <c r="I56" s="7" t="str">
        <f>IF(SUM(E365:E371)=0,"",SUM(E365:E371))</f>
        <v/>
      </c>
      <c r="J56" s="17" t="str">
        <f t="shared" si="18"/>
        <v/>
      </c>
      <c r="R56" s="39"/>
      <c r="T56" s="5">
        <v>46075</v>
      </c>
      <c r="U56" s="23">
        <f>IF([1]CHAMNORD!I57=0,"",[1]CHAMNORD!I57)</f>
        <v>29889.87</v>
      </c>
      <c r="V56" s="22">
        <f t="shared" si="3"/>
        <v>29889.87</v>
      </c>
      <c r="W56" s="24">
        <f>IF([2]CHAMNORD!I58=0,"",[2]CHAMNORD!I58)</f>
        <v>23559.37</v>
      </c>
      <c r="X56" s="17">
        <f t="shared" si="4"/>
        <v>-0.13831478246621198</v>
      </c>
      <c r="Y56" s="12" t="s">
        <v>67</v>
      </c>
      <c r="Z56" s="7">
        <f>SUM(U366:U372)</f>
        <v>54009.14</v>
      </c>
      <c r="AA56" s="7" t="str">
        <f>IF(SUM(W365:W371)=0,"",SUM(W365:W371))</f>
        <v/>
      </c>
      <c r="AB56" s="17" t="str">
        <f t="shared" si="20"/>
        <v/>
      </c>
      <c r="AJ56" s="39"/>
      <c r="AL56" s="5">
        <v>46075</v>
      </c>
      <c r="AM56" s="23">
        <f>IF([1]CHAMNORD!J57=0,"",[1]CHAMNORD!J57)</f>
        <v>1513</v>
      </c>
      <c r="AN56" s="22">
        <f t="shared" si="6"/>
        <v>1513</v>
      </c>
      <c r="AO56" s="24">
        <f>IF([2]CHAMNORD!J58=0,"",[2]CHAMNORD!J58)</f>
        <v>1075</v>
      </c>
      <c r="AP56" s="17">
        <f t="shared" si="7"/>
        <v>-0.22606191504679629</v>
      </c>
      <c r="AQ56" s="12" t="s">
        <v>67</v>
      </c>
      <c r="AR56" s="7">
        <f>SUM(AM366:AM372)</f>
        <v>2793</v>
      </c>
      <c r="AS56" s="7" t="str">
        <f>IF(SUM(AO365:AO371)=0,"",SUM(AO365:AO371))</f>
        <v/>
      </c>
      <c r="AT56" s="17" t="str">
        <f t="shared" si="22"/>
        <v/>
      </c>
      <c r="BB56" s="39"/>
      <c r="BD56" s="5">
        <v>46075</v>
      </c>
      <c r="BE56" s="42">
        <f t="shared" si="9"/>
        <v>19.999438202247191</v>
      </c>
      <c r="BF56" s="72">
        <f t="shared" si="10"/>
        <v>19.999438202247191</v>
      </c>
      <c r="BG56" s="43">
        <f t="shared" si="11"/>
        <v>22.262865116279073</v>
      </c>
      <c r="BH56" s="17">
        <f t="shared" si="12"/>
        <v>0.11927387904778763</v>
      </c>
      <c r="BI56" s="12" t="s">
        <v>67</v>
      </c>
      <c r="BJ56" s="45">
        <f t="shared" si="33"/>
        <v>19.604020766201216</v>
      </c>
      <c r="BK56" s="45" t="str">
        <f t="shared" si="34"/>
        <v/>
      </c>
      <c r="BL56" s="17" t="str">
        <f t="shared" si="24"/>
        <v/>
      </c>
      <c r="BT56" s="39"/>
      <c r="BV56" s="48" t="s">
        <v>67</v>
      </c>
      <c r="BW56" s="49"/>
      <c r="BX56" s="49"/>
      <c r="BY56" s="51">
        <f t="shared" si="26"/>
        <v>0</v>
      </c>
      <c r="BZ56" s="13"/>
      <c r="CA56" s="9"/>
      <c r="CB56" s="9"/>
      <c r="CC56" s="9"/>
      <c r="CD56" s="9"/>
      <c r="CE56" s="9"/>
      <c r="CF56" s="9"/>
      <c r="CG56" s="40"/>
      <c r="CI56" s="48" t="s">
        <v>67</v>
      </c>
      <c r="CJ56" s="49"/>
      <c r="CK56" s="49"/>
      <c r="CL56" s="51">
        <f t="shared" si="28"/>
        <v>0</v>
      </c>
      <c r="CM56" s="13"/>
      <c r="CN56" s="9"/>
      <c r="CO56" s="9"/>
      <c r="CP56" s="9"/>
      <c r="CQ56" s="9"/>
      <c r="CR56" s="9"/>
      <c r="CS56" s="9"/>
      <c r="CT56" s="40"/>
    </row>
    <row r="57" spans="2:98">
      <c r="B57" s="5">
        <v>46076</v>
      </c>
      <c r="C57" s="24">
        <f>IF([1]CHAMNORD!H58=0,"",[1]CHAMNORD!H58)</f>
        <v>27627.84</v>
      </c>
      <c r="D57" s="22">
        <f t="shared" si="0"/>
        <v>27627.84</v>
      </c>
      <c r="E57" s="21">
        <f>IF([2]CHAMNORD!H59=0,"",[2]CHAMNORD!H59)</f>
        <v>11966.29</v>
      </c>
      <c r="F57" s="17">
        <f t="shared" si="1"/>
        <v>-0.33095619619292771</v>
      </c>
      <c r="R57" s="39"/>
      <c r="T57" s="5">
        <v>46076</v>
      </c>
      <c r="U57" s="24">
        <f>IF([1]CHAMNORD!I58=0,"",[1]CHAMNORD!I58)</f>
        <v>27341.040000000001</v>
      </c>
      <c r="V57" s="22">
        <f t="shared" si="3"/>
        <v>27341.040000000001</v>
      </c>
      <c r="W57" s="21">
        <f>IF([2]CHAMNORD!I59=0,"",[2]CHAMNORD!I59)</f>
        <v>11816.36</v>
      </c>
      <c r="X57" s="17">
        <f t="shared" si="4"/>
        <v>-0.32997385412632452</v>
      </c>
      <c r="AJ57" s="39"/>
      <c r="AL57" s="5">
        <v>46076</v>
      </c>
      <c r="AM57" s="24">
        <f>IF([1]CHAMNORD!J58=0,"",[1]CHAMNORD!J58)</f>
        <v>1389</v>
      </c>
      <c r="AN57" s="22">
        <f t="shared" si="6"/>
        <v>1389</v>
      </c>
      <c r="AO57" s="21">
        <f>IF([2]CHAMNORD!J59=0,"",[2]CHAMNORD!J59)</f>
        <v>692</v>
      </c>
      <c r="AP57" s="17">
        <f t="shared" si="7"/>
        <v>-0.32487804878048776</v>
      </c>
      <c r="BB57" s="39"/>
      <c r="BD57" s="5">
        <v>46076</v>
      </c>
      <c r="BE57" s="43">
        <f t="shared" si="9"/>
        <v>19.890453563714903</v>
      </c>
      <c r="BF57" s="72">
        <f t="shared" si="10"/>
        <v>19.890453563714903</v>
      </c>
      <c r="BG57" s="41">
        <f t="shared" si="11"/>
        <v>17.292326589595376</v>
      </c>
      <c r="BH57" s="17">
        <f t="shared" si="12"/>
        <v>-9.0030362684261345E-3</v>
      </c>
      <c r="BT57" s="39"/>
    </row>
    <row r="58" spans="2:98">
      <c r="B58" s="5">
        <v>46077</v>
      </c>
      <c r="C58" s="21">
        <f>IF([1]CHAMNORD!H59=0,"",[1]CHAMNORD!H59)</f>
        <v>17885.66</v>
      </c>
      <c r="D58" s="22">
        <f t="shared" si="0"/>
        <v>17885.66</v>
      </c>
      <c r="E58" s="23">
        <f>IF([2]CHAMNORD!H60=0,"",[2]CHAMNORD!H60)</f>
        <v>13333.44</v>
      </c>
      <c r="F58" s="17">
        <f t="shared" si="1"/>
        <v>-0.27446182275860831</v>
      </c>
      <c r="R58" s="39"/>
      <c r="T58" s="5">
        <v>46077</v>
      </c>
      <c r="U58" s="21">
        <f>IF([1]CHAMNORD!I59=0,"",[1]CHAMNORD!I59)</f>
        <v>17635.669999999998</v>
      </c>
      <c r="V58" s="22">
        <f t="shared" si="3"/>
        <v>17635.669999999998</v>
      </c>
      <c r="W58" s="23">
        <f>IF([2]CHAMNORD!I60=0,"",[2]CHAMNORD!I60)</f>
        <v>13207.86</v>
      </c>
      <c r="X58" s="17">
        <f t="shared" si="4"/>
        <v>-0.27230824749935945</v>
      </c>
      <c r="AJ58" s="39"/>
      <c r="AL58" s="5">
        <v>46077</v>
      </c>
      <c r="AM58" s="21">
        <f>IF([1]CHAMNORD!J59=0,"",[1]CHAMNORD!J59)</f>
        <v>1025</v>
      </c>
      <c r="AN58" s="22">
        <f t="shared" si="6"/>
        <v>1025</v>
      </c>
      <c r="AO58" s="23">
        <f>IF([2]CHAMNORD!J60=0,"",[2]CHAMNORD!J60)</f>
        <v>777</v>
      </c>
      <c r="AP58" s="17">
        <f t="shared" si="7"/>
        <v>-0.26490066225165565</v>
      </c>
      <c r="BB58" s="39"/>
      <c r="BD58" s="5">
        <v>46077</v>
      </c>
      <c r="BE58" s="41">
        <f t="shared" si="9"/>
        <v>17.449424390243902</v>
      </c>
      <c r="BF58" s="72">
        <f t="shared" si="10"/>
        <v>17.449424390243902</v>
      </c>
      <c r="BG58" s="42">
        <f t="shared" si="11"/>
        <v>17.160154440154439</v>
      </c>
      <c r="BH58" s="17">
        <f t="shared" si="12"/>
        <v>-1.3006623752701452E-2</v>
      </c>
      <c r="BT58" s="39"/>
    </row>
    <row r="59" spans="2:98">
      <c r="B59" s="5">
        <v>46078</v>
      </c>
      <c r="C59" s="23">
        <f>IF([1]CHAMNORD!H60=0,"",[1]CHAMNORD!H60)</f>
        <v>18377.310000000001</v>
      </c>
      <c r="D59" s="22">
        <f t="shared" si="0"/>
        <v>18377.310000000001</v>
      </c>
      <c r="E59" s="23">
        <f>IF([2]CHAMNORD!H61=0,"",[2]CHAMNORD!H61)</f>
        <v>17362.240000000002</v>
      </c>
      <c r="F59" s="17">
        <f t="shared" si="1"/>
        <v>-0.1227926758596507</v>
      </c>
      <c r="R59" s="39"/>
      <c r="T59" s="5">
        <v>46078</v>
      </c>
      <c r="U59" s="23">
        <f>IF([1]CHAMNORD!I60=0,"",[1]CHAMNORD!I60)</f>
        <v>18150.349999999999</v>
      </c>
      <c r="V59" s="22">
        <f t="shared" si="3"/>
        <v>18150.349999999999</v>
      </c>
      <c r="W59" s="23">
        <f>IF([2]CHAMNORD!I61=0,"",[2]CHAMNORD!I61)</f>
        <v>17157.48</v>
      </c>
      <c r="X59" s="17">
        <f t="shared" si="4"/>
        <v>-0.12392600070157478</v>
      </c>
      <c r="AJ59" s="39"/>
      <c r="AL59" s="5">
        <v>46078</v>
      </c>
      <c r="AM59" s="23">
        <f>IF([1]CHAMNORD!J60=0,"",[1]CHAMNORD!J60)</f>
        <v>1057</v>
      </c>
      <c r="AN59" s="22">
        <f t="shared" si="6"/>
        <v>1057</v>
      </c>
      <c r="AO59" s="23">
        <f>IF([2]CHAMNORD!J61=0,"",[2]CHAMNORD!J61)</f>
        <v>974</v>
      </c>
      <c r="AP59" s="17">
        <f t="shared" si="7"/>
        <v>-0.13268032056990209</v>
      </c>
      <c r="BB59" s="39"/>
      <c r="BD59" s="5">
        <v>46078</v>
      </c>
      <c r="BE59" s="42">
        <f t="shared" si="9"/>
        <v>17.386291390728477</v>
      </c>
      <c r="BF59" s="72">
        <f t="shared" si="10"/>
        <v>17.386291390728477</v>
      </c>
      <c r="BG59" s="42">
        <f t="shared" si="11"/>
        <v>17.825708418891171</v>
      </c>
      <c r="BH59" s="17">
        <f t="shared" si="12"/>
        <v>1.1400231016028828E-2</v>
      </c>
      <c r="BT59" s="39"/>
    </row>
    <row r="60" spans="2:98">
      <c r="B60" s="5">
        <v>46079</v>
      </c>
      <c r="C60" s="23">
        <f>IF([1]CHAMNORD!H61=0,"",[1]CHAMNORD!H61)</f>
        <v>19792.63</v>
      </c>
      <c r="D60" s="22">
        <f t="shared" si="0"/>
        <v>19792.63</v>
      </c>
      <c r="E60" s="23">
        <f>IF([2]CHAMNORD!H62=0,"",[2]CHAMNORD!H62)</f>
        <v>16380.88</v>
      </c>
      <c r="F60" s="17">
        <f t="shared" si="1"/>
        <v>-0.24537216402092765</v>
      </c>
      <c r="R60" s="39"/>
      <c r="T60" s="5">
        <v>46079</v>
      </c>
      <c r="U60" s="23">
        <f>IF([1]CHAMNORD!I61=0,"",[1]CHAMNORD!I61)</f>
        <v>19584.509999999998</v>
      </c>
      <c r="V60" s="22">
        <f t="shared" si="3"/>
        <v>19584.509999999998</v>
      </c>
      <c r="W60" s="23">
        <f>IF([2]CHAMNORD!I62=0,"",[2]CHAMNORD!I62)</f>
        <v>16181.15</v>
      </c>
      <c r="X60" s="17">
        <f t="shared" si="4"/>
        <v>-0.24608743459644322</v>
      </c>
      <c r="AJ60" s="39"/>
      <c r="AL60" s="5">
        <v>46079</v>
      </c>
      <c r="AM60" s="23">
        <f>IF([1]CHAMNORD!J61=0,"",[1]CHAMNORD!J61)</f>
        <v>1123</v>
      </c>
      <c r="AN60" s="22">
        <f t="shared" si="6"/>
        <v>1123</v>
      </c>
      <c r="AO60" s="23">
        <f>IF([2]CHAMNORD!J62=0,"",[2]CHAMNORD!J62)</f>
        <v>943</v>
      </c>
      <c r="AP60" s="17">
        <f t="shared" si="7"/>
        <v>-0.243785084202085</v>
      </c>
      <c r="BB60" s="39"/>
      <c r="BD60" s="5">
        <v>46079</v>
      </c>
      <c r="BE60" s="42">
        <f t="shared" si="9"/>
        <v>17.624781834372218</v>
      </c>
      <c r="BF60" s="72">
        <f t="shared" si="10"/>
        <v>17.624781834372218</v>
      </c>
      <c r="BG60" s="42">
        <f t="shared" si="11"/>
        <v>17.37102863202545</v>
      </c>
      <c r="BH60" s="17">
        <f t="shared" si="12"/>
        <v>-2.0987153065713526E-3</v>
      </c>
      <c r="BT60" s="39"/>
    </row>
    <row r="61" spans="2:98">
      <c r="B61" s="5">
        <v>46080</v>
      </c>
      <c r="C61" s="23">
        <f>IF([1]CHAMNORD!H62=0,"",[1]CHAMNORD!H62)</f>
        <v>21707.23</v>
      </c>
      <c r="D61" s="22">
        <f t="shared" si="0"/>
        <v>21707.23</v>
      </c>
      <c r="E61" s="23">
        <f>IF([2]CHAMNORD!H63=0,"",[2]CHAMNORD!H63)</f>
        <v>28595.15</v>
      </c>
      <c r="F61" s="17">
        <f t="shared" si="1"/>
        <v>-0.11530518639752119</v>
      </c>
      <c r="R61" s="39"/>
      <c r="T61" s="5">
        <v>46080</v>
      </c>
      <c r="U61" s="23">
        <f>IF([1]CHAMNORD!I62=0,"",[1]CHAMNORD!I62)</f>
        <v>21462.9</v>
      </c>
      <c r="V61" s="22">
        <f t="shared" si="3"/>
        <v>21462.9</v>
      </c>
      <c r="W61" s="23">
        <f>IF([2]CHAMNORD!I63=0,"",[2]CHAMNORD!I63)</f>
        <v>28292.26</v>
      </c>
      <c r="X61" s="17">
        <f t="shared" si="4"/>
        <v>-0.11415497949787967</v>
      </c>
      <c r="AJ61" s="39"/>
      <c r="AL61" s="5">
        <v>46080</v>
      </c>
      <c r="AM61" s="23">
        <f>IF([1]CHAMNORD!J62=0,"",[1]CHAMNORD!J62)</f>
        <v>1247</v>
      </c>
      <c r="AN61" s="22">
        <f t="shared" si="6"/>
        <v>1247</v>
      </c>
      <c r="AO61" s="23">
        <f>IF([2]CHAMNORD!J63=0,"",[2]CHAMNORD!J63)</f>
        <v>1347</v>
      </c>
      <c r="AP61" s="17">
        <f t="shared" si="7"/>
        <v>-0.1354300385109114</v>
      </c>
      <c r="BB61" s="39"/>
      <c r="BD61" s="5">
        <v>46080</v>
      </c>
      <c r="BE61" s="42">
        <f t="shared" si="9"/>
        <v>17.407562149157979</v>
      </c>
      <c r="BF61" s="72">
        <f t="shared" si="10"/>
        <v>17.407562149157979</v>
      </c>
      <c r="BG61" s="42">
        <f t="shared" si="11"/>
        <v>21.228767631774314</v>
      </c>
      <c r="BH61" s="17">
        <f t="shared" si="12"/>
        <v>2.327729739618567E-2</v>
      </c>
      <c r="BT61" s="39"/>
    </row>
    <row r="62" spans="2:98">
      <c r="B62" s="5">
        <v>46081</v>
      </c>
      <c r="C62" s="23">
        <f>IF([1]CHAMNORD!H63=0,"",[1]CHAMNORD!H63)</f>
        <v>32322.05</v>
      </c>
      <c r="D62" s="22">
        <f t="shared" si="0"/>
        <v>32322.05</v>
      </c>
      <c r="E62" s="23">
        <f>IF([2]CHAMNORD!H64=0,"",[2]CHAMNORD!H64)</f>
        <v>27144.06</v>
      </c>
      <c r="F62" s="17">
        <f t="shared" si="1"/>
        <v>-8.7206492844856598E-2</v>
      </c>
      <c r="H62" s="4"/>
      <c r="I62" s="4"/>
      <c r="J62" s="33"/>
      <c r="K62" s="4"/>
      <c r="R62" s="39"/>
      <c r="T62" s="5">
        <v>46081</v>
      </c>
      <c r="U62" s="23">
        <f>IF([1]CHAMNORD!I63=0,"",[1]CHAMNORD!I63)</f>
        <v>31938.16</v>
      </c>
      <c r="V62" s="22">
        <f t="shared" si="3"/>
        <v>31938.16</v>
      </c>
      <c r="W62" s="23">
        <f>IF([2]CHAMNORD!I64=0,"",[2]CHAMNORD!I64)</f>
        <v>26791.18</v>
      </c>
      <c r="X62" s="17">
        <f t="shared" si="4"/>
        <v>-8.8124355435444834E-2</v>
      </c>
      <c r="Z62" s="4"/>
      <c r="AA62" s="4"/>
      <c r="AB62" s="33"/>
      <c r="AC62" s="4"/>
      <c r="AJ62" s="39"/>
      <c r="AL62" s="5">
        <v>46081</v>
      </c>
      <c r="AM62" s="23">
        <f>IF([1]CHAMNORD!J63=0,"",[1]CHAMNORD!J63)</f>
        <v>1558</v>
      </c>
      <c r="AN62" s="22">
        <f t="shared" si="6"/>
        <v>1558</v>
      </c>
      <c r="AO62" s="23">
        <f>IF([2]CHAMNORD!J64=0,"",[2]CHAMNORD!J64)</f>
        <v>1273</v>
      </c>
      <c r="AP62" s="17">
        <f t="shared" si="7"/>
        <v>-0.10666666666666669</v>
      </c>
      <c r="AR62" s="4"/>
      <c r="AS62" s="4"/>
      <c r="AT62" s="33"/>
      <c r="AU62" s="4"/>
      <c r="BB62" s="39"/>
      <c r="BD62" s="5">
        <v>46081</v>
      </c>
      <c r="BE62" s="42">
        <f t="shared" si="9"/>
        <v>20.745860077021824</v>
      </c>
      <c r="BF62" s="72">
        <f t="shared" si="10"/>
        <v>20.745860077021824</v>
      </c>
      <c r="BG62" s="42">
        <f t="shared" si="11"/>
        <v>21.322906520031424</v>
      </c>
      <c r="BH62" s="17">
        <f t="shared" si="12"/>
        <v>2.1783776666205235E-2</v>
      </c>
      <c r="BJ62" s="4"/>
      <c r="BK62" s="4"/>
      <c r="BL62" s="33"/>
      <c r="BM62" s="4"/>
      <c r="BT62" s="39"/>
    </row>
    <row r="63" spans="2:98">
      <c r="B63" s="5">
        <v>46082</v>
      </c>
      <c r="C63" s="23">
        <f>IF([1]CHAMNORD!H64=0,"",[1]CHAMNORD!H64)</f>
        <v>29737.35</v>
      </c>
      <c r="D63" s="22">
        <f t="shared" si="0"/>
        <v>29737.35</v>
      </c>
      <c r="E63" s="24">
        <f>IF([2]CHAMNORD!H65=0,"",[2]CHAMNORD!H65)</f>
        <v>24146.39</v>
      </c>
      <c r="F63" s="17">
        <f t="shared" si="1"/>
        <v>-2.4530169349104791E-2</v>
      </c>
      <c r="H63" s="4"/>
      <c r="I63" s="31"/>
      <c r="J63" s="34"/>
      <c r="K63" s="14"/>
      <c r="R63" s="39"/>
      <c r="T63" s="5">
        <v>46082</v>
      </c>
      <c r="U63" s="23">
        <f>IF([1]CHAMNORD!I64=0,"",[1]CHAMNORD!I64)</f>
        <v>29380.3</v>
      </c>
      <c r="V63" s="22">
        <f t="shared" si="3"/>
        <v>29380.3</v>
      </c>
      <c r="W63" s="24">
        <f>IF([2]CHAMNORD!I65=0,"",[2]CHAMNORD!I65)</f>
        <v>23718.880000000001</v>
      </c>
      <c r="X63" s="17">
        <f t="shared" si="4"/>
        <v>-3.0602448539193583E-2</v>
      </c>
      <c r="Z63" s="4"/>
      <c r="AA63" s="31"/>
      <c r="AB63" s="34"/>
      <c r="AC63" s="14"/>
      <c r="AJ63" s="39"/>
      <c r="AL63" s="5">
        <v>46082</v>
      </c>
      <c r="AM63" s="23">
        <f>IF([1]CHAMNORD!J64=0,"",[1]CHAMNORD!J64)</f>
        <v>1425</v>
      </c>
      <c r="AN63" s="22">
        <f t="shared" si="6"/>
        <v>1425</v>
      </c>
      <c r="AO63" s="24">
        <f>IF([2]CHAMNORD!J65=0,"",[2]CHAMNORD!J65)</f>
        <v>1106</v>
      </c>
      <c r="AP63" s="17">
        <f t="shared" si="7"/>
        <v>-8.5950413223140454E-2</v>
      </c>
      <c r="AR63" s="4"/>
      <c r="AS63" s="31"/>
      <c r="AT63" s="34"/>
      <c r="AU63" s="14"/>
      <c r="BB63" s="39"/>
      <c r="BD63" s="5">
        <v>46082</v>
      </c>
      <c r="BE63" s="42">
        <f t="shared" si="9"/>
        <v>20.868315789473684</v>
      </c>
      <c r="BF63" s="72">
        <f t="shared" si="10"/>
        <v>20.868315789473684</v>
      </c>
      <c r="BG63" s="43">
        <f t="shared" si="11"/>
        <v>21.832179023508136</v>
      </c>
      <c r="BH63" s="17">
        <f t="shared" si="12"/>
        <v>6.7195746010473067E-2</v>
      </c>
      <c r="BJ63" s="4"/>
      <c r="BK63" s="31"/>
      <c r="BL63" s="34"/>
      <c r="BM63" s="14"/>
      <c r="BT63" s="39"/>
    </row>
    <row r="64" spans="2:98">
      <c r="B64" s="5">
        <v>46083</v>
      </c>
      <c r="C64" s="24">
        <f>IF([1]CHAMNORD!H65=0,"",[1]CHAMNORD!H65)</f>
        <v>24753.599999999999</v>
      </c>
      <c r="D64" s="22">
        <f t="shared" si="0"/>
        <v>24753.599999999999</v>
      </c>
      <c r="E64" s="21">
        <f>IF([2]CHAMNORD!H66=0,"",[2]CHAMNORD!H66)</f>
        <v>12164.19</v>
      </c>
      <c r="F64" s="17">
        <f t="shared" si="1"/>
        <v>-0.26759426174726975</v>
      </c>
      <c r="R64" s="39"/>
      <c r="T64" s="5">
        <v>46083</v>
      </c>
      <c r="U64" s="24">
        <f>IF([1]CHAMNORD!I65=0,"",[1]CHAMNORD!I65)</f>
        <v>24467.65</v>
      </c>
      <c r="V64" s="22">
        <f t="shared" si="3"/>
        <v>24467.65</v>
      </c>
      <c r="W64" s="21">
        <f>IF([2]CHAMNORD!I66=0,"",[2]CHAMNORD!I66)</f>
        <v>11956.87</v>
      </c>
      <c r="X64" s="17">
        <f t="shared" si="4"/>
        <v>-0.27302502579430343</v>
      </c>
      <c r="AJ64" s="39"/>
      <c r="AL64" s="5">
        <v>46083</v>
      </c>
      <c r="AM64" s="24">
        <f>IF([1]CHAMNORD!J65=0,"",[1]CHAMNORD!J65)</f>
        <v>1210</v>
      </c>
      <c r="AN64" s="22">
        <f t="shared" si="6"/>
        <v>1210</v>
      </c>
      <c r="AO64" s="21">
        <f>IF([2]CHAMNORD!J66=0,"",[2]CHAMNORD!J66)</f>
        <v>737</v>
      </c>
      <c r="AP64" s="17">
        <f t="shared" si="7"/>
        <v>-0.22665267576075554</v>
      </c>
      <c r="BB64" s="39"/>
      <c r="BD64" s="5">
        <v>46083</v>
      </c>
      <c r="BE64" s="43">
        <f t="shared" si="9"/>
        <v>20.457520661157023</v>
      </c>
      <c r="BF64" s="72">
        <f t="shared" si="10"/>
        <v>20.457520661157023</v>
      </c>
      <c r="BG64" s="41">
        <f t="shared" si="11"/>
        <v>16.505006784260516</v>
      </c>
      <c r="BH64" s="17">
        <f t="shared" si="12"/>
        <v>-5.2940748229509005E-2</v>
      </c>
      <c r="BT64" s="39"/>
    </row>
    <row r="65" spans="2:72">
      <c r="B65" s="5">
        <v>46084</v>
      </c>
      <c r="C65" s="21">
        <f>IF([1]CHAMNORD!H66=0,"",[1]CHAMNORD!H66)</f>
        <v>16608.54</v>
      </c>
      <c r="D65" s="22">
        <f t="shared" si="0"/>
        <v>16608.54</v>
      </c>
      <c r="E65" s="23">
        <f>IF([2]CHAMNORD!H67=0,"",[2]CHAMNORD!H67)</f>
        <v>13752.64</v>
      </c>
      <c r="F65" s="17">
        <f t="shared" si="1"/>
        <v>-0.18738016158280968</v>
      </c>
      <c r="R65" s="39"/>
      <c r="T65" s="5">
        <v>46084</v>
      </c>
      <c r="U65" s="21">
        <f>IF([1]CHAMNORD!I66=0,"",[1]CHAMNORD!I66)</f>
        <v>16447.43</v>
      </c>
      <c r="V65" s="22">
        <f t="shared" si="3"/>
        <v>16447.43</v>
      </c>
      <c r="W65" s="23">
        <f>IF([2]CHAMNORD!I67=0,"",[2]CHAMNORD!I67)</f>
        <v>13620.41</v>
      </c>
      <c r="X65" s="17">
        <f t="shared" si="4"/>
        <v>-0.18438460916611521</v>
      </c>
      <c r="AJ65" s="39"/>
      <c r="AL65" s="5">
        <v>46084</v>
      </c>
      <c r="AM65" s="21">
        <f>IF([1]CHAMNORD!J66=0,"",[1]CHAMNORD!J66)</f>
        <v>953</v>
      </c>
      <c r="AN65" s="22">
        <f t="shared" si="6"/>
        <v>953</v>
      </c>
      <c r="AO65" s="23">
        <f>IF([2]CHAMNORD!J67=0,"",[2]CHAMNORD!J67)</f>
        <v>798</v>
      </c>
      <c r="AP65" s="17">
        <f t="shared" si="7"/>
        <v>-0.19556451612903225</v>
      </c>
      <c r="BB65" s="39"/>
      <c r="BD65" s="5">
        <v>46084</v>
      </c>
      <c r="BE65" s="41">
        <f t="shared" si="9"/>
        <v>17.427639034627493</v>
      </c>
      <c r="BF65" s="72">
        <f t="shared" si="10"/>
        <v>17.427639034627493</v>
      </c>
      <c r="BG65" s="42">
        <f t="shared" si="11"/>
        <v>17.233884711779449</v>
      </c>
      <c r="BH65" s="17">
        <f t="shared" si="12"/>
        <v>1.0174034724126368E-2</v>
      </c>
      <c r="BT65" s="39"/>
    </row>
    <row r="66" spans="2:72">
      <c r="B66" s="5">
        <v>46085</v>
      </c>
      <c r="C66" s="23">
        <f>IF([1]CHAMNORD!H67=0,"",[1]CHAMNORD!H67)</f>
        <v>16923.830000000002</v>
      </c>
      <c r="D66" s="22">
        <f t="shared" si="0"/>
        <v>16923.830000000002</v>
      </c>
      <c r="E66" s="23">
        <f>IF([2]CHAMNORD!H68=0,"",[2]CHAMNORD!H68)</f>
        <v>15238.98</v>
      </c>
      <c r="F66" s="17">
        <f t="shared" si="1"/>
        <v>-0.23729248737869812</v>
      </c>
      <c r="R66" s="39"/>
      <c r="T66" s="5">
        <v>46085</v>
      </c>
      <c r="U66" s="23">
        <f>IF([1]CHAMNORD!I67=0,"",[1]CHAMNORD!I67)</f>
        <v>16699.55</v>
      </c>
      <c r="V66" s="22">
        <f t="shared" si="3"/>
        <v>16699.55</v>
      </c>
      <c r="W66" s="23">
        <f>IF([2]CHAMNORD!I68=0,"",[2]CHAMNORD!I68)</f>
        <v>15004.75</v>
      </c>
      <c r="X66" s="17">
        <f t="shared" si="4"/>
        <v>-0.23965639294685304</v>
      </c>
      <c r="AJ66" s="39"/>
      <c r="AL66" s="5">
        <v>46085</v>
      </c>
      <c r="AM66" s="23">
        <f>IF([1]CHAMNORD!J67=0,"",[1]CHAMNORD!J67)</f>
        <v>992</v>
      </c>
      <c r="AN66" s="22">
        <f t="shared" si="6"/>
        <v>992</v>
      </c>
      <c r="AO66" s="23">
        <f>IF([2]CHAMNORD!J68=0,"",[2]CHAMNORD!J68)</f>
        <v>860</v>
      </c>
      <c r="AP66" s="17">
        <f t="shared" si="7"/>
        <v>-0.23351158645276293</v>
      </c>
      <c r="BB66" s="39"/>
      <c r="BD66" s="5">
        <v>46085</v>
      </c>
      <c r="BE66" s="42">
        <f t="shared" si="9"/>
        <v>17.060312500000002</v>
      </c>
      <c r="BF66" s="72">
        <f t="shared" si="10"/>
        <v>17.060312500000002</v>
      </c>
      <c r="BG66" s="42">
        <f t="shared" si="11"/>
        <v>17.719744186046512</v>
      </c>
      <c r="BH66" s="17">
        <f t="shared" si="12"/>
        <v>-4.932756789417847E-3</v>
      </c>
      <c r="BT66" s="39"/>
    </row>
    <row r="67" spans="2:72">
      <c r="B67" s="5">
        <v>46086</v>
      </c>
      <c r="C67" s="23">
        <f>IF([1]CHAMNORD!H68=0,"",[1]CHAMNORD!H68)</f>
        <v>19980.11</v>
      </c>
      <c r="D67" s="22">
        <f t="shared" si="0"/>
        <v>19980.11</v>
      </c>
      <c r="E67" s="23">
        <f>IF([2]CHAMNORD!H69=0,"",[2]CHAMNORD!H69)</f>
        <v>17359.47</v>
      </c>
      <c r="F67" s="17">
        <f t="shared" si="1"/>
        <v>-0.1470293998854153</v>
      </c>
      <c r="R67" s="39"/>
      <c r="T67" s="5">
        <v>46086</v>
      </c>
      <c r="U67" s="23">
        <f>IF([1]CHAMNORD!I68=0,"",[1]CHAMNORD!I68)</f>
        <v>19734.169999999998</v>
      </c>
      <c r="V67" s="22">
        <f t="shared" si="3"/>
        <v>19734.169999999998</v>
      </c>
      <c r="W67" s="23">
        <f>IF([2]CHAMNORD!I69=0,"",[2]CHAMNORD!I69)</f>
        <v>17126.91</v>
      </c>
      <c r="X67" s="17">
        <f t="shared" si="4"/>
        <v>-0.14871623327693528</v>
      </c>
      <c r="AJ67" s="39"/>
      <c r="AL67" s="5">
        <v>46086</v>
      </c>
      <c r="AM67" s="23">
        <f>IF([1]CHAMNORD!J68=0,"",[1]CHAMNORD!J68)</f>
        <v>1122</v>
      </c>
      <c r="AN67" s="22">
        <f t="shared" si="6"/>
        <v>1122</v>
      </c>
      <c r="AO67" s="23">
        <f>IF([2]CHAMNORD!J69=0,"",[2]CHAMNORD!J69)</f>
        <v>981</v>
      </c>
      <c r="AP67" s="17">
        <f t="shared" si="7"/>
        <v>-0.15358067299396028</v>
      </c>
      <c r="BB67" s="39"/>
      <c r="BD67" s="5">
        <v>46086</v>
      </c>
      <c r="BE67" s="42">
        <f t="shared" si="9"/>
        <v>17.80758467023173</v>
      </c>
      <c r="BF67" s="72">
        <f t="shared" si="10"/>
        <v>17.80758467023173</v>
      </c>
      <c r="BG67" s="42">
        <f t="shared" si="11"/>
        <v>17.695688073394496</v>
      </c>
      <c r="BH67" s="17">
        <f t="shared" si="12"/>
        <v>7.7399852526032209E-3</v>
      </c>
      <c r="BT67" s="39"/>
    </row>
    <row r="68" spans="2:72">
      <c r="B68" s="5">
        <v>46087</v>
      </c>
      <c r="C68" s="23">
        <f>IF([1]CHAMNORD!H69=0,"",[1]CHAMNORD!H69)</f>
        <v>20351.78</v>
      </c>
      <c r="D68" s="22">
        <f t="shared" ref="D68:D131" si="35">IF(E67="","",C68)</f>
        <v>20351.78</v>
      </c>
      <c r="E68" s="23">
        <f>IF([2]CHAMNORD!H70=0,"",[2]CHAMNORD!H70)</f>
        <v>25224.21</v>
      </c>
      <c r="F68" s="17">
        <f t="shared" ref="F68:F131" si="36">IF(E68="","",(E68/C69)-1)</f>
        <v>-0.18055058329732743</v>
      </c>
      <c r="R68" s="39"/>
      <c r="T68" s="5">
        <v>46087</v>
      </c>
      <c r="U68" s="23">
        <f>IF([1]CHAMNORD!I69=0,"",[1]CHAMNORD!I69)</f>
        <v>20118.919999999998</v>
      </c>
      <c r="V68" s="22">
        <f t="shared" ref="V68:V131" si="37">IF(W67="","",U68)</f>
        <v>20118.919999999998</v>
      </c>
      <c r="W68" s="23">
        <f>IF([2]CHAMNORD!I70=0,"",[2]CHAMNORD!I70)</f>
        <v>24878.61</v>
      </c>
      <c r="X68" s="17">
        <f t="shared" ref="X68:X131" si="38">IF(W68="","",(W68/U69)-1)</f>
        <v>-0.18293036982348609</v>
      </c>
      <c r="AJ68" s="39"/>
      <c r="AL68" s="5">
        <v>46087</v>
      </c>
      <c r="AM68" s="23">
        <f>IF([1]CHAMNORD!J69=0,"",[1]CHAMNORD!J69)</f>
        <v>1159</v>
      </c>
      <c r="AN68" s="22">
        <f t="shared" ref="AN68:AN131" si="39">IF(AO67="","",AM68)</f>
        <v>1159</v>
      </c>
      <c r="AO68" s="23">
        <f>IF([2]CHAMNORD!J70=0,"",[2]CHAMNORD!J70)</f>
        <v>1244</v>
      </c>
      <c r="AP68" s="17">
        <f t="shared" ref="AP68:AP131" si="40">IF(AO68="","",(AO68/AM69)-1)</f>
        <v>-0.17451891174518908</v>
      </c>
      <c r="BB68" s="39"/>
      <c r="BD68" s="5">
        <v>46087</v>
      </c>
      <c r="BE68" s="42">
        <f t="shared" ref="BE68:BE131" si="41">IFERROR(C68/AM68,"")</f>
        <v>17.559775668679894</v>
      </c>
      <c r="BF68" s="72">
        <f t="shared" ref="BF68:BF131" si="42">IF(BG67="","",BE68)</f>
        <v>17.559775668679894</v>
      </c>
      <c r="BG68" s="42">
        <f t="shared" ref="BG68:BG131" si="43">IFERROR(E68/AO68,"")</f>
        <v>20.2766961414791</v>
      </c>
      <c r="BH68" s="17">
        <f t="shared" ref="BH68:BH131" si="44">IF(BG68="","",(BG68/BE69)-1)</f>
        <v>-7.3068561326947723E-3</v>
      </c>
      <c r="BT68" s="39"/>
    </row>
    <row r="69" spans="2:72">
      <c r="B69" s="5">
        <v>46088</v>
      </c>
      <c r="C69" s="23">
        <f>IF([1]CHAMNORD!H70=0,"",[1]CHAMNORD!H70)</f>
        <v>30781.9</v>
      </c>
      <c r="D69" s="22">
        <f t="shared" si="35"/>
        <v>30781.9</v>
      </c>
      <c r="E69" s="23">
        <f>IF([2]CHAMNORD!H71=0,"",[2]CHAMNORD!H71)</f>
        <v>28926.400000000001</v>
      </c>
      <c r="F69" s="17">
        <f t="shared" si="36"/>
        <v>-3.0324484487786241E-2</v>
      </c>
      <c r="R69" s="39"/>
      <c r="T69" s="5">
        <v>46088</v>
      </c>
      <c r="U69" s="23">
        <f>IF([1]CHAMNORD!I70=0,"",[1]CHAMNORD!I70)</f>
        <v>30448.58</v>
      </c>
      <c r="V69" s="22">
        <f t="shared" si="37"/>
        <v>30448.58</v>
      </c>
      <c r="W69" s="23">
        <f>IF([2]CHAMNORD!I71=0,"",[2]CHAMNORD!I71)</f>
        <v>28517.29</v>
      </c>
      <c r="X69" s="17">
        <f t="shared" si="38"/>
        <v>-3.1826138561154238E-2</v>
      </c>
      <c r="AJ69" s="39"/>
      <c r="AL69" s="5">
        <v>46088</v>
      </c>
      <c r="AM69" s="23">
        <f>IF([1]CHAMNORD!J70=0,"",[1]CHAMNORD!J70)</f>
        <v>1507</v>
      </c>
      <c r="AN69" s="22">
        <f t="shared" si="39"/>
        <v>1507</v>
      </c>
      <c r="AO69" s="23">
        <f>IF([2]CHAMNORD!J71=0,"",[2]CHAMNORD!J71)</f>
        <v>1430</v>
      </c>
      <c r="AP69" s="17">
        <f t="shared" si="40"/>
        <v>-7.2031148604802087E-2</v>
      </c>
      <c r="BB69" s="39"/>
      <c r="BD69" s="5">
        <v>46088</v>
      </c>
      <c r="BE69" s="42">
        <f t="shared" si="41"/>
        <v>20.425945587259456</v>
      </c>
      <c r="BF69" s="72">
        <f t="shared" si="42"/>
        <v>20.425945587259456</v>
      </c>
      <c r="BG69" s="42">
        <f t="shared" si="43"/>
        <v>20.228251748251751</v>
      </c>
      <c r="BH69" s="17">
        <f t="shared" si="44"/>
        <v>4.4944034548476619E-2</v>
      </c>
      <c r="BT69" s="39"/>
    </row>
    <row r="70" spans="2:72">
      <c r="B70" s="5">
        <v>46089</v>
      </c>
      <c r="C70" s="23">
        <f>IF([1]CHAMNORD!H71=0,"",[1]CHAMNORD!H71)</f>
        <v>29831.01</v>
      </c>
      <c r="D70" s="22">
        <f t="shared" si="35"/>
        <v>29831.01</v>
      </c>
      <c r="E70" s="24">
        <f>IF([2]CHAMNORD!H72=0,"",[2]CHAMNORD!H72)</f>
        <v>24632.48</v>
      </c>
      <c r="F70" s="17">
        <f t="shared" si="36"/>
        <v>-5.5782929369477485E-2</v>
      </c>
      <c r="R70" s="39"/>
      <c r="T70" s="5">
        <v>46089</v>
      </c>
      <c r="U70" s="23">
        <f>IF([1]CHAMNORD!I71=0,"",[1]CHAMNORD!I71)</f>
        <v>29454.720000000001</v>
      </c>
      <c r="V70" s="22">
        <f t="shared" si="37"/>
        <v>29454.720000000001</v>
      </c>
      <c r="W70" s="24">
        <f>IF([2]CHAMNORD!I72=0,"",[2]CHAMNORD!I72)</f>
        <v>24267.16</v>
      </c>
      <c r="X70" s="17">
        <f t="shared" si="38"/>
        <v>-5.7136007826648072E-2</v>
      </c>
      <c r="AJ70" s="39"/>
      <c r="AL70" s="5">
        <v>46089</v>
      </c>
      <c r="AM70" s="23">
        <f>IF([1]CHAMNORD!J71=0,"",[1]CHAMNORD!J71)</f>
        <v>1541</v>
      </c>
      <c r="AN70" s="22">
        <f t="shared" si="39"/>
        <v>1541</v>
      </c>
      <c r="AO70" s="24">
        <f>IF([2]CHAMNORD!J72=0,"",[2]CHAMNORD!J72)</f>
        <v>1151</v>
      </c>
      <c r="AP70" s="17">
        <f t="shared" si="40"/>
        <v>-8.6507936507936534E-2</v>
      </c>
      <c r="BB70" s="39"/>
      <c r="BD70" s="5">
        <v>46089</v>
      </c>
      <c r="BE70" s="42">
        <f t="shared" si="41"/>
        <v>19.358215444516546</v>
      </c>
      <c r="BF70" s="72">
        <f t="shared" si="42"/>
        <v>19.358215444516546</v>
      </c>
      <c r="BG70" s="43">
        <f t="shared" si="43"/>
        <v>21.400938314509123</v>
      </c>
      <c r="BH70" s="17">
        <f t="shared" si="44"/>
        <v>3.3634673322726627E-2</v>
      </c>
      <c r="BT70" s="39"/>
    </row>
    <row r="71" spans="2:72">
      <c r="B71" s="5">
        <v>46090</v>
      </c>
      <c r="C71" s="24">
        <f>IF([1]CHAMNORD!H72=0,"",[1]CHAMNORD!H72)</f>
        <v>26087.73</v>
      </c>
      <c r="D71" s="22">
        <f t="shared" si="35"/>
        <v>26087.73</v>
      </c>
      <c r="E71" s="21">
        <f>IF([2]CHAMNORD!H73=0,"",[2]CHAMNORD!H73)</f>
        <v>12137.68</v>
      </c>
      <c r="F71" s="17">
        <f t="shared" si="36"/>
        <v>-4.9422260927859729E-2</v>
      </c>
      <c r="R71" s="39"/>
      <c r="T71" s="5">
        <v>46090</v>
      </c>
      <c r="U71" s="24">
        <f>IF([1]CHAMNORD!I72=0,"",[1]CHAMNORD!I72)</f>
        <v>25737.71</v>
      </c>
      <c r="V71" s="22">
        <f t="shared" si="37"/>
        <v>25737.71</v>
      </c>
      <c r="W71" s="21">
        <f>IF([2]CHAMNORD!I73=0,"",[2]CHAMNORD!I73)</f>
        <v>12006.64</v>
      </c>
      <c r="X71" s="17">
        <f t="shared" si="38"/>
        <v>-5.1595479560152091E-2</v>
      </c>
      <c r="AJ71" s="39"/>
      <c r="AL71" s="5">
        <v>46090</v>
      </c>
      <c r="AM71" s="24">
        <f>IF([1]CHAMNORD!J72=0,"",[1]CHAMNORD!J72)</f>
        <v>1260</v>
      </c>
      <c r="AN71" s="22">
        <f t="shared" si="39"/>
        <v>1260</v>
      </c>
      <c r="AO71" s="21">
        <f>IF([2]CHAMNORD!J73=0,"",[2]CHAMNORD!J73)</f>
        <v>736</v>
      </c>
      <c r="AP71" s="17">
        <f t="shared" si="40"/>
        <v>-8.1148564294631687E-2</v>
      </c>
      <c r="BB71" s="39"/>
      <c r="BD71" s="5">
        <v>46090</v>
      </c>
      <c r="BE71" s="43">
        <f t="shared" si="41"/>
        <v>20.70454761904762</v>
      </c>
      <c r="BF71" s="72">
        <f t="shared" si="42"/>
        <v>20.70454761904762</v>
      </c>
      <c r="BG71" s="41">
        <f t="shared" si="43"/>
        <v>16.491413043478261</v>
      </c>
      <c r="BH71" s="17">
        <f t="shared" si="44"/>
        <v>3.4528218745630834E-2</v>
      </c>
      <c r="BT71" s="39"/>
    </row>
    <row r="72" spans="2:72">
      <c r="B72" s="5">
        <v>46091</v>
      </c>
      <c r="C72" s="21">
        <f>IF([1]CHAMNORD!H73=0,"",[1]CHAMNORD!H73)</f>
        <v>12768.74</v>
      </c>
      <c r="D72" s="22">
        <f t="shared" si="35"/>
        <v>12768.74</v>
      </c>
      <c r="E72" s="23">
        <f>IF([2]CHAMNORD!H74=0,"",[2]CHAMNORD!H74)</f>
        <v>13518.26</v>
      </c>
      <c r="F72" s="17">
        <f t="shared" si="36"/>
        <v>-8.359601990859189E-2</v>
      </c>
      <c r="R72" s="39"/>
      <c r="T72" s="5">
        <v>46091</v>
      </c>
      <c r="U72" s="21">
        <f>IF([1]CHAMNORD!I73=0,"",[1]CHAMNORD!I73)</f>
        <v>12659.83</v>
      </c>
      <c r="V72" s="22">
        <f t="shared" si="37"/>
        <v>12659.83</v>
      </c>
      <c r="W72" s="23">
        <f>IF([2]CHAMNORD!I74=0,"",[2]CHAMNORD!I74)</f>
        <v>13368.3</v>
      </c>
      <c r="X72" s="17">
        <f t="shared" si="38"/>
        <v>-8.5747542591322445E-2</v>
      </c>
      <c r="AJ72" s="39"/>
      <c r="AL72" s="5">
        <v>46091</v>
      </c>
      <c r="AM72" s="21">
        <f>IF([1]CHAMNORD!J73=0,"",[1]CHAMNORD!J73)</f>
        <v>801</v>
      </c>
      <c r="AN72" s="22">
        <f t="shared" si="39"/>
        <v>801</v>
      </c>
      <c r="AO72" s="23">
        <f>IF([2]CHAMNORD!J74=0,"",[2]CHAMNORD!J74)</f>
        <v>784</v>
      </c>
      <c r="AP72" s="17">
        <f t="shared" si="40"/>
        <v>-0.15059588299024917</v>
      </c>
      <c r="BB72" s="39"/>
      <c r="BD72" s="5">
        <v>46091</v>
      </c>
      <c r="BE72" s="41">
        <f t="shared" si="41"/>
        <v>15.940998751560549</v>
      </c>
      <c r="BF72" s="72">
        <f t="shared" si="42"/>
        <v>15.940998751560549</v>
      </c>
      <c r="BG72" s="42">
        <f t="shared" si="43"/>
        <v>17.24267857142857</v>
      </c>
      <c r="BH72" s="17">
        <f t="shared" si="44"/>
        <v>7.8878665337206222E-2</v>
      </c>
      <c r="BT72" s="39"/>
    </row>
    <row r="73" spans="2:72">
      <c r="B73" s="5">
        <v>46092</v>
      </c>
      <c r="C73" s="23">
        <f>IF([1]CHAMNORD!H74=0,"",[1]CHAMNORD!H74)</f>
        <v>14751.42</v>
      </c>
      <c r="D73" s="22">
        <f t="shared" si="35"/>
        <v>14751.42</v>
      </c>
      <c r="E73" s="23">
        <f>IF([2]CHAMNORD!H75=0,"",[2]CHAMNORD!H75)</f>
        <v>17999.990000000002</v>
      </c>
      <c r="F73" s="17">
        <f t="shared" si="36"/>
        <v>-6.5051868737182605E-3</v>
      </c>
      <c r="R73" s="39"/>
      <c r="T73" s="5">
        <v>46092</v>
      </c>
      <c r="U73" s="23">
        <f>IF([1]CHAMNORD!I74=0,"",[1]CHAMNORD!I74)</f>
        <v>14622.11</v>
      </c>
      <c r="V73" s="22">
        <f t="shared" si="37"/>
        <v>14622.11</v>
      </c>
      <c r="W73" s="23">
        <f>IF([2]CHAMNORD!I75=0,"",[2]CHAMNORD!I75)</f>
        <v>17717.78</v>
      </c>
      <c r="X73" s="17">
        <f t="shared" si="38"/>
        <v>-9.9088577320047833E-3</v>
      </c>
      <c r="AJ73" s="39"/>
      <c r="AL73" s="5">
        <v>46092</v>
      </c>
      <c r="AM73" s="23">
        <f>IF([1]CHAMNORD!J74=0,"",[1]CHAMNORD!J74)</f>
        <v>923</v>
      </c>
      <c r="AN73" s="22">
        <f t="shared" si="39"/>
        <v>923</v>
      </c>
      <c r="AO73" s="23">
        <f>IF([2]CHAMNORD!J75=0,"",[2]CHAMNORD!J75)</f>
        <v>967</v>
      </c>
      <c r="AP73" s="17">
        <f t="shared" si="40"/>
        <v>-0.11202938475665747</v>
      </c>
      <c r="BB73" s="39"/>
      <c r="BD73" s="5">
        <v>46092</v>
      </c>
      <c r="BE73" s="42">
        <f t="shared" si="41"/>
        <v>15.982036836403033</v>
      </c>
      <c r="BF73" s="72">
        <f t="shared" si="42"/>
        <v>15.982036836403033</v>
      </c>
      <c r="BG73" s="42">
        <f t="shared" si="43"/>
        <v>18.614260599793177</v>
      </c>
      <c r="BH73" s="17">
        <f t="shared" si="44"/>
        <v>0.11883748861894583</v>
      </c>
      <c r="BT73" s="39"/>
    </row>
    <row r="74" spans="2:72">
      <c r="B74" s="5">
        <v>46093</v>
      </c>
      <c r="C74" s="23">
        <f>IF([1]CHAMNORD!H75=0,"",[1]CHAMNORD!H75)</f>
        <v>18117.849999999999</v>
      </c>
      <c r="D74" s="22">
        <f t="shared" si="35"/>
        <v>18117.849999999999</v>
      </c>
      <c r="E74" s="23">
        <f>IF([2]CHAMNORD!H76=0,"",[2]CHAMNORD!H76)</f>
        <v>15393.46</v>
      </c>
      <c r="F74" s="17">
        <f t="shared" si="36"/>
        <v>-4.1487595689594037E-2</v>
      </c>
      <c r="R74" s="39"/>
      <c r="T74" s="5">
        <v>46093</v>
      </c>
      <c r="U74" s="23">
        <f>IF([1]CHAMNORD!I75=0,"",[1]CHAMNORD!I75)</f>
        <v>17895.099999999999</v>
      </c>
      <c r="V74" s="22">
        <f t="shared" si="37"/>
        <v>17895.099999999999</v>
      </c>
      <c r="W74" s="23">
        <f>IF([2]CHAMNORD!I76=0,"",[2]CHAMNORD!I76)</f>
        <v>15246.78</v>
      </c>
      <c r="X74" s="17">
        <f t="shared" si="38"/>
        <v>-4.1762222625849499E-2</v>
      </c>
      <c r="AJ74" s="39"/>
      <c r="AL74" s="5">
        <v>46093</v>
      </c>
      <c r="AM74" s="23">
        <f>IF([1]CHAMNORD!J75=0,"",[1]CHAMNORD!J75)</f>
        <v>1089</v>
      </c>
      <c r="AN74" s="22">
        <f t="shared" si="39"/>
        <v>1089</v>
      </c>
      <c r="AO74" s="23">
        <f>IF([2]CHAMNORD!J76=0,"",[2]CHAMNORD!J76)</f>
        <v>882</v>
      </c>
      <c r="AP74" s="17">
        <f t="shared" si="40"/>
        <v>-0.11178247734138969</v>
      </c>
      <c r="BB74" s="39"/>
      <c r="BD74" s="5">
        <v>46093</v>
      </c>
      <c r="BE74" s="42">
        <f t="shared" si="41"/>
        <v>16.637144168962351</v>
      </c>
      <c r="BF74" s="72">
        <f t="shared" si="42"/>
        <v>16.637144168962351</v>
      </c>
      <c r="BG74" s="42">
        <f t="shared" si="43"/>
        <v>17.452902494331063</v>
      </c>
      <c r="BH74" s="17">
        <f t="shared" si="44"/>
        <v>7.9141516417497781E-2</v>
      </c>
      <c r="BT74" s="39"/>
    </row>
    <row r="75" spans="2:72">
      <c r="B75" s="5">
        <v>46094</v>
      </c>
      <c r="C75" s="23">
        <f>IF([1]CHAMNORD!H76=0,"",[1]CHAMNORD!H76)</f>
        <v>16059.74</v>
      </c>
      <c r="D75" s="22">
        <f t="shared" si="35"/>
        <v>16059.74</v>
      </c>
      <c r="E75" s="23">
        <f>IF([2]CHAMNORD!H77=0,"",[2]CHAMNORD!H77)</f>
        <v>24630.03</v>
      </c>
      <c r="F75" s="17">
        <f t="shared" si="36"/>
        <v>-1.8591355565552581E-2</v>
      </c>
      <c r="R75" s="39"/>
      <c r="T75" s="5">
        <v>46094</v>
      </c>
      <c r="U75" s="23">
        <f>IF([1]CHAMNORD!I76=0,"",[1]CHAMNORD!I76)</f>
        <v>15911.27</v>
      </c>
      <c r="V75" s="22">
        <f t="shared" si="37"/>
        <v>15911.27</v>
      </c>
      <c r="W75" s="23">
        <f>IF([2]CHAMNORD!I77=0,"",[2]CHAMNORD!I77)</f>
        <v>24303.03</v>
      </c>
      <c r="X75" s="17">
        <f t="shared" si="38"/>
        <v>-2.1377615777130599E-2</v>
      </c>
      <c r="AJ75" s="39"/>
      <c r="AL75" s="5">
        <v>46094</v>
      </c>
      <c r="AM75" s="23">
        <f>IF([1]CHAMNORD!J76=0,"",[1]CHAMNORD!J76)</f>
        <v>993</v>
      </c>
      <c r="AN75" s="22">
        <f t="shared" si="39"/>
        <v>993</v>
      </c>
      <c r="AO75" s="23">
        <f>IF([2]CHAMNORD!J77=0,"",[2]CHAMNORD!J77)</f>
        <v>1315</v>
      </c>
      <c r="AP75" s="17">
        <f t="shared" si="40"/>
        <v>-5.327573794096474E-2</v>
      </c>
      <c r="BB75" s="39"/>
      <c r="BD75" s="5">
        <v>46094</v>
      </c>
      <c r="BE75" s="42">
        <f t="shared" si="41"/>
        <v>16.172950654582074</v>
      </c>
      <c r="BF75" s="72">
        <f t="shared" si="42"/>
        <v>16.172950654582074</v>
      </c>
      <c r="BG75" s="42">
        <f t="shared" si="43"/>
        <v>18.730060836501899</v>
      </c>
      <c r="BH75" s="17">
        <f t="shared" si="44"/>
        <v>3.6636203132659473E-2</v>
      </c>
      <c r="BT75" s="39"/>
    </row>
    <row r="76" spans="2:72">
      <c r="B76" s="5">
        <v>46095</v>
      </c>
      <c r="C76" s="23">
        <f>IF([1]CHAMNORD!H77=0,"",[1]CHAMNORD!H77)</f>
        <v>25096.61</v>
      </c>
      <c r="D76" s="22">
        <f t="shared" si="35"/>
        <v>25096.61</v>
      </c>
      <c r="E76" s="23">
        <f>IF([2]CHAMNORD!H78=0,"",[2]CHAMNORD!H78)</f>
        <v>28102.61</v>
      </c>
      <c r="F76" s="17">
        <f t="shared" si="36"/>
        <v>-8.5194350476696323E-2</v>
      </c>
      <c r="R76" s="39"/>
      <c r="T76" s="5">
        <v>46095</v>
      </c>
      <c r="U76" s="23">
        <f>IF([1]CHAMNORD!I77=0,"",[1]CHAMNORD!I77)</f>
        <v>24833.919999999998</v>
      </c>
      <c r="V76" s="22">
        <f t="shared" si="37"/>
        <v>24833.919999999998</v>
      </c>
      <c r="W76" s="23">
        <f>IF([2]CHAMNORD!I78=0,"",[2]CHAMNORD!I78)</f>
        <v>27712</v>
      </c>
      <c r="X76" s="17">
        <f t="shared" si="38"/>
        <v>-8.7551525252847817E-2</v>
      </c>
      <c r="AJ76" s="39"/>
      <c r="AL76" s="5">
        <v>46095</v>
      </c>
      <c r="AM76" s="23">
        <f>IF([1]CHAMNORD!J77=0,"",[1]CHAMNORD!J77)</f>
        <v>1389</v>
      </c>
      <c r="AN76" s="22">
        <f t="shared" si="39"/>
        <v>1389</v>
      </c>
      <c r="AO76" s="23">
        <f>IF([2]CHAMNORD!J78=0,"",[2]CHAMNORD!J78)</f>
        <v>1384</v>
      </c>
      <c r="AP76" s="17">
        <f t="shared" si="40"/>
        <v>-0.11903246339910889</v>
      </c>
      <c r="BB76" s="39"/>
      <c r="BD76" s="5">
        <v>46095</v>
      </c>
      <c r="BE76" s="42">
        <f t="shared" si="41"/>
        <v>18.068113750899929</v>
      </c>
      <c r="BF76" s="72">
        <f t="shared" si="42"/>
        <v>18.068113750899929</v>
      </c>
      <c r="BG76" s="42">
        <f t="shared" si="43"/>
        <v>20.305354046242776</v>
      </c>
      <c r="BH76" s="17">
        <f t="shared" si="44"/>
        <v>3.8410170087507467E-2</v>
      </c>
      <c r="BT76" s="39"/>
    </row>
    <row r="77" spans="2:72">
      <c r="B77" s="5">
        <v>46096</v>
      </c>
      <c r="C77" s="23">
        <f>IF([1]CHAMNORD!H78=0,"",[1]CHAMNORD!H78)</f>
        <v>30719.759999999998</v>
      </c>
      <c r="D77" s="22">
        <f t="shared" si="35"/>
        <v>30719.759999999998</v>
      </c>
      <c r="E77" s="24">
        <f>IF([2]CHAMNORD!H79=0,"",[2]CHAMNORD!H79)</f>
        <v>23324.83</v>
      </c>
      <c r="F77" s="17">
        <f t="shared" si="36"/>
        <v>-0.17787525465785969</v>
      </c>
      <c r="R77" s="39"/>
      <c r="T77" s="5">
        <v>46096</v>
      </c>
      <c r="U77" s="23">
        <f>IF([1]CHAMNORD!I78=0,"",[1]CHAMNORD!I78)</f>
        <v>30371.03</v>
      </c>
      <c r="V77" s="22">
        <f t="shared" si="37"/>
        <v>30371.03</v>
      </c>
      <c r="W77" s="24">
        <f>IF([2]CHAMNORD!I79=0,"",[2]CHAMNORD!I79)</f>
        <v>22992.95</v>
      </c>
      <c r="X77" s="17">
        <f t="shared" si="38"/>
        <v>-0.17829732457344127</v>
      </c>
      <c r="AJ77" s="39"/>
      <c r="AL77" s="5">
        <v>46096</v>
      </c>
      <c r="AM77" s="23">
        <f>IF([1]CHAMNORD!J78=0,"",[1]CHAMNORD!J78)</f>
        <v>1571</v>
      </c>
      <c r="AN77" s="22">
        <f t="shared" si="39"/>
        <v>1571</v>
      </c>
      <c r="AO77" s="24">
        <f>IF([2]CHAMNORD!J79=0,"",[2]CHAMNORD!J79)</f>
        <v>1148</v>
      </c>
      <c r="AP77" s="17">
        <f t="shared" si="40"/>
        <v>-0.1840796019900498</v>
      </c>
      <c r="BB77" s="39"/>
      <c r="BD77" s="5">
        <v>46096</v>
      </c>
      <c r="BE77" s="42">
        <f t="shared" si="41"/>
        <v>19.554271164863142</v>
      </c>
      <c r="BF77" s="72">
        <f t="shared" si="42"/>
        <v>19.554271164863142</v>
      </c>
      <c r="BG77" s="43">
        <f t="shared" si="43"/>
        <v>20.317796167247387</v>
      </c>
      <c r="BH77" s="17">
        <f t="shared" si="44"/>
        <v>7.6041086205500541E-3</v>
      </c>
      <c r="BT77" s="39"/>
    </row>
    <row r="78" spans="2:72">
      <c r="B78" s="5">
        <v>46097</v>
      </c>
      <c r="C78" s="24">
        <f>IF([1]CHAMNORD!H79=0,"",[1]CHAMNORD!H79)</f>
        <v>28371.4</v>
      </c>
      <c r="D78" s="22">
        <f t="shared" si="35"/>
        <v>28371.4</v>
      </c>
      <c r="E78" s="21">
        <f>IF([2]CHAMNORD!H80=0,"",[2]CHAMNORD!H80)</f>
        <v>13124.37</v>
      </c>
      <c r="F78" s="17">
        <f t="shared" si="36"/>
        <v>-0.10681689650079995</v>
      </c>
      <c r="R78" s="39"/>
      <c r="T78" s="5">
        <v>46097</v>
      </c>
      <c r="U78" s="24">
        <f>IF([1]CHAMNORD!I79=0,"",[1]CHAMNORD!I79)</f>
        <v>27982.080000000002</v>
      </c>
      <c r="V78" s="22">
        <f t="shared" si="37"/>
        <v>27982.080000000002</v>
      </c>
      <c r="W78" s="21">
        <f>IF([2]CHAMNORD!I80=0,"",[2]CHAMNORD!I80)</f>
        <v>12976.45</v>
      </c>
      <c r="X78" s="17">
        <f t="shared" si="38"/>
        <v>-0.10594365628528879</v>
      </c>
      <c r="AJ78" s="39"/>
      <c r="AL78" s="5">
        <v>46097</v>
      </c>
      <c r="AM78" s="24">
        <f>IF([1]CHAMNORD!J79=0,"",[1]CHAMNORD!J79)</f>
        <v>1407</v>
      </c>
      <c r="AN78" s="22">
        <f t="shared" si="39"/>
        <v>1407</v>
      </c>
      <c r="AO78" s="21">
        <f>IF([2]CHAMNORD!J80=0,"",[2]CHAMNORD!J80)</f>
        <v>781</v>
      </c>
      <c r="AP78" s="17">
        <f t="shared" si="40"/>
        <v>-0.14644808743169402</v>
      </c>
      <c r="BB78" s="39"/>
      <c r="BD78" s="5">
        <v>46097</v>
      </c>
      <c r="BE78" s="43">
        <f t="shared" si="41"/>
        <v>20.164463397299219</v>
      </c>
      <c r="BF78" s="72">
        <f t="shared" si="42"/>
        <v>20.164463397299219</v>
      </c>
      <c r="BG78" s="41">
        <f t="shared" si="43"/>
        <v>16.804571062740077</v>
      </c>
      <c r="BH78" s="17">
        <f t="shared" si="44"/>
        <v>4.6430908709049756E-2</v>
      </c>
      <c r="BT78" s="39"/>
    </row>
    <row r="79" spans="2:72">
      <c r="B79" s="5">
        <v>46098</v>
      </c>
      <c r="C79" s="21">
        <f>IF([1]CHAMNORD!H80=0,"",[1]CHAMNORD!H80)</f>
        <v>14693.93</v>
      </c>
      <c r="D79" s="22">
        <f t="shared" si="35"/>
        <v>14693.93</v>
      </c>
      <c r="E79" s="23">
        <f>IF([2]CHAMNORD!H81=0,"",[2]CHAMNORD!H81)</f>
        <v>14835.63</v>
      </c>
      <c r="F79" s="17">
        <f t="shared" si="36"/>
        <v>-2.1840352135706231E-2</v>
      </c>
      <c r="R79" s="39"/>
      <c r="T79" s="5">
        <v>46098</v>
      </c>
      <c r="U79" s="21">
        <f>IF([1]CHAMNORD!I80=0,"",[1]CHAMNORD!I80)</f>
        <v>14514.13</v>
      </c>
      <c r="V79" s="22">
        <f t="shared" si="37"/>
        <v>14514.13</v>
      </c>
      <c r="W79" s="23">
        <f>IF([2]CHAMNORD!I81=0,"",[2]CHAMNORD!I81)</f>
        <v>14679.6</v>
      </c>
      <c r="X79" s="17">
        <f t="shared" si="38"/>
        <v>-2.142719533258719E-2</v>
      </c>
      <c r="AJ79" s="39"/>
      <c r="AL79" s="5">
        <v>46098</v>
      </c>
      <c r="AM79" s="21">
        <f>IF([1]CHAMNORD!J80=0,"",[1]CHAMNORD!J80)</f>
        <v>915</v>
      </c>
      <c r="AN79" s="22">
        <f t="shared" si="39"/>
        <v>915</v>
      </c>
      <c r="AO79" s="23">
        <f>IF([2]CHAMNORD!J81=0,"",[2]CHAMNORD!J81)</f>
        <v>829</v>
      </c>
      <c r="AP79" s="17">
        <f t="shared" si="40"/>
        <v>-0.14359504132231404</v>
      </c>
      <c r="BB79" s="39"/>
      <c r="BD79" s="5">
        <v>46098</v>
      </c>
      <c r="BE79" s="41">
        <f t="shared" si="41"/>
        <v>16.058939890710384</v>
      </c>
      <c r="BF79" s="72">
        <f t="shared" si="42"/>
        <v>16.058939890710384</v>
      </c>
      <c r="BG79" s="42">
        <f t="shared" si="43"/>
        <v>17.895814234016886</v>
      </c>
      <c r="BH79" s="17">
        <f t="shared" si="44"/>
        <v>0.14216952850740205</v>
      </c>
      <c r="BT79" s="39"/>
    </row>
    <row r="80" spans="2:72">
      <c r="B80" s="5">
        <v>46099</v>
      </c>
      <c r="C80" s="23">
        <f>IF([1]CHAMNORD!H81=0,"",[1]CHAMNORD!H81)</f>
        <v>15166.88</v>
      </c>
      <c r="D80" s="22">
        <f t="shared" si="35"/>
        <v>15166.88</v>
      </c>
      <c r="E80" s="23">
        <f>IF([2]CHAMNORD!H82=0,"",[2]CHAMNORD!H82)</f>
        <v>15485.65</v>
      </c>
      <c r="F80" s="17">
        <f t="shared" si="36"/>
        <v>-0.16904379387355828</v>
      </c>
      <c r="R80" s="39"/>
      <c r="T80" s="5">
        <v>46099</v>
      </c>
      <c r="U80" s="23">
        <f>IF([1]CHAMNORD!I81=0,"",[1]CHAMNORD!I81)</f>
        <v>15001.03</v>
      </c>
      <c r="V80" s="22">
        <f t="shared" si="37"/>
        <v>15001.03</v>
      </c>
      <c r="W80" s="23">
        <f>IF([2]CHAMNORD!I82=0,"",[2]CHAMNORD!I82)</f>
        <v>15229.08</v>
      </c>
      <c r="X80" s="17">
        <f t="shared" si="38"/>
        <v>-0.17070060156427413</v>
      </c>
      <c r="AJ80" s="39"/>
      <c r="AL80" s="5">
        <v>46099</v>
      </c>
      <c r="AM80" s="23">
        <f>IF([1]CHAMNORD!J81=0,"",[1]CHAMNORD!J81)</f>
        <v>968</v>
      </c>
      <c r="AN80" s="22">
        <f t="shared" si="39"/>
        <v>968</v>
      </c>
      <c r="AO80" s="23">
        <f>IF([2]CHAMNORD!J82=0,"",[2]CHAMNORD!J82)</f>
        <v>884</v>
      </c>
      <c r="AP80" s="17">
        <f t="shared" si="40"/>
        <v>-0.21769911504424777</v>
      </c>
      <c r="BB80" s="39"/>
      <c r="BD80" s="5">
        <v>46099</v>
      </c>
      <c r="BE80" s="42">
        <f t="shared" si="41"/>
        <v>15.668264462809917</v>
      </c>
      <c r="BF80" s="72">
        <f t="shared" si="42"/>
        <v>15.668264462809917</v>
      </c>
      <c r="BG80" s="42">
        <f t="shared" si="43"/>
        <v>17.517703619909501</v>
      </c>
      <c r="BH80" s="17">
        <f t="shared" si="44"/>
        <v>6.2195150365247809E-2</v>
      </c>
      <c r="BT80" s="39"/>
    </row>
    <row r="81" spans="2:72">
      <c r="B81" s="5">
        <v>46100</v>
      </c>
      <c r="C81" s="23">
        <f>IF([1]CHAMNORD!H82=0,"",[1]CHAMNORD!H82)</f>
        <v>18635.939999999999</v>
      </c>
      <c r="D81" s="22">
        <f t="shared" si="35"/>
        <v>18635.939999999999</v>
      </c>
      <c r="E81" s="23">
        <f>IF([2]CHAMNORD!H83=0,"",[2]CHAMNORD!H83)</f>
        <v>17005.689999999999</v>
      </c>
      <c r="F81" s="17">
        <f t="shared" si="36"/>
        <v>-2.0316447127751158E-2</v>
      </c>
      <c r="R81" s="39"/>
      <c r="T81" s="5">
        <v>46100</v>
      </c>
      <c r="U81" s="23">
        <f>IF([1]CHAMNORD!I82=0,"",[1]CHAMNORD!I82)</f>
        <v>18363.79</v>
      </c>
      <c r="V81" s="22">
        <f t="shared" si="37"/>
        <v>18363.79</v>
      </c>
      <c r="W81" s="23">
        <f>IF([2]CHAMNORD!I83=0,"",[2]CHAMNORD!I83)</f>
        <v>16860.79</v>
      </c>
      <c r="X81" s="17">
        <f t="shared" si="38"/>
        <v>-1.9662805388927396E-2</v>
      </c>
      <c r="AJ81" s="39"/>
      <c r="AL81" s="5">
        <v>46100</v>
      </c>
      <c r="AM81" s="23">
        <f>IF([1]CHAMNORD!J82=0,"",[1]CHAMNORD!J82)</f>
        <v>1130</v>
      </c>
      <c r="AN81" s="22">
        <f t="shared" si="39"/>
        <v>1130</v>
      </c>
      <c r="AO81" s="23">
        <f>IF([2]CHAMNORD!J83=0,"",[2]CHAMNORD!J83)</f>
        <v>978</v>
      </c>
      <c r="AP81" s="17">
        <f t="shared" si="40"/>
        <v>-0.11252268602540838</v>
      </c>
      <c r="BB81" s="39"/>
      <c r="BD81" s="5">
        <v>46100</v>
      </c>
      <c r="BE81" s="42">
        <f t="shared" si="41"/>
        <v>16.491982300884956</v>
      </c>
      <c r="BF81" s="72">
        <f t="shared" si="42"/>
        <v>16.491982300884956</v>
      </c>
      <c r="BG81" s="42">
        <f t="shared" si="43"/>
        <v>17.38823108384458</v>
      </c>
      <c r="BH81" s="17">
        <f t="shared" si="44"/>
        <v>0.10389700947363822</v>
      </c>
      <c r="BT81" s="39"/>
    </row>
    <row r="82" spans="2:72">
      <c r="B82" s="5">
        <v>46101</v>
      </c>
      <c r="C82" s="23">
        <f>IF([1]CHAMNORD!H83=0,"",[1]CHAMNORD!H83)</f>
        <v>17358.349999999999</v>
      </c>
      <c r="D82" s="22">
        <f t="shared" si="35"/>
        <v>17358.349999999999</v>
      </c>
      <c r="E82" s="23">
        <f>IF([2]CHAMNORD!H84=0,"",[2]CHAMNORD!H84)</f>
        <v>25393.279999999999</v>
      </c>
      <c r="F82" s="17">
        <f t="shared" si="36"/>
        <v>0.10174342803169178</v>
      </c>
      <c r="R82" s="39"/>
      <c r="T82" s="5">
        <v>46101</v>
      </c>
      <c r="U82" s="23">
        <f>IF([1]CHAMNORD!I83=0,"",[1]CHAMNORD!I83)</f>
        <v>17198.97</v>
      </c>
      <c r="V82" s="22">
        <f t="shared" si="37"/>
        <v>17198.97</v>
      </c>
      <c r="W82" s="23">
        <f>IF([2]CHAMNORD!I84=0,"",[2]CHAMNORD!I84)</f>
        <v>25039.69</v>
      </c>
      <c r="X82" s="17">
        <f t="shared" si="38"/>
        <v>9.7863174038897327E-2</v>
      </c>
      <c r="AJ82" s="39"/>
      <c r="AL82" s="5">
        <v>46101</v>
      </c>
      <c r="AM82" s="23">
        <f>IF([1]CHAMNORD!J83=0,"",[1]CHAMNORD!J83)</f>
        <v>1102</v>
      </c>
      <c r="AN82" s="22">
        <f t="shared" si="39"/>
        <v>1102</v>
      </c>
      <c r="AO82" s="23">
        <f>IF([2]CHAMNORD!J84=0,"",[2]CHAMNORD!J84)</f>
        <v>1356</v>
      </c>
      <c r="AP82" s="17">
        <f t="shared" si="40"/>
        <v>9.7975708502024306E-2</v>
      </c>
      <c r="BB82" s="39"/>
      <c r="BD82" s="5">
        <v>46101</v>
      </c>
      <c r="BE82" s="42">
        <f t="shared" si="41"/>
        <v>15.751678765880216</v>
      </c>
      <c r="BF82" s="72">
        <f t="shared" si="42"/>
        <v>15.751678765880216</v>
      </c>
      <c r="BG82" s="42">
        <f t="shared" si="43"/>
        <v>18.72660766961652</v>
      </c>
      <c r="BH82" s="17">
        <f t="shared" si="44"/>
        <v>3.4315144683918497E-3</v>
      </c>
      <c r="BT82" s="39"/>
    </row>
    <row r="83" spans="2:72">
      <c r="B83" s="5">
        <v>46102</v>
      </c>
      <c r="C83" s="23">
        <f>IF([1]CHAMNORD!H84=0,"",[1]CHAMNORD!H84)</f>
        <v>23048.27</v>
      </c>
      <c r="D83" s="22">
        <f t="shared" si="35"/>
        <v>23048.27</v>
      </c>
      <c r="E83" s="23">
        <f>IF([2]CHAMNORD!H85=0,"",[2]CHAMNORD!H85)</f>
        <v>25627.59</v>
      </c>
      <c r="F83" s="17">
        <f t="shared" si="36"/>
        <v>-4.5183498116453946E-2</v>
      </c>
      <c r="R83" s="39"/>
      <c r="T83" s="5">
        <v>46102</v>
      </c>
      <c r="U83" s="23">
        <f>IF([1]CHAMNORD!I84=0,"",[1]CHAMNORD!I84)</f>
        <v>22807.66</v>
      </c>
      <c r="V83" s="22">
        <f t="shared" si="37"/>
        <v>22807.66</v>
      </c>
      <c r="W83" s="23">
        <f>IF([2]CHAMNORD!I85=0,"",[2]CHAMNORD!I85)</f>
        <v>25266.7</v>
      </c>
      <c r="X83" s="17">
        <f t="shared" si="38"/>
        <v>-4.7741265361747165E-2</v>
      </c>
      <c r="AJ83" s="39"/>
      <c r="AL83" s="5">
        <v>46102</v>
      </c>
      <c r="AM83" s="23">
        <f>IF([1]CHAMNORD!J84=0,"",[1]CHAMNORD!J84)</f>
        <v>1235</v>
      </c>
      <c r="AN83" s="22">
        <f t="shared" si="39"/>
        <v>1235</v>
      </c>
      <c r="AO83" s="23">
        <f>IF([2]CHAMNORD!J85=0,"",[2]CHAMNORD!J85)</f>
        <v>1342</v>
      </c>
      <c r="AP83" s="17">
        <f t="shared" si="40"/>
        <v>-2.8240405503258459E-2</v>
      </c>
      <c r="BB83" s="39"/>
      <c r="BD83" s="5">
        <v>46102</v>
      </c>
      <c r="BE83" s="42">
        <f t="shared" si="41"/>
        <v>18.662566801619434</v>
      </c>
      <c r="BF83" s="72">
        <f t="shared" si="42"/>
        <v>18.662566801619434</v>
      </c>
      <c r="BG83" s="42">
        <f t="shared" si="43"/>
        <v>19.09656482861401</v>
      </c>
      <c r="BH83" s="17">
        <f t="shared" si="44"/>
        <v>-1.7435477569912705E-2</v>
      </c>
      <c r="BT83" s="39"/>
    </row>
    <row r="84" spans="2:72">
      <c r="B84" s="5">
        <v>46103</v>
      </c>
      <c r="C84" s="23">
        <f>IF([1]CHAMNORD!H85=0,"",[1]CHAMNORD!H85)</f>
        <v>26840.33</v>
      </c>
      <c r="D84" s="22">
        <f t="shared" si="35"/>
        <v>26840.33</v>
      </c>
      <c r="E84" s="24">
        <f>IF([2]CHAMNORD!H86=0,"",[2]CHAMNORD!H86)</f>
        <v>24955.46</v>
      </c>
      <c r="F84" s="17">
        <f t="shared" si="36"/>
        <v>8.1749823251709097E-2</v>
      </c>
      <c r="R84" s="39"/>
      <c r="T84" s="5">
        <v>46103</v>
      </c>
      <c r="U84" s="23">
        <f>IF([1]CHAMNORD!I85=0,"",[1]CHAMNORD!I85)</f>
        <v>26533.439999999999</v>
      </c>
      <c r="V84" s="22">
        <f t="shared" si="37"/>
        <v>26533.439999999999</v>
      </c>
      <c r="W84" s="24">
        <f>IF([2]CHAMNORD!I86=0,"",[2]CHAMNORD!I86)</f>
        <v>24584.93</v>
      </c>
      <c r="X84" s="17">
        <f t="shared" si="38"/>
        <v>7.917672430632483E-2</v>
      </c>
      <c r="AJ84" s="39"/>
      <c r="AL84" s="5">
        <v>46103</v>
      </c>
      <c r="AM84" s="23">
        <f>IF([1]CHAMNORD!J85=0,"",[1]CHAMNORD!J85)</f>
        <v>1381</v>
      </c>
      <c r="AN84" s="22">
        <f t="shared" si="39"/>
        <v>1381</v>
      </c>
      <c r="AO84" s="24">
        <f>IF([2]CHAMNORD!J86=0,"",[2]CHAMNORD!J86)</f>
        <v>1212</v>
      </c>
      <c r="AP84" s="17">
        <f t="shared" si="40"/>
        <v>2.020202020202011E-2</v>
      </c>
      <c r="BB84" s="39"/>
      <c r="BD84" s="5">
        <v>46103</v>
      </c>
      <c r="BE84" s="42">
        <f t="shared" si="41"/>
        <v>19.435430847212167</v>
      </c>
      <c r="BF84" s="72">
        <f t="shared" si="42"/>
        <v>19.435430847212167</v>
      </c>
      <c r="BG84" s="43">
        <f t="shared" si="43"/>
        <v>20.590313531353136</v>
      </c>
      <c r="BH84" s="17">
        <f t="shared" si="44"/>
        <v>6.0329034672467419E-2</v>
      </c>
      <c r="BT84" s="39"/>
    </row>
    <row r="85" spans="2:72">
      <c r="B85" s="5">
        <v>46104</v>
      </c>
      <c r="C85" s="24">
        <f>IF([1]CHAMNORD!H86=0,"",[1]CHAMNORD!H86)</f>
        <v>23069.53</v>
      </c>
      <c r="D85" s="22">
        <f t="shared" si="35"/>
        <v>23069.53</v>
      </c>
      <c r="E85" s="21">
        <f>IF([2]CHAMNORD!H87=0,"",[2]CHAMNORD!H87)</f>
        <v>12883.05</v>
      </c>
      <c r="F85" s="17">
        <f t="shared" si="36"/>
        <v>1.4816116001940882E-2</v>
      </c>
      <c r="R85" s="39"/>
      <c r="T85" s="5">
        <v>46104</v>
      </c>
      <c r="U85" s="24">
        <f>IF([1]CHAMNORD!I86=0,"",[1]CHAMNORD!I86)</f>
        <v>22781.19</v>
      </c>
      <c r="V85" s="22">
        <f t="shared" si="37"/>
        <v>22781.19</v>
      </c>
      <c r="W85" s="21">
        <f>IF([2]CHAMNORD!I87=0,"",[2]CHAMNORD!I87)</f>
        <v>12734.56</v>
      </c>
      <c r="X85" s="17">
        <f t="shared" si="38"/>
        <v>1.0723483961601499E-2</v>
      </c>
      <c r="AJ85" s="39"/>
      <c r="AL85" s="5">
        <v>46104</v>
      </c>
      <c r="AM85" s="24">
        <f>IF([1]CHAMNORD!J86=0,"",[1]CHAMNORD!J86)</f>
        <v>1188</v>
      </c>
      <c r="AN85" s="22">
        <f t="shared" si="39"/>
        <v>1188</v>
      </c>
      <c r="AO85" s="21">
        <f>IF([2]CHAMNORD!J87=0,"",[2]CHAMNORD!J87)</f>
        <v>772</v>
      </c>
      <c r="AP85" s="17">
        <f t="shared" si="40"/>
        <v>-3.379224030037542E-2</v>
      </c>
      <c r="BB85" s="39"/>
      <c r="BD85" s="5">
        <v>46104</v>
      </c>
      <c r="BE85" s="43">
        <f t="shared" si="41"/>
        <v>19.418796296296296</v>
      </c>
      <c r="BF85" s="72">
        <f t="shared" si="42"/>
        <v>19.418796296296296</v>
      </c>
      <c r="BG85" s="41">
        <f t="shared" si="43"/>
        <v>16.687888601036267</v>
      </c>
      <c r="BH85" s="17">
        <f t="shared" si="44"/>
        <v>5.0308389489055472E-2</v>
      </c>
      <c r="BT85" s="39"/>
    </row>
    <row r="86" spans="2:72">
      <c r="B86" s="5">
        <v>46105</v>
      </c>
      <c r="C86" s="21">
        <f>IF([1]CHAMNORD!H87=0,"",[1]CHAMNORD!H87)</f>
        <v>12694.96</v>
      </c>
      <c r="D86" s="22">
        <f t="shared" si="35"/>
        <v>12694.96</v>
      </c>
      <c r="E86" s="23">
        <f>IF([2]CHAMNORD!H88=0,"",[2]CHAMNORD!H88)</f>
        <v>14182.45</v>
      </c>
      <c r="F86" s="17">
        <f t="shared" si="36"/>
        <v>-7.1511387732843046E-2</v>
      </c>
      <c r="R86" s="39"/>
      <c r="T86" s="5">
        <v>46105</v>
      </c>
      <c r="U86" s="21">
        <f>IF([1]CHAMNORD!I87=0,"",[1]CHAMNORD!I87)</f>
        <v>12599.45</v>
      </c>
      <c r="V86" s="22">
        <f t="shared" si="37"/>
        <v>12599.45</v>
      </c>
      <c r="W86" s="23">
        <f>IF([2]CHAMNORD!I88=0,"",[2]CHAMNORD!I88)</f>
        <v>13973.91</v>
      </c>
      <c r="X86" s="17">
        <f t="shared" si="38"/>
        <v>-6.5930716398455935E-2</v>
      </c>
      <c r="AJ86" s="39"/>
      <c r="AL86" s="5">
        <v>46105</v>
      </c>
      <c r="AM86" s="21">
        <f>IF([1]CHAMNORD!J87=0,"",[1]CHAMNORD!J87)</f>
        <v>799</v>
      </c>
      <c r="AN86" s="22">
        <f t="shared" si="39"/>
        <v>799</v>
      </c>
      <c r="AO86" s="23">
        <f>IF([2]CHAMNORD!J88=0,"",[2]CHAMNORD!J88)</f>
        <v>813</v>
      </c>
      <c r="AP86" s="17">
        <f t="shared" si="40"/>
        <v>-0.11726384364820852</v>
      </c>
      <c r="BB86" s="39"/>
      <c r="BD86" s="5">
        <v>46105</v>
      </c>
      <c r="BE86" s="41">
        <f t="shared" si="41"/>
        <v>15.888560700876093</v>
      </c>
      <c r="BF86" s="72">
        <f t="shared" si="42"/>
        <v>15.888560700876093</v>
      </c>
      <c r="BG86" s="42">
        <f t="shared" si="43"/>
        <v>17.444587945879459</v>
      </c>
      <c r="BH86" s="17">
        <f t="shared" si="44"/>
        <v>5.1830272937332555E-2</v>
      </c>
      <c r="BT86" s="39"/>
    </row>
    <row r="87" spans="2:72">
      <c r="B87" s="5">
        <v>46106</v>
      </c>
      <c r="C87" s="23">
        <f>IF([1]CHAMNORD!H88=0,"",[1]CHAMNORD!H88)</f>
        <v>15274.77</v>
      </c>
      <c r="D87" s="22">
        <f t="shared" si="35"/>
        <v>15274.77</v>
      </c>
      <c r="E87" s="23">
        <f>IF([2]CHAMNORD!H89=0,"",[2]CHAMNORD!H89)</f>
        <v>18112.89</v>
      </c>
      <c r="F87" s="17">
        <f t="shared" si="36"/>
        <v>-2.6424252197049136E-2</v>
      </c>
      <c r="R87" s="39"/>
      <c r="T87" s="5">
        <v>46106</v>
      </c>
      <c r="U87" s="23">
        <f>IF([1]CHAMNORD!I88=0,"",[1]CHAMNORD!I88)</f>
        <v>14960.25</v>
      </c>
      <c r="V87" s="22">
        <f t="shared" si="37"/>
        <v>14960.25</v>
      </c>
      <c r="W87" s="23">
        <f>IF([2]CHAMNORD!I89=0,"",[2]CHAMNORD!I89)</f>
        <v>17730.259999999998</v>
      </c>
      <c r="X87" s="17">
        <f t="shared" si="38"/>
        <v>-2.1771202646530874E-2</v>
      </c>
      <c r="AJ87" s="39"/>
      <c r="AL87" s="5">
        <v>46106</v>
      </c>
      <c r="AM87" s="23">
        <f>IF([1]CHAMNORD!J88=0,"",[1]CHAMNORD!J88)</f>
        <v>921</v>
      </c>
      <c r="AN87" s="22">
        <f t="shared" si="39"/>
        <v>921</v>
      </c>
      <c r="AO87" s="23">
        <f>IF([2]CHAMNORD!J89=0,"",[2]CHAMNORD!J89)</f>
        <v>995</v>
      </c>
      <c r="AP87" s="17">
        <f t="shared" si="40"/>
        <v>-0.13024475524475521</v>
      </c>
      <c r="BB87" s="39"/>
      <c r="BD87" s="5">
        <v>46106</v>
      </c>
      <c r="BE87" s="42">
        <f t="shared" si="41"/>
        <v>16.584983713355051</v>
      </c>
      <c r="BF87" s="72">
        <f t="shared" si="42"/>
        <v>16.584983713355051</v>
      </c>
      <c r="BG87" s="42">
        <f t="shared" si="43"/>
        <v>18.203909547738693</v>
      </c>
      <c r="BH87" s="17">
        <f t="shared" si="44"/>
        <v>0.11936749295133242</v>
      </c>
      <c r="BT87" s="39"/>
    </row>
    <row r="88" spans="2:72">
      <c r="B88" s="5">
        <v>46107</v>
      </c>
      <c r="C88" s="23">
        <f>IF([1]CHAMNORD!H89=0,"",[1]CHAMNORD!H89)</f>
        <v>18604.5</v>
      </c>
      <c r="D88" s="22">
        <f t="shared" si="35"/>
        <v>18604.5</v>
      </c>
      <c r="E88" s="23">
        <f>IF([2]CHAMNORD!H90=0,"",[2]CHAMNORD!H90)</f>
        <v>18279.939999999999</v>
      </c>
      <c r="F88" s="17">
        <f t="shared" si="36"/>
        <v>-2.2176029219273419E-2</v>
      </c>
      <c r="R88" s="39"/>
      <c r="T88" s="5">
        <v>46107</v>
      </c>
      <c r="U88" s="23">
        <f>IF([1]CHAMNORD!I89=0,"",[1]CHAMNORD!I89)</f>
        <v>18124.86</v>
      </c>
      <c r="V88" s="22">
        <f t="shared" si="37"/>
        <v>18124.86</v>
      </c>
      <c r="W88" s="23">
        <f>IF([2]CHAMNORD!I90=0,"",[2]CHAMNORD!I90)</f>
        <v>17952.400000000001</v>
      </c>
      <c r="X88" s="17">
        <f t="shared" si="38"/>
        <v>-1.9839722905603652E-2</v>
      </c>
      <c r="AJ88" s="39"/>
      <c r="AL88" s="5">
        <v>46107</v>
      </c>
      <c r="AM88" s="23">
        <f>IF([1]CHAMNORD!J89=0,"",[1]CHAMNORD!J89)</f>
        <v>1144</v>
      </c>
      <c r="AN88" s="22">
        <f t="shared" si="39"/>
        <v>1144</v>
      </c>
      <c r="AO88" s="23">
        <f>IF([2]CHAMNORD!J90=0,"",[2]CHAMNORD!J90)</f>
        <v>995</v>
      </c>
      <c r="AP88" s="17">
        <f t="shared" si="40"/>
        <v>-0.12411971830985913</v>
      </c>
      <c r="BB88" s="39"/>
      <c r="BD88" s="5">
        <v>46107</v>
      </c>
      <c r="BE88" s="42">
        <f t="shared" si="41"/>
        <v>16.262674825174827</v>
      </c>
      <c r="BF88" s="72">
        <f t="shared" si="42"/>
        <v>16.262674825174827</v>
      </c>
      <c r="BG88" s="42">
        <f t="shared" si="43"/>
        <v>18.371798994974874</v>
      </c>
      <c r="BH88" s="17">
        <f t="shared" si="44"/>
        <v>0.11638998071045781</v>
      </c>
      <c r="BT88" s="39"/>
    </row>
    <row r="89" spans="2:72">
      <c r="B89" s="5">
        <v>46108</v>
      </c>
      <c r="C89" s="23">
        <f>IF([1]CHAMNORD!H90=0,"",[1]CHAMNORD!H90)</f>
        <v>18694.509999999998</v>
      </c>
      <c r="D89" s="22">
        <f t="shared" si="35"/>
        <v>18694.509999999998</v>
      </c>
      <c r="E89" s="23">
        <f>IF([2]CHAMNORD!H91=0,"",[2]CHAMNORD!H91)</f>
        <v>27328.19</v>
      </c>
      <c r="F89" s="17">
        <f t="shared" si="36"/>
        <v>7.2604387646766799E-2</v>
      </c>
      <c r="R89" s="39"/>
      <c r="T89" s="5">
        <v>46108</v>
      </c>
      <c r="U89" s="23">
        <f>IF([1]CHAMNORD!I90=0,"",[1]CHAMNORD!I90)</f>
        <v>18315.78</v>
      </c>
      <c r="V89" s="22">
        <f t="shared" si="37"/>
        <v>18315.78</v>
      </c>
      <c r="W89" s="23">
        <f>IF([2]CHAMNORD!I91=0,"",[2]CHAMNORD!I91)</f>
        <v>26781.119999999999</v>
      </c>
      <c r="X89" s="17">
        <f t="shared" si="38"/>
        <v>7.5247300551573248E-2</v>
      </c>
      <c r="AJ89" s="39"/>
      <c r="AL89" s="5">
        <v>46108</v>
      </c>
      <c r="AM89" s="23">
        <f>IF([1]CHAMNORD!J90=0,"",[1]CHAMNORD!J90)</f>
        <v>1136</v>
      </c>
      <c r="AN89" s="22">
        <f t="shared" si="39"/>
        <v>1136</v>
      </c>
      <c r="AO89" s="23">
        <f>IF([2]CHAMNORD!J91=0,"",[2]CHAMNORD!J91)</f>
        <v>1383</v>
      </c>
      <c r="AP89" s="17">
        <f t="shared" si="40"/>
        <v>2.4444444444444491E-2</v>
      </c>
      <c r="BB89" s="39"/>
      <c r="BD89" s="5">
        <v>46108</v>
      </c>
      <c r="BE89" s="42">
        <f t="shared" si="41"/>
        <v>16.456434859154928</v>
      </c>
      <c r="BF89" s="72">
        <f t="shared" si="42"/>
        <v>16.456434859154928</v>
      </c>
      <c r="BG89" s="42">
        <f t="shared" si="43"/>
        <v>19.760079537237889</v>
      </c>
      <c r="BH89" s="17">
        <f t="shared" si="44"/>
        <v>4.701079054456625E-2</v>
      </c>
      <c r="BT89" s="39"/>
    </row>
    <row r="90" spans="2:72">
      <c r="B90" s="5">
        <v>46109</v>
      </c>
      <c r="C90" s="23">
        <f>IF([1]CHAMNORD!H91=0,"",[1]CHAMNORD!H91)</f>
        <v>25478.35</v>
      </c>
      <c r="D90" s="22">
        <f t="shared" si="35"/>
        <v>25478.35</v>
      </c>
      <c r="E90" s="23">
        <f>IF([2]CHAMNORD!H92=0,"",[2]CHAMNORD!H92)</f>
        <v>28398.81</v>
      </c>
      <c r="F90" s="17">
        <f t="shared" si="36"/>
        <v>-2.7528784653441107E-4</v>
      </c>
      <c r="R90" s="39"/>
      <c r="T90" s="5">
        <v>46109</v>
      </c>
      <c r="U90" s="23">
        <f>IF([1]CHAMNORD!I91=0,"",[1]CHAMNORD!I91)</f>
        <v>24906.94</v>
      </c>
      <c r="V90" s="22">
        <f t="shared" si="37"/>
        <v>24906.94</v>
      </c>
      <c r="W90" s="23">
        <f>IF([2]CHAMNORD!I92=0,"",[2]CHAMNORD!I92)</f>
        <v>27874.63</v>
      </c>
      <c r="X90" s="17">
        <f t="shared" si="38"/>
        <v>4.68522929113524E-3</v>
      </c>
      <c r="AJ90" s="39"/>
      <c r="AL90" s="5">
        <v>46109</v>
      </c>
      <c r="AM90" s="23">
        <f>IF([1]CHAMNORD!J91=0,"",[1]CHAMNORD!J91)</f>
        <v>1350</v>
      </c>
      <c r="AN90" s="22">
        <f t="shared" si="39"/>
        <v>1350</v>
      </c>
      <c r="AO90" s="23">
        <f>IF([2]CHAMNORD!J92=0,"",[2]CHAMNORD!J92)</f>
        <v>1381</v>
      </c>
      <c r="AP90" s="17">
        <f t="shared" si="40"/>
        <v>-5.7337883959044378E-2</v>
      </c>
      <c r="BB90" s="39"/>
      <c r="BD90" s="5">
        <v>46109</v>
      </c>
      <c r="BE90" s="42">
        <f t="shared" si="41"/>
        <v>18.872851851851852</v>
      </c>
      <c r="BF90" s="72">
        <f t="shared" si="42"/>
        <v>18.872851851851852</v>
      </c>
      <c r="BG90" s="42">
        <f t="shared" si="43"/>
        <v>20.563946415640842</v>
      </c>
      <c r="BH90" s="17">
        <f t="shared" si="44"/>
        <v>6.0533456411895115E-2</v>
      </c>
      <c r="BT90" s="39"/>
    </row>
    <row r="91" spans="2:72">
      <c r="B91" s="5">
        <v>46110</v>
      </c>
      <c r="C91" s="23">
        <f>IF([1]CHAMNORD!H92=0,"",[1]CHAMNORD!H92)</f>
        <v>28406.63</v>
      </c>
      <c r="D91" s="22">
        <f t="shared" si="35"/>
        <v>28406.63</v>
      </c>
      <c r="E91" s="24">
        <f>IF([2]CHAMNORD!H93=0,"",[2]CHAMNORD!H93)</f>
        <v>26679.67</v>
      </c>
      <c r="F91" s="17">
        <f t="shared" si="36"/>
        <v>9.3303683571770435E-3</v>
      </c>
      <c r="R91" s="39"/>
      <c r="T91" s="5">
        <v>46110</v>
      </c>
      <c r="U91" s="23">
        <f>IF([1]CHAMNORD!I92=0,"",[1]CHAMNORD!I92)</f>
        <v>27744.639999999999</v>
      </c>
      <c r="V91" s="22">
        <f t="shared" si="37"/>
        <v>27744.639999999999</v>
      </c>
      <c r="W91" s="24">
        <f>IF([2]CHAMNORD!I93=0,"",[2]CHAMNORD!I93)</f>
        <v>26164.51</v>
      </c>
      <c r="X91" s="17">
        <f t="shared" si="38"/>
        <v>8.2884286861020229E-3</v>
      </c>
      <c r="AJ91" s="39"/>
      <c r="AL91" s="5">
        <v>46110</v>
      </c>
      <c r="AM91" s="23">
        <f>IF([1]CHAMNORD!J92=0,"",[1]CHAMNORD!J92)</f>
        <v>1465</v>
      </c>
      <c r="AN91" s="22">
        <f t="shared" si="39"/>
        <v>1465</v>
      </c>
      <c r="AO91" s="24">
        <f>IF([2]CHAMNORD!J93=0,"",[2]CHAMNORD!J93)</f>
        <v>1248</v>
      </c>
      <c r="AP91" s="17">
        <f t="shared" si="40"/>
        <v>-8.9051094890510996E-2</v>
      </c>
      <c r="BB91" s="39"/>
      <c r="BD91" s="5">
        <v>46110</v>
      </c>
      <c r="BE91" s="42">
        <f t="shared" si="41"/>
        <v>19.390191126279863</v>
      </c>
      <c r="BF91" s="72">
        <f t="shared" si="42"/>
        <v>19.390191126279863</v>
      </c>
      <c r="BG91" s="43">
        <f t="shared" si="43"/>
        <v>21.377940705128204</v>
      </c>
      <c r="BH91" s="17">
        <f t="shared" si="44"/>
        <v>0.10799888193055507</v>
      </c>
      <c r="BT91" s="39"/>
    </row>
    <row r="92" spans="2:72">
      <c r="B92" s="5">
        <v>46111</v>
      </c>
      <c r="C92" s="24">
        <f>IF([1]CHAMNORD!H93=0,"",[1]CHAMNORD!H93)</f>
        <v>26433.040000000001</v>
      </c>
      <c r="D92" s="22">
        <f t="shared" si="35"/>
        <v>26433.040000000001</v>
      </c>
      <c r="E92" s="21">
        <f>IF([2]CHAMNORD!H94=0,"",[2]CHAMNORD!H94)</f>
        <v>14059.31</v>
      </c>
      <c r="F92" s="17">
        <f t="shared" si="36"/>
        <v>-7.3047568311703448E-2</v>
      </c>
      <c r="R92" s="39"/>
      <c r="T92" s="5">
        <v>46111</v>
      </c>
      <c r="U92" s="24">
        <f>IF([1]CHAMNORD!I93=0,"",[1]CHAMNORD!I93)</f>
        <v>25949.43</v>
      </c>
      <c r="V92" s="22">
        <f t="shared" si="37"/>
        <v>25949.43</v>
      </c>
      <c r="W92" s="21">
        <f>IF([2]CHAMNORD!I94=0,"",[2]CHAMNORD!I94)</f>
        <v>13780.2</v>
      </c>
      <c r="X92" s="17">
        <f t="shared" si="38"/>
        <v>-7.7705836605042822E-2</v>
      </c>
      <c r="AJ92" s="39"/>
      <c r="AL92" s="5">
        <v>46111</v>
      </c>
      <c r="AM92" s="24">
        <f>IF([1]CHAMNORD!J93=0,"",[1]CHAMNORD!J93)</f>
        <v>1370</v>
      </c>
      <c r="AN92" s="22">
        <f t="shared" si="39"/>
        <v>1370</v>
      </c>
      <c r="AO92" s="21">
        <f>IF([2]CHAMNORD!J94=0,"",[2]CHAMNORD!J94)</f>
        <v>789</v>
      </c>
      <c r="AP92" s="17">
        <f t="shared" si="40"/>
        <v>-0.19653767820773926</v>
      </c>
      <c r="BB92" s="39"/>
      <c r="BD92" s="5">
        <v>46111</v>
      </c>
      <c r="BE92" s="43">
        <f t="shared" si="41"/>
        <v>19.294189781021899</v>
      </c>
      <c r="BF92" s="72">
        <f t="shared" si="42"/>
        <v>19.294189781021899</v>
      </c>
      <c r="BG92" s="41">
        <f t="shared" si="43"/>
        <v>17.819150823827631</v>
      </c>
      <c r="BH92" s="17">
        <f t="shared" si="44"/>
        <v>0.15369744983258204</v>
      </c>
      <c r="BT92" s="39"/>
    </row>
    <row r="93" spans="2:72">
      <c r="B93" s="5">
        <v>46112</v>
      </c>
      <c r="C93" s="21">
        <f>IF([1]CHAMNORD!H94=0,"",[1]CHAMNORD!H94)</f>
        <v>15167.24</v>
      </c>
      <c r="D93" s="22">
        <f t="shared" si="35"/>
        <v>15167.24</v>
      </c>
      <c r="E93" s="23">
        <f>IF([2]CHAMNORD!H95=0,"",[2]CHAMNORD!H95)</f>
        <v>16610.93</v>
      </c>
      <c r="F93" s="17">
        <f t="shared" si="36"/>
        <v>-1.3772568856907141E-2</v>
      </c>
      <c r="R93" s="39"/>
      <c r="T93" s="5">
        <v>46112</v>
      </c>
      <c r="U93" s="21">
        <f>IF([1]CHAMNORD!I94=0,"",[1]CHAMNORD!I94)</f>
        <v>14941.22</v>
      </c>
      <c r="V93" s="22">
        <f t="shared" si="37"/>
        <v>14941.22</v>
      </c>
      <c r="W93" s="23">
        <f>IF([2]CHAMNORD!I95=0,"",[2]CHAMNORD!I95)</f>
        <v>16309.26</v>
      </c>
      <c r="X93" s="17">
        <f t="shared" si="38"/>
        <v>-1.6029017299610038E-2</v>
      </c>
      <c r="AJ93" s="39"/>
      <c r="AL93" s="5">
        <v>46112</v>
      </c>
      <c r="AM93" s="21">
        <f>IF([1]CHAMNORD!J94=0,"",[1]CHAMNORD!J94)</f>
        <v>982</v>
      </c>
      <c r="AN93" s="22">
        <f t="shared" si="39"/>
        <v>982</v>
      </c>
      <c r="AO93" s="23">
        <f>IF([2]CHAMNORD!J95=0,"",[2]CHAMNORD!J95)</f>
        <v>902</v>
      </c>
      <c r="AP93" s="17">
        <f t="shared" si="40"/>
        <v>-0.12342079689018459</v>
      </c>
      <c r="BB93" s="39"/>
      <c r="BD93" s="5">
        <v>46112</v>
      </c>
      <c r="BE93" s="41">
        <f t="shared" si="41"/>
        <v>15.445254582484726</v>
      </c>
      <c r="BF93" s="72">
        <f t="shared" si="42"/>
        <v>15.445254582484726</v>
      </c>
      <c r="BG93" s="42">
        <f t="shared" si="43"/>
        <v>18.415665188470069</v>
      </c>
      <c r="BH93" s="17">
        <f t="shared" si="44"/>
        <v>0.12508650404239763</v>
      </c>
      <c r="BT93" s="39"/>
    </row>
    <row r="94" spans="2:72">
      <c r="B94" s="5">
        <v>46113</v>
      </c>
      <c r="C94" s="23">
        <f>IF([1]CHAMNORD!H95=0,"",[1]CHAMNORD!H95)</f>
        <v>16842.900000000001</v>
      </c>
      <c r="D94" s="22">
        <f t="shared" si="35"/>
        <v>16842.900000000001</v>
      </c>
      <c r="E94" s="23">
        <f>IF([2]CHAMNORD!H96=0,"",[2]CHAMNORD!H96)</f>
        <v>17941.349999999999</v>
      </c>
      <c r="F94" s="17">
        <f t="shared" si="36"/>
        <v>-0.18031524878118765</v>
      </c>
      <c r="R94" s="39"/>
      <c r="T94" s="5">
        <v>46113</v>
      </c>
      <c r="U94" s="23">
        <f>IF([1]CHAMNORD!I95=0,"",[1]CHAMNORD!I95)</f>
        <v>16574.939999999999</v>
      </c>
      <c r="V94" s="22">
        <f t="shared" si="37"/>
        <v>16574.939999999999</v>
      </c>
      <c r="W94" s="23">
        <f>IF([2]CHAMNORD!I96=0,"",[2]CHAMNORD!I96)</f>
        <v>17551.61</v>
      </c>
      <c r="X94" s="17">
        <f t="shared" si="38"/>
        <v>-0.1830289483777513</v>
      </c>
      <c r="AJ94" s="39"/>
      <c r="AL94" s="5">
        <v>46113</v>
      </c>
      <c r="AM94" s="23">
        <f>IF([1]CHAMNORD!J95=0,"",[1]CHAMNORD!J95)</f>
        <v>1029</v>
      </c>
      <c r="AN94" s="22">
        <f t="shared" si="39"/>
        <v>1029</v>
      </c>
      <c r="AO94" s="23">
        <f>IF([2]CHAMNORD!J96=0,"",[2]CHAMNORD!J96)</f>
        <v>999</v>
      </c>
      <c r="AP94" s="17">
        <f t="shared" si="40"/>
        <v>-0.20714285714285718</v>
      </c>
      <c r="BB94" s="39"/>
      <c r="BD94" s="5">
        <v>46113</v>
      </c>
      <c r="BE94" s="42">
        <f t="shared" si="41"/>
        <v>16.368221574344023</v>
      </c>
      <c r="BF94" s="72">
        <f t="shared" si="42"/>
        <v>16.368221574344023</v>
      </c>
      <c r="BG94" s="42">
        <f t="shared" si="43"/>
        <v>17.959309309309308</v>
      </c>
      <c r="BH94" s="17">
        <f t="shared" si="44"/>
        <v>3.3836623158862489E-2</v>
      </c>
      <c r="BT94" s="39"/>
    </row>
    <row r="95" spans="2:72">
      <c r="B95" s="5">
        <v>46114</v>
      </c>
      <c r="C95" s="23">
        <f>IF([1]CHAMNORD!H96=0,"",[1]CHAMNORD!H96)</f>
        <v>21888.11</v>
      </c>
      <c r="D95" s="22">
        <f t="shared" si="35"/>
        <v>21888.11</v>
      </c>
      <c r="E95" s="23">
        <f>IF([2]CHAMNORD!H97=0,"",[2]CHAMNORD!H97)</f>
        <v>17295.75</v>
      </c>
      <c r="F95" s="17">
        <f t="shared" si="36"/>
        <v>-0.13160649597453433</v>
      </c>
      <c r="R95" s="39"/>
      <c r="T95" s="5">
        <v>46114</v>
      </c>
      <c r="U95" s="23">
        <f>IF([1]CHAMNORD!I96=0,"",[1]CHAMNORD!I96)</f>
        <v>21483.759999999998</v>
      </c>
      <c r="V95" s="22">
        <f t="shared" si="37"/>
        <v>21483.759999999998</v>
      </c>
      <c r="W95" s="23">
        <f>IF([2]CHAMNORD!I97=0,"",[2]CHAMNORD!I97)</f>
        <v>16990.04</v>
      </c>
      <c r="X95" s="17">
        <f t="shared" si="38"/>
        <v>-0.13272448932191871</v>
      </c>
      <c r="AJ95" s="39"/>
      <c r="AL95" s="5">
        <v>46114</v>
      </c>
      <c r="AM95" s="23">
        <f>IF([1]CHAMNORD!J96=0,"",[1]CHAMNORD!J96)</f>
        <v>1260</v>
      </c>
      <c r="AN95" s="22">
        <f t="shared" si="39"/>
        <v>1260</v>
      </c>
      <c r="AO95" s="23">
        <f>IF([2]CHAMNORD!J97=0,"",[2]CHAMNORD!J97)</f>
        <v>915</v>
      </c>
      <c r="AP95" s="17">
        <f t="shared" si="40"/>
        <v>-0.23750000000000004</v>
      </c>
      <c r="BB95" s="39"/>
      <c r="BD95" s="5">
        <v>46114</v>
      </c>
      <c r="BE95" s="42">
        <f t="shared" si="41"/>
        <v>17.371515873015873</v>
      </c>
      <c r="BF95" s="72">
        <f t="shared" si="42"/>
        <v>17.371515873015873</v>
      </c>
      <c r="BG95" s="42">
        <f t="shared" si="43"/>
        <v>18.902459016393443</v>
      </c>
      <c r="BH95" s="17">
        <f t="shared" si="44"/>
        <v>0.13887672659077466</v>
      </c>
      <c r="BT95" s="39"/>
    </row>
    <row r="96" spans="2:72">
      <c r="B96" s="5">
        <v>46115</v>
      </c>
      <c r="C96" s="23">
        <f>IF([1]CHAMNORD!H97=0,"",[1]CHAMNORD!H97)</f>
        <v>19916.95</v>
      </c>
      <c r="D96" s="22">
        <f t="shared" si="35"/>
        <v>19916.95</v>
      </c>
      <c r="E96" s="23">
        <f>IF([2]CHAMNORD!H98=0,"",[2]CHAMNORD!H98)</f>
        <v>25980.15</v>
      </c>
      <c r="F96" s="17">
        <f t="shared" si="36"/>
        <v>-9.3347027273764538E-2</v>
      </c>
      <c r="R96" s="39"/>
      <c r="T96" s="5">
        <v>46115</v>
      </c>
      <c r="U96" s="23">
        <f>IF([1]CHAMNORD!I97=0,"",[1]CHAMNORD!I97)</f>
        <v>19590.13</v>
      </c>
      <c r="V96" s="22">
        <f t="shared" si="37"/>
        <v>19590.13</v>
      </c>
      <c r="W96" s="23">
        <f>IF([2]CHAMNORD!I98=0,"",[2]CHAMNORD!I98)</f>
        <v>25475.34</v>
      </c>
      <c r="X96" s="17">
        <f t="shared" si="38"/>
        <v>-9.5356497579600408E-2</v>
      </c>
      <c r="AJ96" s="39"/>
      <c r="AL96" s="5">
        <v>46115</v>
      </c>
      <c r="AM96" s="23">
        <f>IF([1]CHAMNORD!J97=0,"",[1]CHAMNORD!J97)</f>
        <v>1200</v>
      </c>
      <c r="AN96" s="22">
        <f t="shared" si="39"/>
        <v>1200</v>
      </c>
      <c r="AO96" s="23">
        <f>IF([2]CHAMNORD!J98=0,"",[2]CHAMNORD!J98)</f>
        <v>1284</v>
      </c>
      <c r="AP96" s="17">
        <f t="shared" si="40"/>
        <v>-0.16460637605725437</v>
      </c>
      <c r="BB96" s="39"/>
      <c r="BD96" s="5">
        <v>46115</v>
      </c>
      <c r="BE96" s="42">
        <f t="shared" si="41"/>
        <v>16.597458333333336</v>
      </c>
      <c r="BF96" s="72">
        <f t="shared" si="42"/>
        <v>16.597458333333336</v>
      </c>
      <c r="BG96" s="42">
        <f t="shared" si="43"/>
        <v>20.233761682242992</v>
      </c>
      <c r="BH96" s="17">
        <f t="shared" si="44"/>
        <v>8.530032638646734E-2</v>
      </c>
      <c r="BT96" s="39"/>
    </row>
    <row r="97" spans="2:72">
      <c r="B97" s="5">
        <v>46116</v>
      </c>
      <c r="C97" s="23">
        <f>IF([1]CHAMNORD!H98=0,"",[1]CHAMNORD!H98)</f>
        <v>28655.01</v>
      </c>
      <c r="D97" s="22">
        <f t="shared" si="35"/>
        <v>28655.01</v>
      </c>
      <c r="E97" s="23">
        <f>IF([2]CHAMNORD!H99=0,"",[2]CHAMNORD!H99)</f>
        <v>26042.42</v>
      </c>
      <c r="F97" s="17">
        <f t="shared" si="36"/>
        <v>-3.3020542319614266E-2</v>
      </c>
      <c r="R97" s="39"/>
      <c r="T97" s="5">
        <v>46116</v>
      </c>
      <c r="U97" s="23">
        <f>IF([1]CHAMNORD!I98=0,"",[1]CHAMNORD!I98)</f>
        <v>28160.639999999999</v>
      </c>
      <c r="V97" s="22">
        <f t="shared" si="37"/>
        <v>28160.639999999999</v>
      </c>
      <c r="W97" s="23">
        <f>IF([2]CHAMNORD!I99=0,"",[2]CHAMNORD!I99)</f>
        <v>25532</v>
      </c>
      <c r="X97" s="17">
        <f t="shared" si="38"/>
        <v>-2.9908986526176018E-2</v>
      </c>
      <c r="AJ97" s="39"/>
      <c r="AL97" s="5">
        <v>46116</v>
      </c>
      <c r="AM97" s="23">
        <f>IF([1]CHAMNORD!J98=0,"",[1]CHAMNORD!J98)</f>
        <v>1537</v>
      </c>
      <c r="AN97" s="22">
        <f t="shared" si="39"/>
        <v>1537</v>
      </c>
      <c r="AO97" s="23">
        <f>IF([2]CHAMNORD!J99=0,"",[2]CHAMNORD!J99)</f>
        <v>1275</v>
      </c>
      <c r="AP97" s="17">
        <f t="shared" si="40"/>
        <v>-6.0427413411938136E-2</v>
      </c>
      <c r="BB97" s="39"/>
      <c r="BD97" s="5">
        <v>46116</v>
      </c>
      <c r="BE97" s="42">
        <f t="shared" si="41"/>
        <v>18.643467794404682</v>
      </c>
      <c r="BF97" s="72">
        <f t="shared" si="42"/>
        <v>18.643467794404682</v>
      </c>
      <c r="BG97" s="42">
        <f t="shared" si="43"/>
        <v>20.42542745098039</v>
      </c>
      <c r="BH97" s="17">
        <f t="shared" si="44"/>
        <v>2.916950907630067E-2</v>
      </c>
      <c r="BT97" s="39"/>
    </row>
    <row r="98" spans="2:72">
      <c r="B98" s="5">
        <v>46117</v>
      </c>
      <c r="C98" s="23">
        <f>IF([1]CHAMNORD!H99=0,"",[1]CHAMNORD!H99)</f>
        <v>26931.72</v>
      </c>
      <c r="D98" s="22">
        <f t="shared" si="35"/>
        <v>26931.72</v>
      </c>
      <c r="E98" s="24">
        <f>IF([2]CHAMNORD!H100=0,"",[2]CHAMNORD!H100)</f>
        <v>17848.05</v>
      </c>
      <c r="F98" s="17">
        <f t="shared" si="36"/>
        <v>-0.32624587351290757</v>
      </c>
      <c r="R98" s="39"/>
      <c r="T98" s="5">
        <v>46117</v>
      </c>
      <c r="U98" s="23">
        <f>IF([1]CHAMNORD!I99=0,"",[1]CHAMNORD!I99)</f>
        <v>26319.18</v>
      </c>
      <c r="V98" s="22">
        <f t="shared" si="37"/>
        <v>26319.18</v>
      </c>
      <c r="W98" s="24">
        <f>IF([2]CHAMNORD!I100=0,"",[2]CHAMNORD!I100)</f>
        <v>17408.310000000001</v>
      </c>
      <c r="X98" s="17">
        <f t="shared" si="38"/>
        <v>-0.33121974157450984</v>
      </c>
      <c r="AJ98" s="39"/>
      <c r="AL98" s="5">
        <v>46117</v>
      </c>
      <c r="AM98" s="23">
        <f>IF([1]CHAMNORD!J99=0,"",[1]CHAMNORD!J99)</f>
        <v>1357</v>
      </c>
      <c r="AN98" s="22">
        <f t="shared" si="39"/>
        <v>1357</v>
      </c>
      <c r="AO98" s="24">
        <f>IF([2]CHAMNORD!J100=0,"",[2]CHAMNORD!J100)</f>
        <v>909</v>
      </c>
      <c r="AP98" s="17">
        <f t="shared" si="40"/>
        <v>-0.30291411042944782</v>
      </c>
      <c r="BB98" s="39"/>
      <c r="BD98" s="5">
        <v>46117</v>
      </c>
      <c r="BE98" s="42">
        <f t="shared" si="41"/>
        <v>19.846514369933679</v>
      </c>
      <c r="BF98" s="72">
        <f t="shared" si="42"/>
        <v>19.846514369933679</v>
      </c>
      <c r="BG98" s="43">
        <f t="shared" si="43"/>
        <v>19.634818481848185</v>
      </c>
      <c r="BH98" s="17">
        <f t="shared" si="44"/>
        <v>-3.3470428009715447E-2</v>
      </c>
      <c r="BT98" s="39"/>
    </row>
    <row r="99" spans="2:72">
      <c r="B99" s="5">
        <v>46118</v>
      </c>
      <c r="C99" s="24">
        <f>IF([1]CHAMNORD!H100=0,"",[1]CHAMNORD!H100)</f>
        <v>26490.45</v>
      </c>
      <c r="D99" s="22">
        <f t="shared" si="35"/>
        <v>26490.45</v>
      </c>
      <c r="E99" s="21">
        <f>IF([2]CHAMNORD!H101=0,"",[2]CHAMNORD!H101)</f>
        <v>21202.78</v>
      </c>
      <c r="F99" s="17">
        <f t="shared" si="36"/>
        <v>0.32026237396883572</v>
      </c>
      <c r="R99" s="39"/>
      <c r="T99" s="5">
        <v>46118</v>
      </c>
      <c r="U99" s="24">
        <f>IF([1]CHAMNORD!I100=0,"",[1]CHAMNORD!I100)</f>
        <v>26029.94</v>
      </c>
      <c r="V99" s="22">
        <f t="shared" si="37"/>
        <v>26029.94</v>
      </c>
      <c r="W99" s="21">
        <f>IF([2]CHAMNORD!I101=0,"",[2]CHAMNORD!I101)</f>
        <v>20832.490000000002</v>
      </c>
      <c r="X99" s="17">
        <f t="shared" si="38"/>
        <v>0.30916310926466273</v>
      </c>
      <c r="AJ99" s="39"/>
      <c r="AL99" s="5">
        <v>46118</v>
      </c>
      <c r="AM99" s="24">
        <f>IF([1]CHAMNORD!J100=0,"",[1]CHAMNORD!J100)</f>
        <v>1304</v>
      </c>
      <c r="AN99" s="22">
        <f t="shared" si="39"/>
        <v>1304</v>
      </c>
      <c r="AO99" s="21">
        <f>IF([2]CHAMNORD!J101=0,"",[2]CHAMNORD!J101)</f>
        <v>1013</v>
      </c>
      <c r="AP99" s="17">
        <f t="shared" si="40"/>
        <v>3.964321110009994E-3</v>
      </c>
      <c r="BB99" s="39"/>
      <c r="BD99" s="5">
        <v>46118</v>
      </c>
      <c r="BE99" s="43">
        <f t="shared" si="41"/>
        <v>20.314762269938651</v>
      </c>
      <c r="BF99" s="72">
        <f t="shared" si="42"/>
        <v>20.314762269938651</v>
      </c>
      <c r="BG99" s="41">
        <f t="shared" si="43"/>
        <v>20.930681145113525</v>
      </c>
      <c r="BH99" s="17">
        <f t="shared" si="44"/>
        <v>0.31504909707261142</v>
      </c>
      <c r="BT99" s="39"/>
    </row>
    <row r="100" spans="2:72">
      <c r="B100" s="5">
        <v>46119</v>
      </c>
      <c r="C100" s="21">
        <f>IF([1]CHAMNORD!H101=0,"",[1]CHAMNORD!H101)</f>
        <v>16059.52</v>
      </c>
      <c r="D100" s="22">
        <f t="shared" si="35"/>
        <v>16059.52</v>
      </c>
      <c r="E100" s="23">
        <f>IF([2]CHAMNORD!H102=0,"",[2]CHAMNORD!H102)</f>
        <v>16443.939999999999</v>
      </c>
      <c r="F100" s="17">
        <f t="shared" si="36"/>
        <v>-6.6365426669405814E-3</v>
      </c>
      <c r="R100" s="39"/>
      <c r="T100" s="5">
        <v>46119</v>
      </c>
      <c r="U100" s="21">
        <f>IF([1]CHAMNORD!I101=0,"",[1]CHAMNORD!I101)</f>
        <v>15912.83</v>
      </c>
      <c r="V100" s="22">
        <f t="shared" si="37"/>
        <v>15912.83</v>
      </c>
      <c r="W100" s="23">
        <f>IF([2]CHAMNORD!I102=0,"",[2]CHAMNORD!I102)</f>
        <v>16088.8</v>
      </c>
      <c r="X100" s="17">
        <f t="shared" si="38"/>
        <v>-1.726841323738626E-2</v>
      </c>
      <c r="AJ100" s="39"/>
      <c r="AL100" s="5">
        <v>46119</v>
      </c>
      <c r="AM100" s="21">
        <f>IF([1]CHAMNORD!J101=0,"",[1]CHAMNORD!J101)</f>
        <v>1009</v>
      </c>
      <c r="AN100" s="22">
        <f t="shared" si="39"/>
        <v>1009</v>
      </c>
      <c r="AO100" s="23">
        <f>IF([2]CHAMNORD!J102=0,"",[2]CHAMNORD!J102)</f>
        <v>910</v>
      </c>
      <c r="AP100" s="17">
        <f t="shared" si="40"/>
        <v>-0.17197452229299359</v>
      </c>
      <c r="BB100" s="39"/>
      <c r="BD100" s="5">
        <v>46119</v>
      </c>
      <c r="BE100" s="41">
        <f t="shared" si="41"/>
        <v>15.916273538156592</v>
      </c>
      <c r="BF100" s="72">
        <f t="shared" si="42"/>
        <v>15.916273538156592</v>
      </c>
      <c r="BG100" s="42">
        <f t="shared" si="43"/>
        <v>18.070263736263733</v>
      </c>
      <c r="BH100" s="17">
        <f t="shared" si="44"/>
        <v>0.19967740616377161</v>
      </c>
      <c r="BT100" s="39"/>
    </row>
    <row r="101" spans="2:72">
      <c r="B101" s="5">
        <v>46120</v>
      </c>
      <c r="C101" s="23">
        <f>IF([1]CHAMNORD!H102=0,"",[1]CHAMNORD!H102)</f>
        <v>16553.8</v>
      </c>
      <c r="D101" s="22">
        <f t="shared" si="35"/>
        <v>16553.8</v>
      </c>
      <c r="E101" s="23">
        <f>IF([2]CHAMNORD!H103=0,"",[2]CHAMNORD!H103)</f>
        <v>17145.82</v>
      </c>
      <c r="F101" s="17">
        <f t="shared" si="36"/>
        <v>-0.15050397552062278</v>
      </c>
      <c r="R101" s="39"/>
      <c r="T101" s="5">
        <v>46120</v>
      </c>
      <c r="U101" s="23">
        <f>IF([1]CHAMNORD!I102=0,"",[1]CHAMNORD!I102)</f>
        <v>16371.51</v>
      </c>
      <c r="V101" s="22">
        <f t="shared" si="37"/>
        <v>16371.51</v>
      </c>
      <c r="W101" s="23">
        <f>IF([2]CHAMNORD!I103=0,"",[2]CHAMNORD!I103)</f>
        <v>16800.439999999999</v>
      </c>
      <c r="X101" s="17">
        <f t="shared" si="38"/>
        <v>-0.15655741861117767</v>
      </c>
      <c r="AJ101" s="39"/>
      <c r="AL101" s="5">
        <v>46120</v>
      </c>
      <c r="AM101" s="23">
        <f>IF([1]CHAMNORD!J102=0,"",[1]CHAMNORD!J102)</f>
        <v>1099</v>
      </c>
      <c r="AN101" s="22">
        <f t="shared" si="39"/>
        <v>1099</v>
      </c>
      <c r="AO101" s="23">
        <f>IF([2]CHAMNORD!J103=0,"",[2]CHAMNORD!J103)</f>
        <v>941</v>
      </c>
      <c r="AP101" s="17">
        <f t="shared" si="40"/>
        <v>-0.19709897610921501</v>
      </c>
      <c r="BB101" s="39"/>
      <c r="BD101" s="5">
        <v>46120</v>
      </c>
      <c r="BE101" s="42">
        <f t="shared" si="41"/>
        <v>15.062602365787079</v>
      </c>
      <c r="BF101" s="72">
        <f t="shared" si="42"/>
        <v>15.062602365787079</v>
      </c>
      <c r="BG101" s="42">
        <f t="shared" si="43"/>
        <v>18.22085015940489</v>
      </c>
      <c r="BH101" s="17">
        <f t="shared" si="44"/>
        <v>5.8033305727768436E-2</v>
      </c>
      <c r="BT101" s="39"/>
    </row>
    <row r="102" spans="2:72">
      <c r="B102" s="5">
        <v>46121</v>
      </c>
      <c r="C102" s="23">
        <f>IF([1]CHAMNORD!H103=0,"",[1]CHAMNORD!H103)</f>
        <v>20183.52</v>
      </c>
      <c r="D102" s="22">
        <f t="shared" si="35"/>
        <v>20183.52</v>
      </c>
      <c r="E102" s="23">
        <f>IF([2]CHAMNORD!H104=0,"",[2]CHAMNORD!H104)</f>
        <v>16954.439999999999</v>
      </c>
      <c r="F102" s="17">
        <f t="shared" si="36"/>
        <v>-6.5047904435971859E-2</v>
      </c>
      <c r="R102" s="39"/>
      <c r="T102" s="5">
        <v>46121</v>
      </c>
      <c r="U102" s="23">
        <f>IF([1]CHAMNORD!I103=0,"",[1]CHAMNORD!I103)</f>
        <v>19918.89</v>
      </c>
      <c r="V102" s="22">
        <f t="shared" si="37"/>
        <v>19918.89</v>
      </c>
      <c r="W102" s="23">
        <f>IF([2]CHAMNORD!I104=0,"",[2]CHAMNORD!I104)</f>
        <v>16616.54</v>
      </c>
      <c r="X102" s="17">
        <f t="shared" si="38"/>
        <v>-7.4220417077559886E-2</v>
      </c>
      <c r="AJ102" s="39"/>
      <c r="AL102" s="5">
        <v>46121</v>
      </c>
      <c r="AM102" s="23">
        <f>IF([1]CHAMNORD!J103=0,"",[1]CHAMNORD!J103)</f>
        <v>1172</v>
      </c>
      <c r="AN102" s="22">
        <f t="shared" si="39"/>
        <v>1172</v>
      </c>
      <c r="AO102" s="23">
        <f>IF([2]CHAMNORD!J104=0,"",[2]CHAMNORD!J104)</f>
        <v>928</v>
      </c>
      <c r="AP102" s="17">
        <f t="shared" si="40"/>
        <v>-0.17803365810451732</v>
      </c>
      <c r="BB102" s="39"/>
      <c r="BD102" s="5">
        <v>46121</v>
      </c>
      <c r="BE102" s="42">
        <f t="shared" si="41"/>
        <v>17.221433447098978</v>
      </c>
      <c r="BF102" s="72">
        <f t="shared" si="42"/>
        <v>17.221433447098978</v>
      </c>
      <c r="BG102" s="42">
        <f t="shared" si="43"/>
        <v>18.269870689655171</v>
      </c>
      <c r="BH102" s="17">
        <f t="shared" si="44"/>
        <v>0.13745788350408161</v>
      </c>
      <c r="BT102" s="39"/>
    </row>
    <row r="103" spans="2:72">
      <c r="B103" s="5">
        <v>46122</v>
      </c>
      <c r="C103" s="23">
        <f>IF([1]CHAMNORD!H104=0,"",[1]CHAMNORD!H104)</f>
        <v>18134.02</v>
      </c>
      <c r="D103" s="22">
        <f t="shared" si="35"/>
        <v>18134.02</v>
      </c>
      <c r="E103" s="23">
        <f>IF([2]CHAMNORD!H105=0,"",[2]CHAMNORD!H105)</f>
        <v>24229.86</v>
      </c>
      <c r="F103" s="17">
        <f t="shared" si="36"/>
        <v>1.1861777963753317E-2</v>
      </c>
      <c r="R103" s="39"/>
      <c r="T103" s="5">
        <v>46122</v>
      </c>
      <c r="U103" s="23">
        <f>IF([1]CHAMNORD!I104=0,"",[1]CHAMNORD!I104)</f>
        <v>17948.7</v>
      </c>
      <c r="V103" s="22">
        <f t="shared" si="37"/>
        <v>17948.7</v>
      </c>
      <c r="W103" s="23">
        <f>IF([2]CHAMNORD!I105=0,"",[2]CHAMNORD!I105)</f>
        <v>23718.1</v>
      </c>
      <c r="X103" s="17">
        <f t="shared" si="38"/>
        <v>1.4691965836537646E-2</v>
      </c>
      <c r="AJ103" s="39"/>
      <c r="AL103" s="5">
        <v>46122</v>
      </c>
      <c r="AM103" s="23">
        <f>IF([1]CHAMNORD!J104=0,"",[1]CHAMNORD!J104)</f>
        <v>1129</v>
      </c>
      <c r="AN103" s="22">
        <f t="shared" si="39"/>
        <v>1129</v>
      </c>
      <c r="AO103" s="23">
        <f>IF([2]CHAMNORD!J105=0,"",[2]CHAMNORD!J105)</f>
        <v>1193</v>
      </c>
      <c r="AP103" s="17">
        <f t="shared" si="40"/>
        <v>-9.8261526832955415E-2</v>
      </c>
      <c r="BB103" s="39"/>
      <c r="BD103" s="5">
        <v>46122</v>
      </c>
      <c r="BE103" s="42">
        <f t="shared" si="41"/>
        <v>16.062019486271037</v>
      </c>
      <c r="BF103" s="72">
        <f t="shared" si="42"/>
        <v>16.062019486271037</v>
      </c>
      <c r="BG103" s="42">
        <f t="shared" si="43"/>
        <v>20.310025146689021</v>
      </c>
      <c r="BH103" s="17">
        <f t="shared" si="44"/>
        <v>0.12212332962786721</v>
      </c>
      <c r="BT103" s="39"/>
    </row>
    <row r="104" spans="2:72">
      <c r="B104" s="5">
        <v>46123</v>
      </c>
      <c r="C104" s="23">
        <f>IF([1]CHAMNORD!H105=0,"",[1]CHAMNORD!H105)</f>
        <v>23945.82</v>
      </c>
      <c r="D104" s="22">
        <f t="shared" si="35"/>
        <v>23945.82</v>
      </c>
      <c r="E104" s="23">
        <f>IF([2]CHAMNORD!H106=0,"",[2]CHAMNORD!H106)</f>
        <v>23958.57</v>
      </c>
      <c r="F104" s="17">
        <f t="shared" si="36"/>
        <v>-0.18132230489978463</v>
      </c>
      <c r="R104" s="39"/>
      <c r="T104" s="5">
        <v>46123</v>
      </c>
      <c r="U104" s="23">
        <f>IF([1]CHAMNORD!I105=0,"",[1]CHAMNORD!I105)</f>
        <v>23374.68</v>
      </c>
      <c r="V104" s="22">
        <f t="shared" si="37"/>
        <v>23374.68</v>
      </c>
      <c r="W104" s="23">
        <f>IF([2]CHAMNORD!I106=0,"",[2]CHAMNORD!I106)</f>
        <v>23473.47</v>
      </c>
      <c r="X104" s="17">
        <f t="shared" si="38"/>
        <v>-0.18771776897983494</v>
      </c>
      <c r="AJ104" s="39"/>
      <c r="AL104" s="5">
        <v>46123</v>
      </c>
      <c r="AM104" s="23">
        <f>IF([1]CHAMNORD!J105=0,"",[1]CHAMNORD!J105)</f>
        <v>1323</v>
      </c>
      <c r="AN104" s="22">
        <f t="shared" si="39"/>
        <v>1323</v>
      </c>
      <c r="AO104" s="23">
        <f>IF([2]CHAMNORD!J106=0,"",[2]CHAMNORD!J106)</f>
        <v>1169</v>
      </c>
      <c r="AP104" s="17">
        <f t="shared" si="40"/>
        <v>-0.20150273224043713</v>
      </c>
      <c r="BB104" s="39"/>
      <c r="BD104" s="5">
        <v>46123</v>
      </c>
      <c r="BE104" s="42">
        <f t="shared" si="41"/>
        <v>18.099637188208618</v>
      </c>
      <c r="BF104" s="72">
        <f t="shared" si="42"/>
        <v>18.099637188208618</v>
      </c>
      <c r="BG104" s="42">
        <f t="shared" si="43"/>
        <v>20.494927288280582</v>
      </c>
      <c r="BH104" s="17">
        <f t="shared" si="44"/>
        <v>2.5273007379568391E-2</v>
      </c>
      <c r="BT104" s="39"/>
    </row>
    <row r="105" spans="2:72">
      <c r="B105" s="5">
        <v>46124</v>
      </c>
      <c r="C105" s="23">
        <f>IF([1]CHAMNORD!H106=0,"",[1]CHAMNORD!H106)</f>
        <v>29264.959999999999</v>
      </c>
      <c r="D105" s="22">
        <f t="shared" si="35"/>
        <v>29264.959999999999</v>
      </c>
      <c r="E105" s="24">
        <f>IF([2]CHAMNORD!H107=0,"",[2]CHAMNORD!H107)</f>
        <v>24242.959999999999</v>
      </c>
      <c r="F105" s="17">
        <f t="shared" si="36"/>
        <v>-2.7317252057370123E-2</v>
      </c>
      <c r="R105" s="39"/>
      <c r="T105" s="5">
        <v>46124</v>
      </c>
      <c r="U105" s="23">
        <f>IF([1]CHAMNORD!I106=0,"",[1]CHAMNORD!I106)</f>
        <v>28898.17</v>
      </c>
      <c r="V105" s="22">
        <f t="shared" si="37"/>
        <v>28898.17</v>
      </c>
      <c r="W105" s="24">
        <f>IF([2]CHAMNORD!I107=0,"",[2]CHAMNORD!I107)</f>
        <v>23759.38</v>
      </c>
      <c r="X105" s="17">
        <f t="shared" si="38"/>
        <v>-3.3759124829703668E-2</v>
      </c>
      <c r="AJ105" s="39"/>
      <c r="AL105" s="5">
        <v>46124</v>
      </c>
      <c r="AM105" s="23">
        <f>IF([1]CHAMNORD!J106=0,"",[1]CHAMNORD!J106)</f>
        <v>1464</v>
      </c>
      <c r="AN105" s="22">
        <f t="shared" si="39"/>
        <v>1464</v>
      </c>
      <c r="AO105" s="24">
        <f>IF([2]CHAMNORD!J107=0,"",[2]CHAMNORD!J107)</f>
        <v>1131</v>
      </c>
      <c r="AP105" s="17">
        <f t="shared" si="40"/>
        <v>-9.5923261390887249E-2</v>
      </c>
      <c r="BB105" s="39"/>
      <c r="BD105" s="5">
        <v>46124</v>
      </c>
      <c r="BE105" s="42">
        <f t="shared" si="41"/>
        <v>19.989726775956285</v>
      </c>
      <c r="BF105" s="72">
        <f t="shared" si="42"/>
        <v>19.989726775956285</v>
      </c>
      <c r="BG105" s="43">
        <f t="shared" si="43"/>
        <v>21.434977895667551</v>
      </c>
      <c r="BH105" s="17">
        <f t="shared" si="44"/>
        <v>7.5885161517444732E-2</v>
      </c>
      <c r="BT105" s="39"/>
    </row>
    <row r="106" spans="2:72">
      <c r="B106" s="5">
        <v>46125</v>
      </c>
      <c r="C106" s="24">
        <f>IF([1]CHAMNORD!H107=0,"",[1]CHAMNORD!H107)</f>
        <v>24923.81</v>
      </c>
      <c r="D106" s="22">
        <f t="shared" si="35"/>
        <v>24923.81</v>
      </c>
      <c r="E106" s="21">
        <f>IF([2]CHAMNORD!H108=0,"",[2]CHAMNORD!H108)</f>
        <v>15895.22</v>
      </c>
      <c r="F106" s="17">
        <f t="shared" si="36"/>
        <v>9.812978546868667E-2</v>
      </c>
      <c r="R106" s="39"/>
      <c r="T106" s="5">
        <v>46125</v>
      </c>
      <c r="U106" s="24">
        <f>IF([1]CHAMNORD!I107=0,"",[1]CHAMNORD!I107)</f>
        <v>24589.5</v>
      </c>
      <c r="V106" s="22">
        <f t="shared" si="37"/>
        <v>24589.5</v>
      </c>
      <c r="W106" s="21">
        <f>IF([2]CHAMNORD!I108=0,"",[2]CHAMNORD!I108)</f>
        <v>15559.22</v>
      </c>
      <c r="X106" s="17">
        <f t="shared" si="38"/>
        <v>8.4329675047180475E-2</v>
      </c>
      <c r="AJ106" s="39"/>
      <c r="AL106" s="5">
        <v>46125</v>
      </c>
      <c r="AM106" s="24">
        <f>IF([1]CHAMNORD!J107=0,"",[1]CHAMNORD!J107)</f>
        <v>1251</v>
      </c>
      <c r="AN106" s="22">
        <f t="shared" si="39"/>
        <v>1251</v>
      </c>
      <c r="AO106" s="21">
        <f>IF([2]CHAMNORD!J108=0,"",[2]CHAMNORD!J108)</f>
        <v>842</v>
      </c>
      <c r="AP106" s="17">
        <f t="shared" si="40"/>
        <v>-0.13106295149638802</v>
      </c>
      <c r="BB106" s="39"/>
      <c r="BD106" s="5">
        <v>46125</v>
      </c>
      <c r="BE106" s="43">
        <f t="shared" si="41"/>
        <v>19.923109512390088</v>
      </c>
      <c r="BF106" s="72">
        <f t="shared" si="42"/>
        <v>19.923109512390088</v>
      </c>
      <c r="BG106" s="41">
        <f t="shared" si="43"/>
        <v>18.877933491686459</v>
      </c>
      <c r="BH106" s="17">
        <f t="shared" si="44"/>
        <v>0.26376218778997296</v>
      </c>
      <c r="BT106" s="39"/>
    </row>
    <row r="107" spans="2:72">
      <c r="B107" s="5">
        <v>46126</v>
      </c>
      <c r="C107" s="21">
        <f>IF([1]CHAMNORD!H108=0,"",[1]CHAMNORD!H108)</f>
        <v>14474.81</v>
      </c>
      <c r="D107" s="22">
        <f t="shared" si="35"/>
        <v>14474.81</v>
      </c>
      <c r="E107" s="23">
        <f>IF([2]CHAMNORD!H109=0,"",[2]CHAMNORD!H109)</f>
        <v>17595.63</v>
      </c>
      <c r="F107" s="17">
        <f t="shared" si="36"/>
        <v>1.4215220349749202E-2</v>
      </c>
      <c r="R107" s="39"/>
      <c r="T107" s="5">
        <v>46126</v>
      </c>
      <c r="U107" s="21">
        <f>IF([1]CHAMNORD!I108=0,"",[1]CHAMNORD!I108)</f>
        <v>14349.16</v>
      </c>
      <c r="V107" s="22">
        <f t="shared" si="37"/>
        <v>14349.16</v>
      </c>
      <c r="W107" s="23">
        <f>IF([2]CHAMNORD!I109=0,"",[2]CHAMNORD!I109)</f>
        <v>17214.490000000002</v>
      </c>
      <c r="X107" s="17">
        <f t="shared" si="38"/>
        <v>2.2298309462112087E-3</v>
      </c>
      <c r="AJ107" s="39"/>
      <c r="AL107" s="5">
        <v>46126</v>
      </c>
      <c r="AM107" s="21">
        <f>IF([1]CHAMNORD!J108=0,"",[1]CHAMNORD!J108)</f>
        <v>969</v>
      </c>
      <c r="AN107" s="22">
        <f t="shared" si="39"/>
        <v>969</v>
      </c>
      <c r="AO107" s="23">
        <f>IF([2]CHAMNORD!J109=0,"",[2]CHAMNORD!J109)</f>
        <v>987</v>
      </c>
      <c r="AP107" s="17">
        <f t="shared" si="40"/>
        <v>-9.1996320147194166E-2</v>
      </c>
      <c r="BB107" s="39"/>
      <c r="BD107" s="5">
        <v>46126</v>
      </c>
      <c r="BE107" s="41">
        <f t="shared" si="41"/>
        <v>14.937884416924664</v>
      </c>
      <c r="BF107" s="72">
        <f t="shared" si="42"/>
        <v>14.937884416924664</v>
      </c>
      <c r="BG107" s="42">
        <f t="shared" si="43"/>
        <v>17.827386018237082</v>
      </c>
      <c r="BH107" s="17">
        <f t="shared" si="44"/>
        <v>0.11697258816633971</v>
      </c>
      <c r="BT107" s="39"/>
    </row>
    <row r="108" spans="2:72">
      <c r="B108" s="5">
        <v>46127</v>
      </c>
      <c r="C108" s="23">
        <f>IF([1]CHAMNORD!H109=0,"",[1]CHAMNORD!H109)</f>
        <v>17349.009999999998</v>
      </c>
      <c r="D108" s="22">
        <f t="shared" si="35"/>
        <v>17349.009999999998</v>
      </c>
      <c r="E108" s="23">
        <f>IF([2]CHAMNORD!H110=0,"",[2]CHAMNORD!H110)</f>
        <v>16930.09</v>
      </c>
      <c r="F108" s="17">
        <f t="shared" si="36"/>
        <v>-0.16053067269745891</v>
      </c>
      <c r="R108" s="39"/>
      <c r="T108" s="5">
        <v>46127</v>
      </c>
      <c r="U108" s="23">
        <f>IF([1]CHAMNORD!I109=0,"",[1]CHAMNORD!I109)</f>
        <v>17176.189999999999</v>
      </c>
      <c r="V108" s="22">
        <f t="shared" si="37"/>
        <v>17176.189999999999</v>
      </c>
      <c r="W108" s="23">
        <f>IF([2]CHAMNORD!I110=0,"",[2]CHAMNORD!I110)</f>
        <v>16516.32</v>
      </c>
      <c r="X108" s="17">
        <f t="shared" si="38"/>
        <v>-0.16912354696277676</v>
      </c>
      <c r="AJ108" s="39"/>
      <c r="AL108" s="5">
        <v>46127</v>
      </c>
      <c r="AM108" s="23">
        <f>IF([1]CHAMNORD!J109=0,"",[1]CHAMNORD!J109)</f>
        <v>1087</v>
      </c>
      <c r="AN108" s="22">
        <f t="shared" si="39"/>
        <v>1087</v>
      </c>
      <c r="AO108" s="23">
        <f>IF([2]CHAMNORD!J110=0,"",[2]CHAMNORD!J110)</f>
        <v>900</v>
      </c>
      <c r="AP108" s="17">
        <f t="shared" si="40"/>
        <v>-0.23076923076923073</v>
      </c>
      <c r="BB108" s="39"/>
      <c r="BD108" s="5">
        <v>46127</v>
      </c>
      <c r="BE108" s="42">
        <f t="shared" si="41"/>
        <v>15.960450781968719</v>
      </c>
      <c r="BF108" s="72">
        <f t="shared" si="42"/>
        <v>15.960450781968719</v>
      </c>
      <c r="BG108" s="42">
        <f t="shared" si="43"/>
        <v>18.81121111111111</v>
      </c>
      <c r="BH108" s="17">
        <f t="shared" si="44"/>
        <v>9.1310125493303307E-2</v>
      </c>
      <c r="BT108" s="39"/>
    </row>
    <row r="109" spans="2:72">
      <c r="B109" s="5">
        <v>46128</v>
      </c>
      <c r="C109" s="23">
        <f>IF([1]CHAMNORD!H110=0,"",[1]CHAMNORD!H110)</f>
        <v>20167.61</v>
      </c>
      <c r="D109" s="22">
        <f t="shared" si="35"/>
        <v>20167.61</v>
      </c>
      <c r="E109" s="23">
        <f>IF([2]CHAMNORD!H111=0,"",[2]CHAMNORD!H111)</f>
        <v>17229.62</v>
      </c>
      <c r="F109" s="17">
        <f t="shared" si="36"/>
        <v>-8.6060227996666683E-2</v>
      </c>
      <c r="R109" s="39"/>
      <c r="T109" s="5">
        <v>46128</v>
      </c>
      <c r="U109" s="23">
        <f>IF([1]CHAMNORD!I110=0,"",[1]CHAMNORD!I110)</f>
        <v>19878.189999999999</v>
      </c>
      <c r="V109" s="22">
        <f t="shared" si="37"/>
        <v>19878.189999999999</v>
      </c>
      <c r="W109" s="23">
        <f>IF([2]CHAMNORD!I111=0,"",[2]CHAMNORD!I111)</f>
        <v>16946.919999999998</v>
      </c>
      <c r="X109" s="17">
        <f t="shared" si="38"/>
        <v>-9.1791302334654712E-2</v>
      </c>
      <c r="AJ109" s="39"/>
      <c r="AL109" s="5">
        <v>46128</v>
      </c>
      <c r="AM109" s="23">
        <f>IF([1]CHAMNORD!J110=0,"",[1]CHAMNORD!J110)</f>
        <v>1170</v>
      </c>
      <c r="AN109" s="22">
        <f t="shared" si="39"/>
        <v>1170</v>
      </c>
      <c r="AO109" s="23">
        <f>IF([2]CHAMNORD!J111=0,"",[2]CHAMNORD!J111)</f>
        <v>934</v>
      </c>
      <c r="AP109" s="17">
        <f t="shared" si="40"/>
        <v>-0.16532618409294009</v>
      </c>
      <c r="BB109" s="39"/>
      <c r="BD109" s="5">
        <v>46128</v>
      </c>
      <c r="BE109" s="42">
        <f t="shared" si="41"/>
        <v>17.237273504273503</v>
      </c>
      <c r="BF109" s="72">
        <f t="shared" si="42"/>
        <v>17.237273504273503</v>
      </c>
      <c r="BG109" s="42">
        <f t="shared" si="43"/>
        <v>18.447130620985011</v>
      </c>
      <c r="BH109" s="17">
        <f t="shared" si="44"/>
        <v>9.4966386372302036E-2</v>
      </c>
      <c r="BT109" s="39"/>
    </row>
    <row r="110" spans="2:72">
      <c r="B110" s="5">
        <v>46129</v>
      </c>
      <c r="C110" s="23">
        <f>IF([1]CHAMNORD!H111=0,"",[1]CHAMNORD!H111)</f>
        <v>18852.03</v>
      </c>
      <c r="D110" s="22">
        <f t="shared" si="35"/>
        <v>18852.03</v>
      </c>
      <c r="E110" s="23">
        <f>IF([2]CHAMNORD!H112=0,"",[2]CHAMNORD!H112)</f>
        <v>23193.54</v>
      </c>
      <c r="F110" s="17">
        <f t="shared" si="36"/>
        <v>-0.14643271427561999</v>
      </c>
      <c r="R110" s="39"/>
      <c r="T110" s="5">
        <v>46129</v>
      </c>
      <c r="U110" s="23">
        <f>IF([1]CHAMNORD!I111=0,"",[1]CHAMNORD!I111)</f>
        <v>18659.72</v>
      </c>
      <c r="V110" s="22">
        <f t="shared" si="37"/>
        <v>18659.72</v>
      </c>
      <c r="W110" s="23">
        <f>IF([2]CHAMNORD!I112=0,"",[2]CHAMNORD!I112)</f>
        <v>22793.56</v>
      </c>
      <c r="X110" s="17">
        <f t="shared" si="38"/>
        <v>-0.15229209854338988</v>
      </c>
      <c r="AJ110" s="39"/>
      <c r="AL110" s="5">
        <v>46129</v>
      </c>
      <c r="AM110" s="23">
        <f>IF([1]CHAMNORD!J111=0,"",[1]CHAMNORD!J111)</f>
        <v>1119</v>
      </c>
      <c r="AN110" s="22">
        <f t="shared" si="39"/>
        <v>1119</v>
      </c>
      <c r="AO110" s="23">
        <f>IF([2]CHAMNORD!J112=0,"",[2]CHAMNORD!J112)</f>
        <v>1160</v>
      </c>
      <c r="AP110" s="17">
        <f t="shared" si="40"/>
        <v>-0.20274914089347074</v>
      </c>
      <c r="BB110" s="39"/>
      <c r="BD110" s="5">
        <v>46129</v>
      </c>
      <c r="BE110" s="42">
        <f t="shared" si="41"/>
        <v>16.847211796246647</v>
      </c>
      <c r="BF110" s="72">
        <f t="shared" si="42"/>
        <v>16.847211796246647</v>
      </c>
      <c r="BG110" s="42">
        <f t="shared" si="43"/>
        <v>19.994431034482758</v>
      </c>
      <c r="BH110" s="17">
        <f t="shared" si="44"/>
        <v>7.0638276490493812E-2</v>
      </c>
      <c r="BT110" s="39"/>
    </row>
    <row r="111" spans="2:72">
      <c r="B111" s="5">
        <v>46130</v>
      </c>
      <c r="C111" s="23">
        <f>IF([1]CHAMNORD!H112=0,"",[1]CHAMNORD!H112)</f>
        <v>27172.48</v>
      </c>
      <c r="D111" s="22">
        <f t="shared" si="35"/>
        <v>27172.48</v>
      </c>
      <c r="E111" s="23">
        <f>IF([2]CHAMNORD!H113=0,"",[2]CHAMNORD!H113)</f>
        <v>22770.86</v>
      </c>
      <c r="F111" s="17">
        <f t="shared" si="36"/>
        <v>-7.0842616395315638E-2</v>
      </c>
      <c r="R111" s="39"/>
      <c r="T111" s="5">
        <v>46130</v>
      </c>
      <c r="U111" s="23">
        <f>IF([1]CHAMNORD!I112=0,"",[1]CHAMNORD!I112)</f>
        <v>26888.46</v>
      </c>
      <c r="V111" s="22">
        <f t="shared" si="37"/>
        <v>26888.46</v>
      </c>
      <c r="W111" s="23">
        <f>IF([2]CHAMNORD!I113=0,"",[2]CHAMNORD!I113)</f>
        <v>22330.67</v>
      </c>
      <c r="X111" s="17">
        <f t="shared" si="38"/>
        <v>-7.5968579736387931E-2</v>
      </c>
      <c r="AJ111" s="39"/>
      <c r="AL111" s="5">
        <v>46130</v>
      </c>
      <c r="AM111" s="23">
        <f>IF([1]CHAMNORD!J112=0,"",[1]CHAMNORD!J112)</f>
        <v>1455</v>
      </c>
      <c r="AN111" s="22">
        <f t="shared" si="39"/>
        <v>1455</v>
      </c>
      <c r="AO111" s="23">
        <f>IF([2]CHAMNORD!J113=0,"",[2]CHAMNORD!J113)</f>
        <v>1144</v>
      </c>
      <c r="AP111" s="17">
        <f t="shared" si="40"/>
        <v>-0.11455108359133126</v>
      </c>
      <c r="BB111" s="39"/>
      <c r="BD111" s="5">
        <v>46130</v>
      </c>
      <c r="BE111" s="42">
        <f t="shared" si="41"/>
        <v>18.675243986254294</v>
      </c>
      <c r="BF111" s="72">
        <f t="shared" si="42"/>
        <v>18.675243986254294</v>
      </c>
      <c r="BG111" s="42">
        <f t="shared" si="43"/>
        <v>19.904597902097901</v>
      </c>
      <c r="BH111" s="17">
        <f t="shared" si="44"/>
        <v>4.9363059105989482E-2</v>
      </c>
      <c r="BT111" s="39"/>
    </row>
    <row r="112" spans="2:72">
      <c r="B112" s="5">
        <v>46131</v>
      </c>
      <c r="C112" s="23">
        <f>IF([1]CHAMNORD!H113=0,"",[1]CHAMNORD!H113)</f>
        <v>24507</v>
      </c>
      <c r="D112" s="22">
        <f t="shared" si="35"/>
        <v>24507</v>
      </c>
      <c r="E112" s="24">
        <f>IF([2]CHAMNORD!H114=0,"",[2]CHAMNORD!H114)</f>
        <v>22127</v>
      </c>
      <c r="F112" s="17">
        <f t="shared" si="36"/>
        <v>0.15273129644370909</v>
      </c>
      <c r="R112" s="39"/>
      <c r="T112" s="5">
        <v>46131</v>
      </c>
      <c r="U112" s="23">
        <f>IF([1]CHAMNORD!I113=0,"",[1]CHAMNORD!I113)</f>
        <v>24166.57</v>
      </c>
      <c r="V112" s="22">
        <f t="shared" si="37"/>
        <v>24166.57</v>
      </c>
      <c r="W112" s="24">
        <f>IF([2]CHAMNORD!I114=0,"",[2]CHAMNORD!I114)</f>
        <v>21673.96</v>
      </c>
      <c r="X112" s="17">
        <f t="shared" si="38"/>
        <v>0.14361604737831568</v>
      </c>
      <c r="AJ112" s="39"/>
      <c r="AL112" s="5">
        <v>46131</v>
      </c>
      <c r="AM112" s="23">
        <f>IF([1]CHAMNORD!J113=0,"",[1]CHAMNORD!J113)</f>
        <v>1292</v>
      </c>
      <c r="AN112" s="22">
        <f t="shared" si="39"/>
        <v>1292</v>
      </c>
      <c r="AO112" s="24">
        <f>IF([2]CHAMNORD!J114=0,"",[2]CHAMNORD!J114)</f>
        <v>1032</v>
      </c>
      <c r="AP112" s="17">
        <f t="shared" si="40"/>
        <v>8.4033613445378075E-2</v>
      </c>
      <c r="BB112" s="39"/>
      <c r="BD112" s="5">
        <v>46131</v>
      </c>
      <c r="BE112" s="42">
        <f t="shared" si="41"/>
        <v>18.96826625386997</v>
      </c>
      <c r="BF112" s="72">
        <f t="shared" si="42"/>
        <v>18.96826625386997</v>
      </c>
      <c r="BG112" s="43">
        <f t="shared" si="43"/>
        <v>21.440891472868216</v>
      </c>
      <c r="BH112" s="17">
        <f t="shared" si="44"/>
        <v>6.3372281215514636E-2</v>
      </c>
      <c r="BT112" s="39"/>
    </row>
    <row r="113" spans="2:72">
      <c r="B113" s="5">
        <v>46132</v>
      </c>
      <c r="C113" s="24">
        <f>IF([1]CHAMNORD!H114=0,"",[1]CHAMNORD!H114)</f>
        <v>19195.28</v>
      </c>
      <c r="D113" s="22">
        <f t="shared" si="35"/>
        <v>19195.28</v>
      </c>
      <c r="E113" s="21">
        <f>IF([2]CHAMNORD!H115=0,"",[2]CHAMNORD!H115)</f>
        <v>13467.91</v>
      </c>
      <c r="F113" s="17">
        <f t="shared" si="36"/>
        <v>-0.37655520842350465</v>
      </c>
      <c r="R113" s="39"/>
      <c r="T113" s="5">
        <v>46132</v>
      </c>
      <c r="U113" s="24">
        <f>IF([1]CHAMNORD!I114=0,"",[1]CHAMNORD!I114)</f>
        <v>18952.13</v>
      </c>
      <c r="V113" s="22">
        <f t="shared" si="37"/>
        <v>18952.13</v>
      </c>
      <c r="W113" s="21">
        <f>IF([2]CHAMNORD!I115=0,"",[2]CHAMNORD!I115)</f>
        <v>13253.47</v>
      </c>
      <c r="X113" s="17">
        <f t="shared" si="38"/>
        <v>-0.37865087681052412</v>
      </c>
      <c r="AJ113" s="39"/>
      <c r="AL113" s="5">
        <v>46132</v>
      </c>
      <c r="AM113" s="24">
        <f>IF([1]CHAMNORD!J114=0,"",[1]CHAMNORD!J114)</f>
        <v>952</v>
      </c>
      <c r="AN113" s="22">
        <f t="shared" si="39"/>
        <v>952</v>
      </c>
      <c r="AO113" s="21">
        <f>IF([2]CHAMNORD!J115=0,"",[2]CHAMNORD!J115)</f>
        <v>809</v>
      </c>
      <c r="AP113" s="17">
        <f t="shared" si="40"/>
        <v>-0.27182718271827178</v>
      </c>
      <c r="BB113" s="39"/>
      <c r="BD113" s="5">
        <v>46132</v>
      </c>
      <c r="BE113" s="43">
        <f t="shared" si="41"/>
        <v>20.163109243697477</v>
      </c>
      <c r="BF113" s="72">
        <f t="shared" si="42"/>
        <v>20.163109243697477</v>
      </c>
      <c r="BG113" s="41">
        <f t="shared" si="43"/>
        <v>16.647601977750309</v>
      </c>
      <c r="BH113" s="17">
        <f t="shared" si="44"/>
        <v>-0.14382303653709971</v>
      </c>
      <c r="BT113" s="39"/>
    </row>
    <row r="114" spans="2:72">
      <c r="B114" s="5">
        <v>46133</v>
      </c>
      <c r="C114" s="21">
        <f>IF([1]CHAMNORD!H115=0,"",[1]CHAMNORD!H115)</f>
        <v>21602.41</v>
      </c>
      <c r="D114" s="22">
        <f t="shared" si="35"/>
        <v>21602.41</v>
      </c>
      <c r="E114" s="23">
        <f>IF([2]CHAMNORD!H116=0,"",[2]CHAMNORD!H116)</f>
        <v>14194.36</v>
      </c>
      <c r="F114" s="17">
        <f t="shared" si="36"/>
        <v>-0.20028756015015781</v>
      </c>
      <c r="R114" s="39"/>
      <c r="T114" s="5">
        <v>46133</v>
      </c>
      <c r="U114" s="21">
        <f>IF([1]CHAMNORD!I115=0,"",[1]CHAMNORD!I115)</f>
        <v>21330.15</v>
      </c>
      <c r="V114" s="22">
        <f t="shared" si="37"/>
        <v>21330.15</v>
      </c>
      <c r="W114" s="23">
        <f>IF([2]CHAMNORD!I116=0,"",[2]CHAMNORD!I116)</f>
        <v>13975.44</v>
      </c>
      <c r="X114" s="17">
        <f t="shared" si="38"/>
        <v>-0.20397935139032952</v>
      </c>
      <c r="AJ114" s="39"/>
      <c r="AL114" s="5">
        <v>46133</v>
      </c>
      <c r="AM114" s="21">
        <f>IF([1]CHAMNORD!J115=0,"",[1]CHAMNORD!J115)</f>
        <v>1111</v>
      </c>
      <c r="AN114" s="22">
        <f t="shared" si="39"/>
        <v>1111</v>
      </c>
      <c r="AO114" s="23">
        <f>IF([2]CHAMNORD!J116=0,"",[2]CHAMNORD!J116)</f>
        <v>823</v>
      </c>
      <c r="AP114" s="17">
        <f t="shared" si="40"/>
        <v>-0.21768060836501901</v>
      </c>
      <c r="BB114" s="39"/>
      <c r="BD114" s="5">
        <v>46133</v>
      </c>
      <c r="BE114" s="41">
        <f t="shared" si="41"/>
        <v>19.444113411341135</v>
      </c>
      <c r="BF114" s="72">
        <f t="shared" si="42"/>
        <v>19.444113411341135</v>
      </c>
      <c r="BG114" s="42">
        <f t="shared" si="43"/>
        <v>17.247095990279465</v>
      </c>
      <c r="BH114" s="17">
        <f t="shared" si="44"/>
        <v>2.2232669164075292E-2</v>
      </c>
      <c r="BT114" s="39"/>
    </row>
    <row r="115" spans="2:72">
      <c r="B115" s="5">
        <v>46134</v>
      </c>
      <c r="C115" s="23">
        <f>IF([1]CHAMNORD!H116=0,"",[1]CHAMNORD!H116)</f>
        <v>17749.330000000002</v>
      </c>
      <c r="D115" s="22">
        <f t="shared" si="35"/>
        <v>17749.330000000002</v>
      </c>
      <c r="E115" s="23">
        <f>IF([2]CHAMNORD!H117=0,"",[2]CHAMNORD!H117)</f>
        <v>16727.27</v>
      </c>
      <c r="F115" s="17">
        <f t="shared" si="36"/>
        <v>-1.2875432638259854E-2</v>
      </c>
      <c r="R115" s="39"/>
      <c r="T115" s="5">
        <v>46134</v>
      </c>
      <c r="U115" s="23">
        <f>IF([1]CHAMNORD!I116=0,"",[1]CHAMNORD!I116)</f>
        <v>17556.63</v>
      </c>
      <c r="V115" s="22">
        <f t="shared" si="37"/>
        <v>17556.63</v>
      </c>
      <c r="W115" s="23">
        <f>IF([2]CHAMNORD!I117=0,"",[2]CHAMNORD!I117)</f>
        <v>16445.59</v>
      </c>
      <c r="X115" s="17">
        <f t="shared" si="38"/>
        <v>-1.7640031300587222E-2</v>
      </c>
      <c r="AJ115" s="39"/>
      <c r="AL115" s="5">
        <v>46134</v>
      </c>
      <c r="AM115" s="23">
        <f>IF([1]CHAMNORD!J116=0,"",[1]CHAMNORD!J116)</f>
        <v>1052</v>
      </c>
      <c r="AN115" s="22">
        <f t="shared" si="39"/>
        <v>1052</v>
      </c>
      <c r="AO115" s="23">
        <f>IF([2]CHAMNORD!J117=0,"",[2]CHAMNORD!J117)</f>
        <v>934</v>
      </c>
      <c r="AP115" s="17">
        <f t="shared" si="40"/>
        <v>-9.1439688715953316E-2</v>
      </c>
      <c r="BB115" s="39"/>
      <c r="BD115" s="5">
        <v>46134</v>
      </c>
      <c r="BE115" s="42">
        <f t="shared" si="41"/>
        <v>16.871986692015209</v>
      </c>
      <c r="BF115" s="72">
        <f t="shared" si="42"/>
        <v>16.871986692015209</v>
      </c>
      <c r="BG115" s="42">
        <f t="shared" si="43"/>
        <v>17.909282655246255</v>
      </c>
      <c r="BH115" s="17">
        <f t="shared" si="44"/>
        <v>8.6471151228981746E-2</v>
      </c>
      <c r="BT115" s="39"/>
    </row>
    <row r="116" spans="2:72">
      <c r="B116" s="5">
        <v>46135</v>
      </c>
      <c r="C116" s="23">
        <f>IF([1]CHAMNORD!H117=0,"",[1]CHAMNORD!H117)</f>
        <v>16945.45</v>
      </c>
      <c r="D116" s="22">
        <f t="shared" si="35"/>
        <v>16945.45</v>
      </c>
      <c r="E116" s="23">
        <f>IF([2]CHAMNORD!H118=0,"",[2]CHAMNORD!H118)</f>
        <v>17388.73</v>
      </c>
      <c r="F116" s="17">
        <f t="shared" si="36"/>
        <v>-1.8804332247299715E-2</v>
      </c>
      <c r="R116" s="39"/>
      <c r="T116" s="5">
        <v>46135</v>
      </c>
      <c r="U116" s="23">
        <f>IF([1]CHAMNORD!I117=0,"",[1]CHAMNORD!I117)</f>
        <v>16740.900000000001</v>
      </c>
      <c r="V116" s="22">
        <f t="shared" si="37"/>
        <v>16740.900000000001</v>
      </c>
      <c r="W116" s="23">
        <f>IF([2]CHAMNORD!I118=0,"",[2]CHAMNORD!I118)</f>
        <v>17140.89</v>
      </c>
      <c r="X116" s="17">
        <f t="shared" si="38"/>
        <v>-2.2912481673434848E-2</v>
      </c>
      <c r="AJ116" s="39"/>
      <c r="AL116" s="5">
        <v>46135</v>
      </c>
      <c r="AM116" s="23">
        <f>IF([1]CHAMNORD!J117=0,"",[1]CHAMNORD!J117)</f>
        <v>1028</v>
      </c>
      <c r="AN116" s="22">
        <f t="shared" si="39"/>
        <v>1028</v>
      </c>
      <c r="AO116" s="23">
        <f>IF([2]CHAMNORD!J118=0,"",[2]CHAMNORD!J118)</f>
        <v>996</v>
      </c>
      <c r="AP116" s="17">
        <f t="shared" si="40"/>
        <v>-5.2331113225499548E-2</v>
      </c>
      <c r="BB116" s="39"/>
      <c r="BD116" s="5">
        <v>46135</v>
      </c>
      <c r="BE116" s="42">
        <f t="shared" si="41"/>
        <v>16.483900778210117</v>
      </c>
      <c r="BF116" s="72">
        <f t="shared" si="42"/>
        <v>16.483900778210117</v>
      </c>
      <c r="BG116" s="42">
        <f t="shared" si="43"/>
        <v>17.458564257028112</v>
      </c>
      <c r="BH116" s="17">
        <f t="shared" si="44"/>
        <v>3.5378159445871527E-2</v>
      </c>
      <c r="BT116" s="39"/>
    </row>
    <row r="117" spans="2:72">
      <c r="B117" s="5">
        <v>46136</v>
      </c>
      <c r="C117" s="23">
        <f>IF([1]CHAMNORD!H118=0,"",[1]CHAMNORD!H118)</f>
        <v>17721.98</v>
      </c>
      <c r="D117" s="22">
        <f t="shared" si="35"/>
        <v>17721.98</v>
      </c>
      <c r="E117" s="23">
        <f>IF([2]CHAMNORD!H119=0,"",[2]CHAMNORD!H119)</f>
        <v>19826.37</v>
      </c>
      <c r="F117" s="17">
        <f t="shared" si="36"/>
        <v>-0.19394776898533483</v>
      </c>
      <c r="R117" s="39"/>
      <c r="T117" s="5">
        <v>46136</v>
      </c>
      <c r="U117" s="23">
        <f>IF([1]CHAMNORD!I118=0,"",[1]CHAMNORD!I118)</f>
        <v>17542.84</v>
      </c>
      <c r="V117" s="22">
        <f t="shared" si="37"/>
        <v>17542.84</v>
      </c>
      <c r="W117" s="23">
        <f>IF([2]CHAMNORD!I119=0,"",[2]CHAMNORD!I119)</f>
        <v>19448.28</v>
      </c>
      <c r="X117" s="17">
        <f t="shared" si="38"/>
        <v>-0.20011943745943694</v>
      </c>
      <c r="AJ117" s="39"/>
      <c r="AL117" s="5">
        <v>46136</v>
      </c>
      <c r="AM117" s="23">
        <f>IF([1]CHAMNORD!J118=0,"",[1]CHAMNORD!J118)</f>
        <v>1051</v>
      </c>
      <c r="AN117" s="22">
        <f t="shared" si="39"/>
        <v>1051</v>
      </c>
      <c r="AO117" s="23">
        <f>IF([2]CHAMNORD!J119=0,"",[2]CHAMNORD!J119)</f>
        <v>1068</v>
      </c>
      <c r="AP117" s="17">
        <f t="shared" si="40"/>
        <v>-0.22270742358078599</v>
      </c>
      <c r="BB117" s="39"/>
      <c r="BD117" s="5">
        <v>46136</v>
      </c>
      <c r="BE117" s="42">
        <f t="shared" si="41"/>
        <v>16.862017126546146</v>
      </c>
      <c r="BF117" s="72">
        <f t="shared" si="42"/>
        <v>16.862017126546146</v>
      </c>
      <c r="BG117" s="42">
        <f t="shared" si="43"/>
        <v>18.564016853932582</v>
      </c>
      <c r="BH117" s="17">
        <f t="shared" si="44"/>
        <v>3.6999780350327471E-2</v>
      </c>
      <c r="BT117" s="39"/>
    </row>
    <row r="118" spans="2:72">
      <c r="B118" s="5">
        <v>46137</v>
      </c>
      <c r="C118" s="23">
        <f>IF([1]CHAMNORD!H119=0,"",[1]CHAMNORD!H119)</f>
        <v>24596.880000000001</v>
      </c>
      <c r="D118" s="22">
        <f t="shared" si="35"/>
        <v>24596.880000000001</v>
      </c>
      <c r="E118" s="23">
        <f>IF([2]CHAMNORD!H120=0,"",[2]CHAMNORD!H120)</f>
        <v>25233.07</v>
      </c>
      <c r="F118" s="17">
        <f t="shared" si="36"/>
        <v>0.16874309863121306</v>
      </c>
      <c r="R118" s="39"/>
      <c r="T118" s="5">
        <v>46137</v>
      </c>
      <c r="U118" s="23">
        <f>IF([1]CHAMNORD!I119=0,"",[1]CHAMNORD!I119)</f>
        <v>24313.98</v>
      </c>
      <c r="V118" s="22">
        <f t="shared" si="37"/>
        <v>24313.98</v>
      </c>
      <c r="W118" s="23">
        <f>IF([2]CHAMNORD!I120=0,"",[2]CHAMNORD!I120)</f>
        <v>24826.46</v>
      </c>
      <c r="X118" s="17">
        <f t="shared" si="38"/>
        <v>0.16549748206319181</v>
      </c>
      <c r="AJ118" s="39"/>
      <c r="AL118" s="5">
        <v>46137</v>
      </c>
      <c r="AM118" s="23">
        <f>IF([1]CHAMNORD!J119=0,"",[1]CHAMNORD!J119)</f>
        <v>1374</v>
      </c>
      <c r="AN118" s="22">
        <f t="shared" si="39"/>
        <v>1374</v>
      </c>
      <c r="AO118" s="23">
        <f>IF([2]CHAMNORD!J120=0,"",[2]CHAMNORD!J120)</f>
        <v>1288</v>
      </c>
      <c r="AP118" s="17">
        <f t="shared" si="40"/>
        <v>6.0955518945634335E-2</v>
      </c>
      <c r="BB118" s="39"/>
      <c r="BD118" s="5">
        <v>46137</v>
      </c>
      <c r="BE118" s="42">
        <f t="shared" si="41"/>
        <v>17.901659388646291</v>
      </c>
      <c r="BF118" s="72">
        <f t="shared" si="42"/>
        <v>17.901659388646291</v>
      </c>
      <c r="BG118" s="42">
        <f t="shared" si="43"/>
        <v>19.590892857142858</v>
      </c>
      <c r="BH118" s="17">
        <f t="shared" si="44"/>
        <v>0.10159481501420253</v>
      </c>
      <c r="BT118" s="39"/>
    </row>
    <row r="119" spans="2:72">
      <c r="B119" s="5">
        <v>46138</v>
      </c>
      <c r="C119" s="23">
        <f>IF([1]CHAMNORD!H120=0,"",[1]CHAMNORD!H120)</f>
        <v>21589.919999999998</v>
      </c>
      <c r="D119" s="22">
        <f t="shared" si="35"/>
        <v>21589.919999999998</v>
      </c>
      <c r="E119" s="24">
        <f>IF([2]CHAMNORD!H121=0,"",[2]CHAMNORD!H121)</f>
        <v>23791.41</v>
      </c>
      <c r="F119" s="17">
        <f t="shared" si="36"/>
        <v>6.6922661927579785E-3</v>
      </c>
      <c r="R119" s="39"/>
      <c r="T119" s="5">
        <v>46138</v>
      </c>
      <c r="U119" s="23">
        <f>IF([1]CHAMNORD!I120=0,"",[1]CHAMNORD!I120)</f>
        <v>21301.17</v>
      </c>
      <c r="V119" s="22">
        <f t="shared" si="37"/>
        <v>21301.17</v>
      </c>
      <c r="W119" s="24">
        <f>IF([2]CHAMNORD!I121=0,"",[2]CHAMNORD!I121)</f>
        <v>23379.9</v>
      </c>
      <c r="X119" s="17">
        <f t="shared" si="38"/>
        <v>5.0994614225874368E-3</v>
      </c>
      <c r="AJ119" s="39"/>
      <c r="AL119" s="5">
        <v>46138</v>
      </c>
      <c r="AM119" s="23">
        <f>IF([1]CHAMNORD!J120=0,"",[1]CHAMNORD!J120)</f>
        <v>1214</v>
      </c>
      <c r="AN119" s="22">
        <f t="shared" si="39"/>
        <v>1214</v>
      </c>
      <c r="AO119" s="24">
        <f>IF([2]CHAMNORD!J121=0,"",[2]CHAMNORD!J121)</f>
        <v>1100</v>
      </c>
      <c r="AP119" s="17">
        <f t="shared" si="40"/>
        <v>-6.1433447098976135E-2</v>
      </c>
      <c r="BB119" s="39"/>
      <c r="BD119" s="5">
        <v>46138</v>
      </c>
      <c r="BE119" s="42">
        <f t="shared" si="41"/>
        <v>17.784118616144973</v>
      </c>
      <c r="BF119" s="72">
        <f t="shared" si="42"/>
        <v>17.784118616144973</v>
      </c>
      <c r="BG119" s="43">
        <f t="shared" si="43"/>
        <v>21.628554545454545</v>
      </c>
      <c r="BH119" s="17">
        <f t="shared" si="44"/>
        <v>7.2584850889011232E-2</v>
      </c>
      <c r="BT119" s="39"/>
    </row>
    <row r="120" spans="2:72">
      <c r="B120" s="5">
        <v>46139</v>
      </c>
      <c r="C120" s="24">
        <f>IF([1]CHAMNORD!H121=0,"",[1]CHAMNORD!H121)</f>
        <v>23633.25</v>
      </c>
      <c r="D120" s="22">
        <f t="shared" si="35"/>
        <v>23633.25</v>
      </c>
      <c r="E120" s="21">
        <f>IF([2]CHAMNORD!H122=0,"",[2]CHAMNORD!H122)</f>
        <v>12436.01</v>
      </c>
      <c r="F120" s="17">
        <f t="shared" si="36"/>
        <v>-0.27376934778863637</v>
      </c>
      <c r="R120" s="39"/>
      <c r="T120" s="5">
        <v>46139</v>
      </c>
      <c r="U120" s="24">
        <f>IF([1]CHAMNORD!I121=0,"",[1]CHAMNORD!I121)</f>
        <v>23261.279999999999</v>
      </c>
      <c r="V120" s="22">
        <f t="shared" si="37"/>
        <v>23261.279999999999</v>
      </c>
      <c r="W120" s="21">
        <f>IF([2]CHAMNORD!I122=0,"",[2]CHAMNORD!I122)</f>
        <v>12251.97</v>
      </c>
      <c r="X120" s="17">
        <f t="shared" si="38"/>
        <v>-0.27660271682044502</v>
      </c>
      <c r="AJ120" s="39"/>
      <c r="AL120" s="5">
        <v>46139</v>
      </c>
      <c r="AM120" s="24">
        <f>IF([1]CHAMNORD!J121=0,"",[1]CHAMNORD!J121)</f>
        <v>1172</v>
      </c>
      <c r="AN120" s="22">
        <f t="shared" si="39"/>
        <v>1172</v>
      </c>
      <c r="AO120" s="21">
        <f>IF([2]CHAMNORD!J122=0,"",[2]CHAMNORD!J122)</f>
        <v>742</v>
      </c>
      <c r="AP120" s="17">
        <f t="shared" si="40"/>
        <v>-0.27040314650934116</v>
      </c>
      <c r="BB120" s="39"/>
      <c r="BD120" s="5">
        <v>46139</v>
      </c>
      <c r="BE120" s="43">
        <f t="shared" si="41"/>
        <v>20.164889078498295</v>
      </c>
      <c r="BF120" s="72">
        <f t="shared" si="42"/>
        <v>20.164889078498295</v>
      </c>
      <c r="BG120" s="41">
        <f t="shared" si="43"/>
        <v>16.760121293800541</v>
      </c>
      <c r="BH120" s="17">
        <f t="shared" si="44"/>
        <v>-4.6137826159611262E-3</v>
      </c>
      <c r="BT120" s="39"/>
    </row>
    <row r="121" spans="2:72">
      <c r="B121" s="5">
        <v>46140</v>
      </c>
      <c r="C121" s="21">
        <f>IF([1]CHAMNORD!H122=0,"",[1]CHAMNORD!H122)</f>
        <v>17124.05</v>
      </c>
      <c r="D121" s="22">
        <f t="shared" si="35"/>
        <v>17124.05</v>
      </c>
      <c r="E121" s="23">
        <f>IF([2]CHAMNORD!H123=0,"",[2]CHAMNORD!H123)</f>
        <v>13805.13</v>
      </c>
      <c r="F121" s="17">
        <f t="shared" si="36"/>
        <v>-0.20656114019625149</v>
      </c>
      <c r="R121" s="39"/>
      <c r="T121" s="5">
        <v>46140</v>
      </c>
      <c r="U121" s="21">
        <f>IF([1]CHAMNORD!I122=0,"",[1]CHAMNORD!I122)</f>
        <v>16936.71</v>
      </c>
      <c r="V121" s="22">
        <f t="shared" si="37"/>
        <v>16936.71</v>
      </c>
      <c r="W121" s="23">
        <f>IF([2]CHAMNORD!I123=0,"",[2]CHAMNORD!I123)</f>
        <v>13606.23</v>
      </c>
      <c r="X121" s="17">
        <f t="shared" si="38"/>
        <v>-0.20974599158764851</v>
      </c>
      <c r="AJ121" s="39"/>
      <c r="AL121" s="5">
        <v>46140</v>
      </c>
      <c r="AM121" s="21">
        <f>IF([1]CHAMNORD!J122=0,"",[1]CHAMNORD!J122)</f>
        <v>1017</v>
      </c>
      <c r="AN121" s="22">
        <f t="shared" si="39"/>
        <v>1017</v>
      </c>
      <c r="AO121" s="23">
        <f>IF([2]CHAMNORD!J123=0,"",[2]CHAMNORD!J123)</f>
        <v>807</v>
      </c>
      <c r="AP121" s="17">
        <f t="shared" si="40"/>
        <v>-0.22329162656400381</v>
      </c>
      <c r="BB121" s="39"/>
      <c r="BD121" s="5">
        <v>46140</v>
      </c>
      <c r="BE121" s="41">
        <f t="shared" si="41"/>
        <v>16.837807276302851</v>
      </c>
      <c r="BF121" s="72">
        <f t="shared" si="42"/>
        <v>16.837807276302851</v>
      </c>
      <c r="BG121" s="42">
        <f t="shared" si="43"/>
        <v>17.106728624535315</v>
      </c>
      <c r="BH121" s="17">
        <f t="shared" si="44"/>
        <v>2.1540242052161984E-2</v>
      </c>
      <c r="BT121" s="39"/>
    </row>
    <row r="122" spans="2:72">
      <c r="B122" s="5">
        <v>46141</v>
      </c>
      <c r="C122" s="23">
        <f>IF([1]CHAMNORD!H123=0,"",[1]CHAMNORD!H123)</f>
        <v>17399.11</v>
      </c>
      <c r="D122" s="22">
        <f t="shared" si="35"/>
        <v>17399.11</v>
      </c>
      <c r="E122" s="23">
        <f>IF([2]CHAMNORD!H124=0,"",[2]CHAMNORD!H124)</f>
        <v>18763.82</v>
      </c>
      <c r="F122" s="17">
        <f t="shared" si="36"/>
        <v>-0.11625560823240955</v>
      </c>
      <c r="R122" s="39"/>
      <c r="T122" s="5">
        <v>46141</v>
      </c>
      <c r="U122" s="23">
        <f>IF([1]CHAMNORD!I123=0,"",[1]CHAMNORD!I123)</f>
        <v>17217.54</v>
      </c>
      <c r="V122" s="22">
        <f t="shared" si="37"/>
        <v>17217.54</v>
      </c>
      <c r="W122" s="23">
        <f>IF([2]CHAMNORD!I124=0,"",[2]CHAMNORD!I124)</f>
        <v>18416.54</v>
      </c>
      <c r="X122" s="17">
        <f t="shared" si="38"/>
        <v>-0.12285106956545344</v>
      </c>
      <c r="AJ122" s="39"/>
      <c r="AL122" s="5">
        <v>46141</v>
      </c>
      <c r="AM122" s="23">
        <f>IF([1]CHAMNORD!J123=0,"",[1]CHAMNORD!J123)</f>
        <v>1039</v>
      </c>
      <c r="AN122" s="22">
        <f t="shared" si="39"/>
        <v>1039</v>
      </c>
      <c r="AO122" s="23">
        <f>IF([2]CHAMNORD!J124=0,"",[2]CHAMNORD!J124)</f>
        <v>1023</v>
      </c>
      <c r="AP122" s="17">
        <f t="shared" si="40"/>
        <v>-0.15802469135802466</v>
      </c>
      <c r="BB122" s="39"/>
      <c r="BD122" s="5">
        <v>46141</v>
      </c>
      <c r="BE122" s="42">
        <f t="shared" si="41"/>
        <v>16.746015399422522</v>
      </c>
      <c r="BF122" s="72">
        <f t="shared" si="42"/>
        <v>16.746015399422522</v>
      </c>
      <c r="BG122" s="42">
        <f t="shared" si="43"/>
        <v>18.341955034213097</v>
      </c>
      <c r="BH122" s="17">
        <f t="shared" si="44"/>
        <v>4.9608441835407913E-2</v>
      </c>
      <c r="BT122" s="39"/>
    </row>
    <row r="123" spans="2:72">
      <c r="B123" s="5">
        <v>46142</v>
      </c>
      <c r="C123" s="23">
        <f>IF([1]CHAMNORD!H124=0,"",[1]CHAMNORD!H124)</f>
        <v>21232.18</v>
      </c>
      <c r="D123" s="22">
        <f t="shared" si="35"/>
        <v>21232.18</v>
      </c>
      <c r="E123" s="23">
        <f>IF([2]CHAMNORD!H125=0,"",[2]CHAMNORD!H125)</f>
        <v>20542.080000000002</v>
      </c>
      <c r="F123" s="17">
        <f t="shared" si="36"/>
        <v>-6.2107405679200145E-2</v>
      </c>
      <c r="R123" s="39"/>
      <c r="T123" s="5">
        <v>46142</v>
      </c>
      <c r="U123" s="23">
        <f>IF([1]CHAMNORD!I124=0,"",[1]CHAMNORD!I124)</f>
        <v>20995.91</v>
      </c>
      <c r="V123" s="22">
        <f t="shared" si="37"/>
        <v>20995.91</v>
      </c>
      <c r="W123" s="23">
        <f>IF([2]CHAMNORD!I125=0,"",[2]CHAMNORD!I125)</f>
        <v>20241.59</v>
      </c>
      <c r="X123" s="17">
        <f t="shared" si="38"/>
        <v>-6.1823479082253607E-2</v>
      </c>
      <c r="AJ123" s="39"/>
      <c r="AL123" s="5">
        <v>46142</v>
      </c>
      <c r="AM123" s="23">
        <f>IF([1]CHAMNORD!J124=0,"",[1]CHAMNORD!J124)</f>
        <v>1215</v>
      </c>
      <c r="AN123" s="22">
        <f t="shared" si="39"/>
        <v>1215</v>
      </c>
      <c r="AO123" s="23">
        <f>IF([2]CHAMNORD!J125=0,"",[2]CHAMNORD!J125)</f>
        <v>1053</v>
      </c>
      <c r="AP123" s="17">
        <f t="shared" si="40"/>
        <v>-7.3063380281690127E-2</v>
      </c>
      <c r="BB123" s="39"/>
      <c r="BD123" s="5">
        <v>46142</v>
      </c>
      <c r="BE123" s="42">
        <f t="shared" si="41"/>
        <v>17.475045267489712</v>
      </c>
      <c r="BF123" s="72">
        <f t="shared" si="42"/>
        <v>17.475045267489712</v>
      </c>
      <c r="BG123" s="42">
        <f t="shared" si="43"/>
        <v>19.508148148148148</v>
      </c>
      <c r="BH123" s="17">
        <f t="shared" si="44"/>
        <v>1.1819550948175328E-2</v>
      </c>
      <c r="BT123" s="39"/>
    </row>
    <row r="124" spans="2:72">
      <c r="B124" s="5">
        <v>46143</v>
      </c>
      <c r="C124" s="23">
        <f>IF([1]CHAMNORD!H125=0,"",[1]CHAMNORD!H125)</f>
        <v>21902.38</v>
      </c>
      <c r="D124" s="22">
        <f t="shared" si="35"/>
        <v>21902.38</v>
      </c>
      <c r="E124" s="23">
        <f>IF([2]CHAMNORD!H126=0,"",[2]CHAMNORD!H126)</f>
        <v>24400.13</v>
      </c>
      <c r="F124" s="17">
        <f t="shared" si="36"/>
        <v>7.0341222086285793E-2</v>
      </c>
      <c r="R124" s="39"/>
      <c r="T124" s="5">
        <v>46143</v>
      </c>
      <c r="U124" s="23">
        <f>IF([1]CHAMNORD!I125=0,"",[1]CHAMNORD!I125)</f>
        <v>21575.46</v>
      </c>
      <c r="V124" s="22">
        <f t="shared" si="37"/>
        <v>21575.46</v>
      </c>
      <c r="W124" s="23">
        <f>IF([2]CHAMNORD!I126=0,"",[2]CHAMNORD!I126)</f>
        <v>23918.880000000001</v>
      </c>
      <c r="X124" s="17">
        <f t="shared" si="38"/>
        <v>6.2224772312649668E-2</v>
      </c>
      <c r="AJ124" s="39"/>
      <c r="AL124" s="5">
        <v>46143</v>
      </c>
      <c r="AM124" s="23">
        <f>IF([1]CHAMNORD!J125=0,"",[1]CHAMNORD!J125)</f>
        <v>1136</v>
      </c>
      <c r="AN124" s="22">
        <f t="shared" si="39"/>
        <v>1136</v>
      </c>
      <c r="AO124" s="23">
        <f>IF([2]CHAMNORD!J126=0,"",[2]CHAMNORD!J126)</f>
        <v>1151</v>
      </c>
      <c r="AP124" s="17">
        <f t="shared" si="40"/>
        <v>-0.10288386593920495</v>
      </c>
      <c r="BB124" s="39"/>
      <c r="BD124" s="5">
        <v>46143</v>
      </c>
      <c r="BE124" s="42">
        <f t="shared" si="41"/>
        <v>19.280264084507042</v>
      </c>
      <c r="BF124" s="72">
        <f t="shared" si="42"/>
        <v>19.280264084507042</v>
      </c>
      <c r="BG124" s="42">
        <f t="shared" si="43"/>
        <v>21.199070373588185</v>
      </c>
      <c r="BH124" s="17">
        <f t="shared" si="44"/>
        <v>0.1930910407790658</v>
      </c>
      <c r="BT124" s="39"/>
    </row>
    <row r="125" spans="2:72">
      <c r="B125" s="5">
        <v>46144</v>
      </c>
      <c r="C125" s="23">
        <f>IF([1]CHAMNORD!H126=0,"",[1]CHAMNORD!H126)</f>
        <v>22796.59</v>
      </c>
      <c r="D125" s="22">
        <f t="shared" si="35"/>
        <v>22796.59</v>
      </c>
      <c r="E125" s="23">
        <f>IF([2]CHAMNORD!H127=0,"",[2]CHAMNORD!H127)</f>
        <v>20274.88</v>
      </c>
      <c r="F125" s="17">
        <f t="shared" si="36"/>
        <v>-0.12937350162253092</v>
      </c>
      <c r="R125" s="39"/>
      <c r="T125" s="5">
        <v>46144</v>
      </c>
      <c r="U125" s="23">
        <f>IF([1]CHAMNORD!I126=0,"",[1]CHAMNORD!I126)</f>
        <v>22517.72</v>
      </c>
      <c r="V125" s="22">
        <f t="shared" si="37"/>
        <v>22517.72</v>
      </c>
      <c r="W125" s="23">
        <f>IF([2]CHAMNORD!I127=0,"",[2]CHAMNORD!I127)</f>
        <v>19924.849999999999</v>
      </c>
      <c r="X125" s="17">
        <f t="shared" si="38"/>
        <v>-0.15244998034775126</v>
      </c>
      <c r="AJ125" s="39"/>
      <c r="AL125" s="5">
        <v>46144</v>
      </c>
      <c r="AM125" s="23">
        <f>IF([1]CHAMNORD!J126=0,"",[1]CHAMNORD!J126)</f>
        <v>1283</v>
      </c>
      <c r="AN125" s="22">
        <f t="shared" si="39"/>
        <v>1283</v>
      </c>
      <c r="AO125" s="23">
        <f>IF([2]CHAMNORD!J127=0,"",[2]CHAMNORD!J127)</f>
        <v>1044</v>
      </c>
      <c r="AP125" s="17">
        <f t="shared" si="40"/>
        <v>-0.18373729476153244</v>
      </c>
      <c r="BB125" s="39"/>
      <c r="BD125" s="5">
        <v>46144</v>
      </c>
      <c r="BE125" s="42">
        <f t="shared" si="41"/>
        <v>17.768191738113796</v>
      </c>
      <c r="BF125" s="72">
        <f t="shared" si="42"/>
        <v>17.768191738113796</v>
      </c>
      <c r="BG125" s="42">
        <f t="shared" si="43"/>
        <v>19.420383141762454</v>
      </c>
      <c r="BH125" s="17">
        <f t="shared" si="44"/>
        <v>6.6600853855156128E-2</v>
      </c>
      <c r="BT125" s="39"/>
    </row>
    <row r="126" spans="2:72">
      <c r="B126" s="5">
        <v>46145</v>
      </c>
      <c r="C126" s="23">
        <f>IF([1]CHAMNORD!H127=0,"",[1]CHAMNORD!H127)</f>
        <v>23287.69</v>
      </c>
      <c r="D126" s="22">
        <f t="shared" si="35"/>
        <v>23287.69</v>
      </c>
      <c r="E126" s="24">
        <f>IF([2]CHAMNORD!H128=0,"",[2]CHAMNORD!H128)</f>
        <v>23725.8</v>
      </c>
      <c r="F126" s="17">
        <f t="shared" si="36"/>
        <v>-0.12829743215553668</v>
      </c>
      <c r="R126" s="39"/>
      <c r="T126" s="5">
        <v>46145</v>
      </c>
      <c r="U126" s="23">
        <f>IF([1]CHAMNORD!I127=0,"",[1]CHAMNORD!I127)</f>
        <v>23508.76</v>
      </c>
      <c r="V126" s="22">
        <f t="shared" si="37"/>
        <v>23508.76</v>
      </c>
      <c r="W126" s="24">
        <f>IF([2]CHAMNORD!I128=0,"",[2]CHAMNORD!I128)</f>
        <v>23244.69</v>
      </c>
      <c r="X126" s="17">
        <f t="shared" si="38"/>
        <v>-0.13479413446248956</v>
      </c>
      <c r="AJ126" s="39"/>
      <c r="AL126" s="5">
        <v>46145</v>
      </c>
      <c r="AM126" s="23">
        <f>IF([1]CHAMNORD!J127=0,"",[1]CHAMNORD!J127)</f>
        <v>1279</v>
      </c>
      <c r="AN126" s="22">
        <f t="shared" si="39"/>
        <v>1279</v>
      </c>
      <c r="AO126" s="24">
        <f>IF([2]CHAMNORD!J128=0,"",[2]CHAMNORD!J128)</f>
        <v>1077</v>
      </c>
      <c r="AP126" s="17">
        <f t="shared" si="40"/>
        <v>-0.18470855412566234</v>
      </c>
      <c r="BB126" s="39"/>
      <c r="BD126" s="5">
        <v>46145</v>
      </c>
      <c r="BE126" s="42">
        <f t="shared" si="41"/>
        <v>18.207732603596558</v>
      </c>
      <c r="BF126" s="72">
        <f t="shared" si="42"/>
        <v>18.207732603596558</v>
      </c>
      <c r="BG126" s="43">
        <f t="shared" si="43"/>
        <v>22.029526462395541</v>
      </c>
      <c r="BH126" s="17">
        <f t="shared" si="44"/>
        <v>6.9191357588241464E-2</v>
      </c>
      <c r="BT126" s="39"/>
    </row>
    <row r="127" spans="2:72">
      <c r="B127" s="5">
        <v>46146</v>
      </c>
      <c r="C127" s="24">
        <f>IF([1]CHAMNORD!H128=0,"",[1]CHAMNORD!H128)</f>
        <v>27217.77</v>
      </c>
      <c r="D127" s="22">
        <f t="shared" si="35"/>
        <v>27217.77</v>
      </c>
      <c r="E127" s="21">
        <f>IF([2]CHAMNORD!H129=0,"",[2]CHAMNORD!H129)</f>
        <v>12843.11</v>
      </c>
      <c r="F127" s="17">
        <f t="shared" si="36"/>
        <v>-0.15406457851132971</v>
      </c>
      <c r="R127" s="39"/>
      <c r="T127" s="5">
        <v>46146</v>
      </c>
      <c r="U127" s="24">
        <f>IF([1]CHAMNORD!I128=0,"",[1]CHAMNORD!I128)</f>
        <v>26866.080000000002</v>
      </c>
      <c r="V127" s="22">
        <f t="shared" si="37"/>
        <v>26866.080000000002</v>
      </c>
      <c r="W127" s="21">
        <f>IF([2]CHAMNORD!I129=0,"",[2]CHAMNORD!I129)</f>
        <v>12683.32</v>
      </c>
      <c r="X127" s="17">
        <f t="shared" si="38"/>
        <v>-0.15641931214291893</v>
      </c>
      <c r="AJ127" s="39"/>
      <c r="AL127" s="5">
        <v>46146</v>
      </c>
      <c r="AM127" s="24">
        <f>IF([1]CHAMNORD!J128=0,"",[1]CHAMNORD!J128)</f>
        <v>1321</v>
      </c>
      <c r="AN127" s="22">
        <f t="shared" si="39"/>
        <v>1321</v>
      </c>
      <c r="AO127" s="21">
        <f>IF([2]CHAMNORD!J129=0,"",[2]CHAMNORD!J129)</f>
        <v>755</v>
      </c>
      <c r="AP127" s="17">
        <f t="shared" si="40"/>
        <v>-0.18201516793066086</v>
      </c>
      <c r="BB127" s="39"/>
      <c r="BD127" s="5">
        <v>46146</v>
      </c>
      <c r="BE127" s="43">
        <f t="shared" si="41"/>
        <v>20.603913701741106</v>
      </c>
      <c r="BF127" s="72">
        <f t="shared" si="42"/>
        <v>20.603913701741106</v>
      </c>
      <c r="BG127" s="41">
        <f t="shared" si="43"/>
        <v>17.010741721854306</v>
      </c>
      <c r="BH127" s="17">
        <f t="shared" si="44"/>
        <v>3.4170058323235386E-2</v>
      </c>
      <c r="BT127" s="39"/>
    </row>
    <row r="128" spans="2:72">
      <c r="B128" s="5">
        <v>46147</v>
      </c>
      <c r="C128" s="21">
        <f>IF([1]CHAMNORD!H129=0,"",[1]CHAMNORD!H129)</f>
        <v>15182.14</v>
      </c>
      <c r="D128" s="22">
        <f t="shared" si="35"/>
        <v>15182.14</v>
      </c>
      <c r="E128" s="23">
        <f>IF([2]CHAMNORD!H130=0,"",[2]CHAMNORD!H130)</f>
        <v>15630.01</v>
      </c>
      <c r="F128" s="17">
        <f t="shared" si="36"/>
        <v>1.8685004288511164E-2</v>
      </c>
      <c r="R128" s="39"/>
      <c r="T128" s="5">
        <v>46147</v>
      </c>
      <c r="U128" s="21">
        <f>IF([1]CHAMNORD!I129=0,"",[1]CHAMNORD!I129)</f>
        <v>15035.1</v>
      </c>
      <c r="V128" s="22">
        <f t="shared" si="37"/>
        <v>15035.1</v>
      </c>
      <c r="W128" s="23">
        <f>IF([2]CHAMNORD!I130=0,"",[2]CHAMNORD!I130)</f>
        <v>15345.55</v>
      </c>
      <c r="X128" s="17">
        <f t="shared" si="38"/>
        <v>1.058757519042075E-2</v>
      </c>
      <c r="AJ128" s="39"/>
      <c r="AL128" s="5">
        <v>46147</v>
      </c>
      <c r="AM128" s="21">
        <f>IF([1]CHAMNORD!J129=0,"",[1]CHAMNORD!J129)</f>
        <v>923</v>
      </c>
      <c r="AN128" s="22">
        <f t="shared" si="39"/>
        <v>923</v>
      </c>
      <c r="AO128" s="23">
        <f>IF([2]CHAMNORD!J130=0,"",[2]CHAMNORD!J130)</f>
        <v>917</v>
      </c>
      <c r="AP128" s="17">
        <f t="shared" si="40"/>
        <v>-8.6486486486486713E-3</v>
      </c>
      <c r="BB128" s="39"/>
      <c r="BD128" s="5">
        <v>46147</v>
      </c>
      <c r="BE128" s="41">
        <f t="shared" si="41"/>
        <v>16.448689057421451</v>
      </c>
      <c r="BF128" s="72">
        <f t="shared" si="42"/>
        <v>16.448689057421451</v>
      </c>
      <c r="BG128" s="42">
        <f t="shared" si="43"/>
        <v>17.044721919302074</v>
      </c>
      <c r="BH128" s="17">
        <f t="shared" si="44"/>
        <v>2.7572114467691478E-2</v>
      </c>
      <c r="BT128" s="39"/>
    </row>
    <row r="129" spans="2:72">
      <c r="B129" s="5">
        <v>46148</v>
      </c>
      <c r="C129" s="23">
        <f>IF([1]CHAMNORD!H130=0,"",[1]CHAMNORD!H130)</f>
        <v>15343.32</v>
      </c>
      <c r="D129" s="22">
        <f t="shared" si="35"/>
        <v>15343.32</v>
      </c>
      <c r="E129" s="23">
        <f>IF([2]CHAMNORD!H131=0,"",[2]CHAMNORD!H131)</f>
        <v>18264.75</v>
      </c>
      <c r="F129" s="17">
        <f t="shared" si="36"/>
        <v>-0.21529923221574776</v>
      </c>
      <c r="R129" s="39"/>
      <c r="T129" s="5">
        <v>46148</v>
      </c>
      <c r="U129" s="23">
        <f>IF([1]CHAMNORD!I130=0,"",[1]CHAMNORD!I130)</f>
        <v>15184.78</v>
      </c>
      <c r="V129" s="22">
        <f t="shared" si="37"/>
        <v>15184.78</v>
      </c>
      <c r="W129" s="23">
        <f>IF([2]CHAMNORD!I131=0,"",[2]CHAMNORD!I131)</f>
        <v>17931.689999999999</v>
      </c>
      <c r="X129" s="17">
        <f t="shared" si="38"/>
        <v>-0.2196572995202194</v>
      </c>
      <c r="AJ129" s="39"/>
      <c r="AL129" s="5">
        <v>46148</v>
      </c>
      <c r="AM129" s="23">
        <f>IF([1]CHAMNORD!J130=0,"",[1]CHAMNORD!J130)</f>
        <v>925</v>
      </c>
      <c r="AN129" s="22">
        <f t="shared" si="39"/>
        <v>925</v>
      </c>
      <c r="AO129" s="23">
        <f>IF([2]CHAMNORD!J131=0,"",[2]CHAMNORD!J131)</f>
        <v>998</v>
      </c>
      <c r="AP129" s="17">
        <f t="shared" si="40"/>
        <v>-0.22334630350194551</v>
      </c>
      <c r="BB129" s="39"/>
      <c r="BD129" s="5">
        <v>46148</v>
      </c>
      <c r="BE129" s="42">
        <f t="shared" si="41"/>
        <v>16.587372972972972</v>
      </c>
      <c r="BF129" s="72">
        <f t="shared" si="42"/>
        <v>16.587372972972972</v>
      </c>
      <c r="BG129" s="42">
        <f t="shared" si="43"/>
        <v>18.301352705410821</v>
      </c>
      <c r="BH129" s="17">
        <f t="shared" si="44"/>
        <v>1.0361209020805617E-2</v>
      </c>
      <c r="BT129" s="39"/>
    </row>
    <row r="130" spans="2:72">
      <c r="B130" s="5">
        <v>46149</v>
      </c>
      <c r="C130" s="23">
        <f>IF([1]CHAMNORD!H131=0,"",[1]CHAMNORD!H131)</f>
        <v>23276.07</v>
      </c>
      <c r="D130" s="22">
        <f t="shared" si="35"/>
        <v>23276.07</v>
      </c>
      <c r="E130" s="23">
        <f>IF([2]CHAMNORD!H132=0,"",[2]CHAMNORD!H132)</f>
        <v>20263.849999999999</v>
      </c>
      <c r="F130" s="17">
        <f t="shared" si="36"/>
        <v>-1.1614011538409019E-2</v>
      </c>
      <c r="R130" s="39"/>
      <c r="T130" s="5">
        <v>46149</v>
      </c>
      <c r="U130" s="23">
        <f>IF([1]CHAMNORD!I131=0,"",[1]CHAMNORD!I131)</f>
        <v>22979.25</v>
      </c>
      <c r="V130" s="22">
        <f t="shared" si="37"/>
        <v>22979.25</v>
      </c>
      <c r="W130" s="23">
        <f>IF([2]CHAMNORD!I132=0,"",[2]CHAMNORD!I132)</f>
        <v>19921.11</v>
      </c>
      <c r="X130" s="17">
        <f t="shared" si="38"/>
        <v>-1.3274483124813274E-2</v>
      </c>
      <c r="AJ130" s="39"/>
      <c r="AL130" s="5">
        <v>46149</v>
      </c>
      <c r="AM130" s="23">
        <f>IF([1]CHAMNORD!J131=0,"",[1]CHAMNORD!J131)</f>
        <v>1285</v>
      </c>
      <c r="AN130" s="22">
        <f t="shared" si="39"/>
        <v>1285</v>
      </c>
      <c r="AO130" s="23">
        <f>IF([2]CHAMNORD!J132=0,"",[2]CHAMNORD!J132)</f>
        <v>1135</v>
      </c>
      <c r="AP130" s="17">
        <f t="shared" si="40"/>
        <v>0.12376237623762387</v>
      </c>
      <c r="BB130" s="39"/>
      <c r="BD130" s="5">
        <v>46149</v>
      </c>
      <c r="BE130" s="42">
        <f t="shared" si="41"/>
        <v>18.113673151750973</v>
      </c>
      <c r="BF130" s="72">
        <f t="shared" si="42"/>
        <v>18.113673151750973</v>
      </c>
      <c r="BG130" s="42">
        <f t="shared" si="43"/>
        <v>17.85361233480176</v>
      </c>
      <c r="BH130" s="17">
        <f t="shared" si="44"/>
        <v>-0.12046709396809974</v>
      </c>
      <c r="BT130" s="39"/>
    </row>
    <row r="131" spans="2:72">
      <c r="B131" s="5">
        <v>46150</v>
      </c>
      <c r="C131" s="23">
        <f>IF([1]CHAMNORD!H132=0,"",[1]CHAMNORD!H132)</f>
        <v>20501.96</v>
      </c>
      <c r="D131" s="22">
        <f t="shared" si="35"/>
        <v>20501.96</v>
      </c>
      <c r="E131" s="23">
        <f>IF([2]CHAMNORD!H133=0,"",[2]CHAMNORD!H133)</f>
        <v>19809.09</v>
      </c>
      <c r="F131" s="17">
        <f t="shared" si="36"/>
        <v>-9.7138486457303275E-3</v>
      </c>
      <c r="R131" s="39"/>
      <c r="T131" s="5">
        <v>46150</v>
      </c>
      <c r="U131" s="23">
        <f>IF([1]CHAMNORD!I132=0,"",[1]CHAMNORD!I132)</f>
        <v>20189.11</v>
      </c>
      <c r="V131" s="22">
        <f t="shared" si="37"/>
        <v>20189.11</v>
      </c>
      <c r="W131" s="23">
        <f>IF([2]CHAMNORD!I133=0,"",[2]CHAMNORD!I133)</f>
        <v>19429.11</v>
      </c>
      <c r="X131" s="17">
        <f t="shared" si="38"/>
        <v>-1.7929297779700759E-2</v>
      </c>
      <c r="AJ131" s="39"/>
      <c r="AL131" s="5">
        <v>46150</v>
      </c>
      <c r="AM131" s="23">
        <f>IF([1]CHAMNORD!J132=0,"",[1]CHAMNORD!J132)</f>
        <v>1010</v>
      </c>
      <c r="AN131" s="22">
        <f t="shared" si="39"/>
        <v>1010</v>
      </c>
      <c r="AO131" s="23">
        <f>IF([2]CHAMNORD!J133=0,"",[2]CHAMNORD!J133)</f>
        <v>1061</v>
      </c>
      <c r="AP131" s="17">
        <f t="shared" si="40"/>
        <v>-0.12889983579638753</v>
      </c>
      <c r="BB131" s="39"/>
      <c r="BD131" s="5">
        <v>46150</v>
      </c>
      <c r="BE131" s="42">
        <f t="shared" si="41"/>
        <v>20.298970297029701</v>
      </c>
      <c r="BF131" s="72">
        <f t="shared" si="42"/>
        <v>20.298970297029701</v>
      </c>
      <c r="BG131" s="42">
        <f t="shared" si="43"/>
        <v>18.670207351555138</v>
      </c>
      <c r="BH131" s="17">
        <f t="shared" si="44"/>
        <v>0.13682236790716362</v>
      </c>
      <c r="BT131" s="39"/>
    </row>
    <row r="132" spans="2:72">
      <c r="B132" s="5">
        <v>46151</v>
      </c>
      <c r="C132" s="23">
        <f>IF([1]CHAMNORD!H133=0,"",[1]CHAMNORD!H133)</f>
        <v>20003.400000000001</v>
      </c>
      <c r="D132" s="22">
        <f t="shared" ref="D132:D169" si="45">IF(E131="","",C132)</f>
        <v>20003.400000000001</v>
      </c>
      <c r="E132" s="23">
        <f>IF([2]CHAMNORD!H134=0,"",[2]CHAMNORD!H134)</f>
        <v>19197.63</v>
      </c>
      <c r="F132" s="17">
        <f t="shared" ref="F132:F195" si="46">IF(E132="","",(E132/C133)-1)</f>
        <v>-0.12560105268767385</v>
      </c>
      <c r="R132" s="39"/>
      <c r="T132" s="5">
        <v>46151</v>
      </c>
      <c r="U132" s="23">
        <f>IF([1]CHAMNORD!I133=0,"",[1]CHAMNORD!I133)</f>
        <v>19783.82</v>
      </c>
      <c r="V132" s="22">
        <f t="shared" ref="V132:V169" si="47">IF(W131="","",U132)</f>
        <v>19783.82</v>
      </c>
      <c r="W132" s="23">
        <f>IF([2]CHAMNORD!I134=0,"",[2]CHAMNORD!I134)</f>
        <v>18812.68</v>
      </c>
      <c r="X132" s="17">
        <f t="shared" ref="X132:X195" si="48">IF(W132="","",(W132/U133)-1)</f>
        <v>-0.13225325554706835</v>
      </c>
      <c r="AJ132" s="39"/>
      <c r="AL132" s="5">
        <v>46151</v>
      </c>
      <c r="AM132" s="23">
        <f>IF([1]CHAMNORD!J133=0,"",[1]CHAMNORD!J133)</f>
        <v>1218</v>
      </c>
      <c r="AN132" s="22">
        <f t="shared" ref="AN132:AN169" si="49">IF(AO131="","",AM132)</f>
        <v>1218</v>
      </c>
      <c r="AO132" s="23">
        <f>IF([2]CHAMNORD!J134=0,"",[2]CHAMNORD!J134)</f>
        <v>1065</v>
      </c>
      <c r="AP132" s="17">
        <f t="shared" ref="AP132:AP195" si="50">IF(AO132="","",(AO132/AM133)-1)</f>
        <v>-0.13765182186234814</v>
      </c>
      <c r="BB132" s="39"/>
      <c r="BD132" s="5">
        <v>46151</v>
      </c>
      <c r="BE132" s="42">
        <f t="shared" ref="BE132:BE195" si="51">IFERROR(C132/AM132,"")</f>
        <v>16.423152709359606</v>
      </c>
      <c r="BF132" s="72">
        <f t="shared" ref="BF132:BF169" si="52">IF(BG131="","",BE132)</f>
        <v>16.423152709359606</v>
      </c>
      <c r="BG132" s="42">
        <f t="shared" ref="BG132:BG195" si="53">IFERROR(E132/AO132,"")</f>
        <v>18.025943661971834</v>
      </c>
      <c r="BH132" s="17">
        <f t="shared" ref="BH132:BH195" si="54">IF(BG132="","",(BG132/BE133)-1)</f>
        <v>1.3974366132134097E-2</v>
      </c>
      <c r="BT132" s="39"/>
    </row>
    <row r="133" spans="2:72">
      <c r="B133" s="5">
        <v>46152</v>
      </c>
      <c r="C133" s="23">
        <f>IF([1]CHAMNORD!H134=0,"",[1]CHAMNORD!H134)</f>
        <v>21955.23</v>
      </c>
      <c r="D133" s="22">
        <f t="shared" si="45"/>
        <v>21955.23</v>
      </c>
      <c r="E133" s="24">
        <f>IF([2]CHAMNORD!H135=0,"",[2]CHAMNORD!H135)</f>
        <v>22662.71</v>
      </c>
      <c r="F133" s="17">
        <f t="shared" si="46"/>
        <v>-3.6074243034439624E-3</v>
      </c>
      <c r="R133" s="39"/>
      <c r="T133" s="5">
        <v>46152</v>
      </c>
      <c r="U133" s="23">
        <f>IF([1]CHAMNORD!I134=0,"",[1]CHAMNORD!I134)</f>
        <v>21679.919999999998</v>
      </c>
      <c r="V133" s="22">
        <f t="shared" si="47"/>
        <v>21679.919999999998</v>
      </c>
      <c r="W133" s="24">
        <f>IF([2]CHAMNORD!I135=0,"",[2]CHAMNORD!I135)</f>
        <v>22283.200000000001</v>
      </c>
      <c r="X133" s="17">
        <f t="shared" si="48"/>
        <v>-8.8668767555281081E-3</v>
      </c>
      <c r="AJ133" s="39"/>
      <c r="AL133" s="5">
        <v>46152</v>
      </c>
      <c r="AM133" s="23">
        <f>IF([1]CHAMNORD!J134=0,"",[1]CHAMNORD!J134)</f>
        <v>1235</v>
      </c>
      <c r="AN133" s="22">
        <f t="shared" si="49"/>
        <v>1235</v>
      </c>
      <c r="AO133" s="24">
        <f>IF([2]CHAMNORD!J135=0,"",[2]CHAMNORD!J135)</f>
        <v>1079</v>
      </c>
      <c r="AP133" s="17">
        <f t="shared" si="50"/>
        <v>-4.3439716312056786E-2</v>
      </c>
      <c r="BB133" s="39"/>
      <c r="BD133" s="5">
        <v>46152</v>
      </c>
      <c r="BE133" s="42">
        <f t="shared" si="51"/>
        <v>17.777514170040487</v>
      </c>
      <c r="BF133" s="72">
        <f t="shared" si="52"/>
        <v>17.777514170040487</v>
      </c>
      <c r="BG133" s="43">
        <f t="shared" si="53"/>
        <v>21.003438368860056</v>
      </c>
      <c r="BH133" s="17">
        <f t="shared" si="54"/>
        <v>4.1641172739309784E-2</v>
      </c>
      <c r="BT133" s="39"/>
    </row>
    <row r="134" spans="2:72">
      <c r="B134" s="5">
        <v>46153</v>
      </c>
      <c r="C134" s="24">
        <f>IF([1]CHAMNORD!H135=0,"",[1]CHAMNORD!H135)</f>
        <v>22744.76</v>
      </c>
      <c r="D134" s="22">
        <f t="shared" si="45"/>
        <v>22744.76</v>
      </c>
      <c r="E134" s="21">
        <f>IF([2]CHAMNORD!H136=0,"",[2]CHAMNORD!H136)</f>
        <v>13390.03</v>
      </c>
      <c r="F134" s="17">
        <f t="shared" si="46"/>
        <v>-6.8040077853336323E-3</v>
      </c>
      <c r="R134" s="39"/>
      <c r="T134" s="5">
        <v>46153</v>
      </c>
      <c r="U134" s="24">
        <f>IF([1]CHAMNORD!I135=0,"",[1]CHAMNORD!I135)</f>
        <v>22482.55</v>
      </c>
      <c r="V134" s="22">
        <f t="shared" si="47"/>
        <v>22482.55</v>
      </c>
      <c r="W134" s="21">
        <f>IF([2]CHAMNORD!I136=0,"",[2]CHAMNORD!I136)</f>
        <v>13164.09</v>
      </c>
      <c r="X134" s="17">
        <f t="shared" si="48"/>
        <v>-1.54929419463401E-2</v>
      </c>
      <c r="AJ134" s="39"/>
      <c r="AL134" s="5">
        <v>46153</v>
      </c>
      <c r="AM134" s="24">
        <f>IF([1]CHAMNORD!J135=0,"",[1]CHAMNORD!J135)</f>
        <v>1128</v>
      </c>
      <c r="AN134" s="22">
        <f t="shared" si="49"/>
        <v>1128</v>
      </c>
      <c r="AO134" s="21">
        <f>IF([2]CHAMNORD!J136=0,"",[2]CHAMNORD!J136)</f>
        <v>815</v>
      </c>
      <c r="AP134" s="17">
        <f t="shared" si="50"/>
        <v>-7.3863636363636354E-2</v>
      </c>
      <c r="BB134" s="39"/>
      <c r="BD134" s="5">
        <v>46153</v>
      </c>
      <c r="BE134" s="43">
        <f t="shared" si="51"/>
        <v>20.163794326241135</v>
      </c>
      <c r="BF134" s="72">
        <f t="shared" si="52"/>
        <v>20.163794326241135</v>
      </c>
      <c r="BG134" s="41">
        <f t="shared" si="53"/>
        <v>16.429484662576687</v>
      </c>
      <c r="BH134" s="17">
        <f t="shared" si="54"/>
        <v>7.2407942513995405E-2</v>
      </c>
      <c r="BT134" s="39"/>
    </row>
    <row r="135" spans="2:72">
      <c r="B135" s="5">
        <v>46154</v>
      </c>
      <c r="C135" s="21">
        <f>IF([1]CHAMNORD!H136=0,"",[1]CHAMNORD!H136)</f>
        <v>13481.76</v>
      </c>
      <c r="D135" s="22">
        <f t="shared" si="45"/>
        <v>13481.76</v>
      </c>
      <c r="E135" s="23">
        <f>IF([2]CHAMNORD!H137=0,"",[2]CHAMNORD!H137)</f>
        <v>15352.88</v>
      </c>
      <c r="F135" s="17">
        <f t="shared" si="46"/>
        <v>3.9082959581144827E-3</v>
      </c>
      <c r="R135" s="39"/>
      <c r="T135" s="5">
        <v>46154</v>
      </c>
      <c r="U135" s="21">
        <f>IF([1]CHAMNORD!I136=0,"",[1]CHAMNORD!I136)</f>
        <v>13371.25</v>
      </c>
      <c r="V135" s="22">
        <f t="shared" si="47"/>
        <v>13371.25</v>
      </c>
      <c r="W135" s="23">
        <f>IF([2]CHAMNORD!I137=0,"",[2]CHAMNORD!I137)</f>
        <v>15105.04</v>
      </c>
      <c r="X135" s="17">
        <f t="shared" si="48"/>
        <v>3.2383784267042692E-4</v>
      </c>
      <c r="AJ135" s="39"/>
      <c r="AL135" s="5">
        <v>46154</v>
      </c>
      <c r="AM135" s="21">
        <f>IF([1]CHAMNORD!J136=0,"",[1]CHAMNORD!J136)</f>
        <v>880</v>
      </c>
      <c r="AN135" s="22">
        <f t="shared" si="49"/>
        <v>880</v>
      </c>
      <c r="AO135" s="23">
        <f>IF([2]CHAMNORD!J137=0,"",[2]CHAMNORD!J137)</f>
        <v>929</v>
      </c>
      <c r="AP135" s="17">
        <f t="shared" si="50"/>
        <v>-6.3508064516129004E-2</v>
      </c>
      <c r="BB135" s="39"/>
      <c r="BD135" s="5">
        <v>46154</v>
      </c>
      <c r="BE135" s="41">
        <f t="shared" si="51"/>
        <v>15.320181818181819</v>
      </c>
      <c r="BF135" s="72">
        <f t="shared" si="52"/>
        <v>15.320181818181819</v>
      </c>
      <c r="BG135" s="42">
        <f t="shared" si="53"/>
        <v>16.526243272335844</v>
      </c>
      <c r="BH135" s="17">
        <f t="shared" si="54"/>
        <v>7.1988191163024018E-2</v>
      </c>
      <c r="BT135" s="39"/>
    </row>
    <row r="136" spans="2:72">
      <c r="B136" s="5">
        <v>46155</v>
      </c>
      <c r="C136" s="23">
        <f>IF([1]CHAMNORD!H137=0,"",[1]CHAMNORD!H137)</f>
        <v>15293.11</v>
      </c>
      <c r="D136" s="22">
        <f t="shared" si="45"/>
        <v>15293.11</v>
      </c>
      <c r="E136" s="23">
        <f>IF([2]CHAMNORD!H138=0,"",[2]CHAMNORD!H138)</f>
        <v>21058.04</v>
      </c>
      <c r="F136" s="17">
        <f t="shared" si="46"/>
        <v>9.6834042313816537E-2</v>
      </c>
      <c r="R136" s="39"/>
      <c r="T136" s="5">
        <v>46155</v>
      </c>
      <c r="U136" s="23">
        <f>IF([1]CHAMNORD!I137=0,"",[1]CHAMNORD!I137)</f>
        <v>15100.15</v>
      </c>
      <c r="V136" s="22">
        <f t="shared" si="47"/>
        <v>15100.15</v>
      </c>
      <c r="W136" s="23">
        <f>IF([2]CHAMNORD!I138=0,"",[2]CHAMNORD!I138)</f>
        <v>20708.98</v>
      </c>
      <c r="X136" s="17">
        <f t="shared" si="48"/>
        <v>9.3911456949479444E-2</v>
      </c>
      <c r="AJ136" s="39"/>
      <c r="AL136" s="5">
        <v>46155</v>
      </c>
      <c r="AM136" s="23">
        <f>IF([1]CHAMNORD!J137=0,"",[1]CHAMNORD!J137)</f>
        <v>992</v>
      </c>
      <c r="AN136" s="22">
        <f t="shared" si="49"/>
        <v>992</v>
      </c>
      <c r="AO136" s="23">
        <f>IF([2]CHAMNORD!J138=0,"",[2]CHAMNORD!J138)</f>
        <v>1158</v>
      </c>
      <c r="AP136" s="17">
        <f t="shared" si="50"/>
        <v>1.7301038062282892E-3</v>
      </c>
      <c r="BB136" s="39"/>
      <c r="BD136" s="5">
        <v>46155</v>
      </c>
      <c r="BE136" s="42">
        <f t="shared" si="51"/>
        <v>15.416441532258066</v>
      </c>
      <c r="BF136" s="72">
        <f t="shared" si="52"/>
        <v>15.416441532258066</v>
      </c>
      <c r="BG136" s="42">
        <f t="shared" si="53"/>
        <v>18.184835924006908</v>
      </c>
      <c r="BH136" s="17">
        <f t="shared" si="54"/>
        <v>9.4939683000666575E-2</v>
      </c>
      <c r="BT136" s="39"/>
    </row>
    <row r="137" spans="2:72">
      <c r="B137" s="5">
        <v>46156</v>
      </c>
      <c r="C137" s="23">
        <f>IF([1]CHAMNORD!H138=0,"",[1]CHAMNORD!H138)</f>
        <v>19198.93</v>
      </c>
      <c r="D137" s="22">
        <f t="shared" si="45"/>
        <v>19198.93</v>
      </c>
      <c r="E137" s="23">
        <f>IF([2]CHAMNORD!H139=0,"",[2]CHAMNORD!H139)</f>
        <v>18681.62</v>
      </c>
      <c r="F137" s="17">
        <f t="shared" si="46"/>
        <v>2.312679428719755E-2</v>
      </c>
      <c r="R137" s="39"/>
      <c r="T137" s="5">
        <v>46156</v>
      </c>
      <c r="U137" s="23">
        <f>IF([1]CHAMNORD!I138=0,"",[1]CHAMNORD!I138)</f>
        <v>18931.13</v>
      </c>
      <c r="V137" s="22">
        <f t="shared" si="47"/>
        <v>18931.13</v>
      </c>
      <c r="W137" s="23">
        <f>IF([2]CHAMNORD!I139=0,"",[2]CHAMNORD!I139)</f>
        <v>18273.25</v>
      </c>
      <c r="X137" s="17">
        <f t="shared" si="48"/>
        <v>1.4179898056140283E-2</v>
      </c>
      <c r="AJ137" s="39"/>
      <c r="AL137" s="5">
        <v>46156</v>
      </c>
      <c r="AM137" s="23">
        <f>IF([1]CHAMNORD!J138=0,"",[1]CHAMNORD!J138)</f>
        <v>1156</v>
      </c>
      <c r="AN137" s="22">
        <f t="shared" si="49"/>
        <v>1156</v>
      </c>
      <c r="AO137" s="23">
        <f>IF([2]CHAMNORD!J139=0,"",[2]CHAMNORD!J139)</f>
        <v>931</v>
      </c>
      <c r="AP137" s="17">
        <f t="shared" si="50"/>
        <v>-0.14430147058823528</v>
      </c>
      <c r="BB137" s="39"/>
      <c r="BD137" s="5">
        <v>46156</v>
      </c>
      <c r="BE137" s="42">
        <f t="shared" si="51"/>
        <v>16.608070934256055</v>
      </c>
      <c r="BF137" s="72">
        <f t="shared" si="52"/>
        <v>16.608070934256055</v>
      </c>
      <c r="BG137" s="42">
        <f t="shared" si="53"/>
        <v>20.066186895810954</v>
      </c>
      <c r="BH137" s="17">
        <f t="shared" si="54"/>
        <v>0.19566267688987216</v>
      </c>
      <c r="BT137" s="39"/>
    </row>
    <row r="138" spans="2:72">
      <c r="B138" s="5">
        <v>46157</v>
      </c>
      <c r="C138" s="23">
        <f>IF([1]CHAMNORD!H139=0,"",[1]CHAMNORD!H139)</f>
        <v>18259.34</v>
      </c>
      <c r="D138" s="22">
        <f t="shared" si="45"/>
        <v>18259.34</v>
      </c>
      <c r="E138" s="23">
        <f>IF([2]CHAMNORD!H140=0,"",[2]CHAMNORD!H140)</f>
        <v>20395.52</v>
      </c>
      <c r="F138" s="17">
        <f t="shared" si="46"/>
        <v>-0.13244996773621376</v>
      </c>
      <c r="R138" s="39"/>
      <c r="T138" s="5">
        <v>46157</v>
      </c>
      <c r="U138" s="23">
        <f>IF([1]CHAMNORD!I139=0,"",[1]CHAMNORD!I139)</f>
        <v>18017.759999999998</v>
      </c>
      <c r="V138" s="22">
        <f t="shared" si="47"/>
        <v>18017.759999999998</v>
      </c>
      <c r="W138" s="23">
        <f>IF([2]CHAMNORD!I140=0,"",[2]CHAMNORD!I140)</f>
        <v>19972.55</v>
      </c>
      <c r="X138" s="17">
        <f t="shared" si="48"/>
        <v>-0.1418056990232357</v>
      </c>
      <c r="AJ138" s="39"/>
      <c r="AL138" s="5">
        <v>46157</v>
      </c>
      <c r="AM138" s="23">
        <f>IF([1]CHAMNORD!J139=0,"",[1]CHAMNORD!J139)</f>
        <v>1088</v>
      </c>
      <c r="AN138" s="22">
        <f t="shared" si="49"/>
        <v>1088</v>
      </c>
      <c r="AO138" s="23">
        <f>IF([2]CHAMNORD!J140=0,"",[2]CHAMNORD!J140)</f>
        <v>1077</v>
      </c>
      <c r="AP138" s="17">
        <f t="shared" si="50"/>
        <v>-0.21672727272727277</v>
      </c>
      <c r="BB138" s="39"/>
      <c r="BD138" s="5">
        <v>46157</v>
      </c>
      <c r="BE138" s="42">
        <f t="shared" si="51"/>
        <v>16.782481617647058</v>
      </c>
      <c r="BF138" s="72">
        <f t="shared" si="52"/>
        <v>16.782481617647058</v>
      </c>
      <c r="BG138" s="42">
        <f t="shared" si="53"/>
        <v>18.937344475394614</v>
      </c>
      <c r="BH138" s="17">
        <f t="shared" si="54"/>
        <v>0.10759637359582719</v>
      </c>
      <c r="BT138" s="39"/>
    </row>
    <row r="139" spans="2:72">
      <c r="B139" s="5">
        <v>46158</v>
      </c>
      <c r="C139" s="23">
        <f>IF([1]CHAMNORD!H140=0,"",[1]CHAMNORD!H140)</f>
        <v>23509.33</v>
      </c>
      <c r="D139" s="22">
        <f t="shared" si="45"/>
        <v>23509.33</v>
      </c>
      <c r="E139" s="23">
        <f>IF([2]CHAMNORD!H141=0,"",[2]CHAMNORD!H141)</f>
        <v>17395.55</v>
      </c>
      <c r="F139" s="17">
        <f t="shared" si="46"/>
        <v>-0.23829709721333703</v>
      </c>
      <c r="R139" s="39"/>
      <c r="T139" s="5">
        <v>46158</v>
      </c>
      <c r="U139" s="23">
        <f>IF([1]CHAMNORD!I140=0,"",[1]CHAMNORD!I140)</f>
        <v>23272.76</v>
      </c>
      <c r="V139" s="22">
        <f t="shared" si="47"/>
        <v>23272.76</v>
      </c>
      <c r="W139" s="23">
        <f>IF([2]CHAMNORD!I141=0,"",[2]CHAMNORD!I141)</f>
        <v>17081.73</v>
      </c>
      <c r="X139" s="17">
        <f t="shared" si="48"/>
        <v>-0.2421928929506233</v>
      </c>
      <c r="AJ139" s="39"/>
      <c r="AL139" s="5">
        <v>46158</v>
      </c>
      <c r="AM139" s="23">
        <f>IF([1]CHAMNORD!J140=0,"",[1]CHAMNORD!J140)</f>
        <v>1375</v>
      </c>
      <c r="AN139" s="22">
        <f t="shared" si="49"/>
        <v>1375</v>
      </c>
      <c r="AO139" s="23">
        <f>IF([2]CHAMNORD!J141=0,"",[2]CHAMNORD!J141)</f>
        <v>979</v>
      </c>
      <c r="AP139" s="17">
        <f t="shared" si="50"/>
        <v>-0.23455824863174357</v>
      </c>
      <c r="BB139" s="39"/>
      <c r="BD139" s="5">
        <v>46158</v>
      </c>
      <c r="BE139" s="42">
        <f t="shared" si="51"/>
        <v>17.097694545454548</v>
      </c>
      <c r="BF139" s="72">
        <f t="shared" si="52"/>
        <v>17.097694545454548</v>
      </c>
      <c r="BG139" s="42">
        <f t="shared" si="53"/>
        <v>17.768692543411643</v>
      </c>
      <c r="BH139" s="17">
        <f t="shared" si="54"/>
        <v>-4.8845631622657093E-3</v>
      </c>
      <c r="BT139" s="39"/>
    </row>
    <row r="140" spans="2:72">
      <c r="B140" s="5">
        <v>46159</v>
      </c>
      <c r="C140" s="23">
        <f>IF([1]CHAMNORD!H141=0,"",[1]CHAMNORD!H141)</f>
        <v>22837.71</v>
      </c>
      <c r="D140" s="22">
        <f t="shared" si="45"/>
        <v>22837.71</v>
      </c>
      <c r="E140" s="24">
        <f>IF([2]CHAMNORD!H142=0,"",[2]CHAMNORD!H142)</f>
        <v>22522.5</v>
      </c>
      <c r="F140" s="17">
        <f t="shared" si="46"/>
        <v>-1.8585970736017976E-2</v>
      </c>
      <c r="R140" s="39"/>
      <c r="T140" s="5">
        <v>46159</v>
      </c>
      <c r="U140" s="23">
        <f>IF([1]CHAMNORD!I141=0,"",[1]CHAMNORD!I141)</f>
        <v>22541</v>
      </c>
      <c r="V140" s="22">
        <f t="shared" si="47"/>
        <v>22541</v>
      </c>
      <c r="W140" s="24">
        <f>IF([2]CHAMNORD!I142=0,"",[2]CHAMNORD!I142)</f>
        <v>22147.59</v>
      </c>
      <c r="X140" s="17">
        <f t="shared" si="48"/>
        <v>-2.084046230201364E-2</v>
      </c>
      <c r="AJ140" s="39"/>
      <c r="AL140" s="5">
        <v>46159</v>
      </c>
      <c r="AM140" s="23">
        <f>IF([1]CHAMNORD!J141=0,"",[1]CHAMNORD!J141)</f>
        <v>1279</v>
      </c>
      <c r="AN140" s="22">
        <f t="shared" si="49"/>
        <v>1279</v>
      </c>
      <c r="AO140" s="24">
        <f>IF([2]CHAMNORD!J142=0,"",[2]CHAMNORD!J142)</f>
        <v>1039</v>
      </c>
      <c r="AP140" s="17">
        <f t="shared" si="50"/>
        <v>-7.6444444444444426E-2</v>
      </c>
      <c r="BB140" s="39"/>
      <c r="BD140" s="5">
        <v>46159</v>
      </c>
      <c r="BE140" s="42">
        <f t="shared" si="51"/>
        <v>17.855910867865518</v>
      </c>
      <c r="BF140" s="72">
        <f t="shared" si="52"/>
        <v>17.855910867865518</v>
      </c>
      <c r="BG140" s="43">
        <f t="shared" si="53"/>
        <v>21.677093358999038</v>
      </c>
      <c r="BH140" s="17">
        <f t="shared" si="54"/>
        <v>6.2647529280057457E-2</v>
      </c>
      <c r="BT140" s="39"/>
    </row>
    <row r="141" spans="2:72">
      <c r="B141" s="5">
        <v>46160</v>
      </c>
      <c r="C141" s="24">
        <f>IF([1]CHAMNORD!H142=0,"",[1]CHAMNORD!H142)</f>
        <v>22949.03</v>
      </c>
      <c r="D141" s="22">
        <f t="shared" si="45"/>
        <v>22949.03</v>
      </c>
      <c r="E141" s="21">
        <f>IF([2]CHAMNORD!H143=0,"",[2]CHAMNORD!H143)</f>
        <v>11863.76</v>
      </c>
      <c r="F141" s="17">
        <f t="shared" si="46"/>
        <v>-0.2216989270590396</v>
      </c>
      <c r="R141" s="39"/>
      <c r="T141" s="5">
        <v>46160</v>
      </c>
      <c r="U141" s="24">
        <f>IF([1]CHAMNORD!I142=0,"",[1]CHAMNORD!I142)</f>
        <v>22618.98</v>
      </c>
      <c r="V141" s="22">
        <f t="shared" si="47"/>
        <v>22618.98</v>
      </c>
      <c r="W141" s="21">
        <f>IF([2]CHAMNORD!I143=0,"",[2]CHAMNORD!I143)</f>
        <v>11722.96</v>
      </c>
      <c r="X141" s="17">
        <f t="shared" si="48"/>
        <v>-0.22305331875269252</v>
      </c>
      <c r="AJ141" s="39"/>
      <c r="AL141" s="5">
        <v>46160</v>
      </c>
      <c r="AM141" s="24">
        <f>IF([1]CHAMNORD!J142=0,"",[1]CHAMNORD!J142)</f>
        <v>1125</v>
      </c>
      <c r="AN141" s="22">
        <f t="shared" si="49"/>
        <v>1125</v>
      </c>
      <c r="AO141" s="21">
        <f>IF([2]CHAMNORD!J143=0,"",[2]CHAMNORD!J143)</f>
        <v>727</v>
      </c>
      <c r="AP141" s="17">
        <f t="shared" si="50"/>
        <v>-0.22329059829059827</v>
      </c>
      <c r="BB141" s="39"/>
      <c r="BD141" s="5">
        <v>46160</v>
      </c>
      <c r="BE141" s="43">
        <f t="shared" si="51"/>
        <v>20.399137777777778</v>
      </c>
      <c r="BF141" s="72">
        <f t="shared" si="52"/>
        <v>20.399137777777778</v>
      </c>
      <c r="BG141" s="41">
        <f t="shared" si="53"/>
        <v>16.318789546079781</v>
      </c>
      <c r="BH141" s="17">
        <f t="shared" si="54"/>
        <v>2.0492493435197989E-3</v>
      </c>
      <c r="BT141" s="39"/>
    </row>
    <row r="142" spans="2:72">
      <c r="B142" s="5">
        <v>46161</v>
      </c>
      <c r="C142" s="21">
        <f>IF([1]CHAMNORD!H143=0,"",[1]CHAMNORD!H143)</f>
        <v>15243.15</v>
      </c>
      <c r="D142" s="22">
        <f t="shared" si="45"/>
        <v>15243.15</v>
      </c>
      <c r="E142" s="23">
        <f>IF([2]CHAMNORD!H144=0,"",[2]CHAMNORD!H144)</f>
        <v>13648.69</v>
      </c>
      <c r="F142" s="17">
        <f t="shared" si="46"/>
        <v>-0.17723712011381132</v>
      </c>
      <c r="R142" s="39"/>
      <c r="T142" s="5">
        <v>46161</v>
      </c>
      <c r="U142" s="21">
        <f>IF([1]CHAMNORD!I143=0,"",[1]CHAMNORD!I143)</f>
        <v>15088.5</v>
      </c>
      <c r="V142" s="22">
        <f t="shared" si="47"/>
        <v>15088.5</v>
      </c>
      <c r="W142" s="23">
        <f>IF([2]CHAMNORD!I144=0,"",[2]CHAMNORD!I144)</f>
        <v>13516.25</v>
      </c>
      <c r="X142" s="17">
        <f t="shared" si="48"/>
        <v>-0.1743456920591191</v>
      </c>
      <c r="AJ142" s="39"/>
      <c r="AL142" s="5">
        <v>46161</v>
      </c>
      <c r="AM142" s="21">
        <f>IF([1]CHAMNORD!J143=0,"",[1]CHAMNORD!J143)</f>
        <v>936</v>
      </c>
      <c r="AN142" s="22">
        <f t="shared" si="49"/>
        <v>936</v>
      </c>
      <c r="AO142" s="23">
        <f>IF([2]CHAMNORD!J144=0,"",[2]CHAMNORD!J144)</f>
        <v>757</v>
      </c>
      <c r="AP142" s="17">
        <f t="shared" si="50"/>
        <v>-0.23535353535353531</v>
      </c>
      <c r="BB142" s="39"/>
      <c r="BD142" s="5">
        <v>46161</v>
      </c>
      <c r="BE142" s="41">
        <f t="shared" si="51"/>
        <v>16.285416666666666</v>
      </c>
      <c r="BF142" s="72">
        <f t="shared" si="52"/>
        <v>16.285416666666666</v>
      </c>
      <c r="BG142" s="42">
        <f t="shared" si="53"/>
        <v>18.029973579920739</v>
      </c>
      <c r="BH142" s="17">
        <f t="shared" si="54"/>
        <v>7.6004294699242747E-2</v>
      </c>
      <c r="BT142" s="39"/>
    </row>
    <row r="143" spans="2:72">
      <c r="B143" s="5">
        <v>46162</v>
      </c>
      <c r="C143" s="23">
        <f>IF([1]CHAMNORD!H144=0,"",[1]CHAMNORD!H144)</f>
        <v>16588.849999999999</v>
      </c>
      <c r="D143" s="22">
        <f t="shared" si="45"/>
        <v>16588.849999999999</v>
      </c>
      <c r="E143" s="23">
        <f>IF([2]CHAMNORD!H145=0,"",[2]CHAMNORD!H145)</f>
        <v>14907.18</v>
      </c>
      <c r="F143" s="17">
        <f t="shared" si="46"/>
        <v>-0.15253503063048313</v>
      </c>
      <c r="R143" s="39"/>
      <c r="T143" s="5">
        <v>46162</v>
      </c>
      <c r="U143" s="23">
        <f>IF([1]CHAMNORD!I144=0,"",[1]CHAMNORD!I144)</f>
        <v>16370.35</v>
      </c>
      <c r="V143" s="22">
        <f t="shared" si="47"/>
        <v>16370.35</v>
      </c>
      <c r="W143" s="23">
        <f>IF([2]CHAMNORD!I145=0,"",[2]CHAMNORD!I145)</f>
        <v>14701.44</v>
      </c>
      <c r="X143" s="17">
        <f t="shared" si="48"/>
        <v>-0.15425508964880863</v>
      </c>
      <c r="AJ143" s="39"/>
      <c r="AL143" s="5">
        <v>46162</v>
      </c>
      <c r="AM143" s="23">
        <f>IF([1]CHAMNORD!J144=0,"",[1]CHAMNORD!J144)</f>
        <v>990</v>
      </c>
      <c r="AN143" s="22">
        <f t="shared" si="49"/>
        <v>990</v>
      </c>
      <c r="AO143" s="23">
        <f>IF([2]CHAMNORD!J145=0,"",[2]CHAMNORD!J145)</f>
        <v>869</v>
      </c>
      <c r="AP143" s="17">
        <f t="shared" si="50"/>
        <v>-0.17395437262357416</v>
      </c>
      <c r="BB143" s="39"/>
      <c r="BD143" s="5">
        <v>46162</v>
      </c>
      <c r="BE143" s="42">
        <f t="shared" si="51"/>
        <v>16.75641414141414</v>
      </c>
      <c r="BF143" s="72">
        <f t="shared" si="52"/>
        <v>16.75641414141414</v>
      </c>
      <c r="BG143" s="42">
        <f t="shared" si="53"/>
        <v>17.154407364787112</v>
      </c>
      <c r="BH143" s="17">
        <f t="shared" si="54"/>
        <v>2.5929974426618818E-2</v>
      </c>
      <c r="BT143" s="39"/>
    </row>
    <row r="144" spans="2:72">
      <c r="B144" s="5">
        <v>46163</v>
      </c>
      <c r="C144" s="23">
        <f>IF([1]CHAMNORD!H145=0,"",[1]CHAMNORD!H145)</f>
        <v>17590.32</v>
      </c>
      <c r="D144" s="22">
        <f t="shared" si="45"/>
        <v>17590.32</v>
      </c>
      <c r="E144" s="23">
        <f>IF([2]CHAMNORD!H146=0,"",[2]CHAMNORD!H146)</f>
        <v>14473.49</v>
      </c>
      <c r="F144" s="17">
        <f t="shared" si="46"/>
        <v>-0.21169514391672895</v>
      </c>
      <c r="R144" s="39"/>
      <c r="T144" s="5">
        <v>46163</v>
      </c>
      <c r="U144" s="23">
        <f>IF([1]CHAMNORD!I145=0,"",[1]CHAMNORD!I145)</f>
        <v>17382.830000000002</v>
      </c>
      <c r="V144" s="22">
        <f t="shared" si="47"/>
        <v>17382.830000000002</v>
      </c>
      <c r="W144" s="23">
        <f>IF([2]CHAMNORD!I146=0,"",[2]CHAMNORD!I146)</f>
        <v>14304.26</v>
      </c>
      <c r="X144" s="17">
        <f t="shared" si="48"/>
        <v>-0.21310045109472986</v>
      </c>
      <c r="AJ144" s="39"/>
      <c r="AL144" s="5">
        <v>46163</v>
      </c>
      <c r="AM144" s="23">
        <f>IF([1]CHAMNORD!J145=0,"",[1]CHAMNORD!J145)</f>
        <v>1052</v>
      </c>
      <c r="AN144" s="22">
        <f t="shared" si="49"/>
        <v>1052</v>
      </c>
      <c r="AO144" s="23">
        <f>IF([2]CHAMNORD!J146=0,"",[2]CHAMNORD!J146)</f>
        <v>904</v>
      </c>
      <c r="AP144" s="17">
        <f t="shared" si="50"/>
        <v>-0.14312796208530809</v>
      </c>
      <c r="BB144" s="39"/>
      <c r="BD144" s="5">
        <v>46163</v>
      </c>
      <c r="BE144" s="42">
        <f t="shared" si="51"/>
        <v>16.72083650190114</v>
      </c>
      <c r="BF144" s="72">
        <f t="shared" si="52"/>
        <v>16.72083650190114</v>
      </c>
      <c r="BG144" s="42">
        <f t="shared" si="53"/>
        <v>16.010497787610618</v>
      </c>
      <c r="BH144" s="17">
        <f t="shared" si="54"/>
        <v>-8.0020328354147297E-2</v>
      </c>
      <c r="BT144" s="39"/>
    </row>
    <row r="145" spans="2:72">
      <c r="B145" s="5">
        <v>46164</v>
      </c>
      <c r="C145" s="23">
        <f>IF([1]CHAMNORD!H146=0,"",[1]CHAMNORD!H146)</f>
        <v>18360.27</v>
      </c>
      <c r="D145" s="22">
        <f t="shared" si="45"/>
        <v>18360.27</v>
      </c>
      <c r="E145" s="23">
        <f>IF([2]CHAMNORD!H147=0,"",[2]CHAMNORD!H147)</f>
        <v>19000.43</v>
      </c>
      <c r="F145" s="17">
        <f t="shared" si="46"/>
        <v>-0.17545846726405523</v>
      </c>
      <c r="R145" s="39"/>
      <c r="T145" s="5">
        <v>46164</v>
      </c>
      <c r="U145" s="23">
        <f>IF([1]CHAMNORD!I146=0,"",[1]CHAMNORD!I146)</f>
        <v>18178</v>
      </c>
      <c r="V145" s="22">
        <f t="shared" si="47"/>
        <v>18178</v>
      </c>
      <c r="W145" s="23">
        <f>IF([2]CHAMNORD!I147=0,"",[2]CHAMNORD!I147)</f>
        <v>18798.189999999999</v>
      </c>
      <c r="X145" s="17">
        <f t="shared" si="48"/>
        <v>-0.17755173828926551</v>
      </c>
      <c r="AJ145" s="39"/>
      <c r="AL145" s="5">
        <v>46164</v>
      </c>
      <c r="AM145" s="23">
        <f>IF([1]CHAMNORD!J146=0,"",[1]CHAMNORD!J146)</f>
        <v>1055</v>
      </c>
      <c r="AN145" s="22">
        <f t="shared" si="49"/>
        <v>1055</v>
      </c>
      <c r="AO145" s="23">
        <f>IF([2]CHAMNORD!J147=0,"",[2]CHAMNORD!J147)</f>
        <v>1094</v>
      </c>
      <c r="AP145" s="17">
        <f t="shared" si="50"/>
        <v>-0.15325077399380804</v>
      </c>
      <c r="BB145" s="39"/>
      <c r="BD145" s="5">
        <v>46164</v>
      </c>
      <c r="BE145" s="42">
        <f t="shared" si="51"/>
        <v>17.403099526066352</v>
      </c>
      <c r="BF145" s="72">
        <f t="shared" si="52"/>
        <v>17.403099526066352</v>
      </c>
      <c r="BG145" s="42">
        <f t="shared" si="53"/>
        <v>17.367851919561243</v>
      </c>
      <c r="BH145" s="17">
        <f t="shared" si="54"/>
        <v>-2.6227001558646545E-2</v>
      </c>
      <c r="BT145" s="39"/>
    </row>
    <row r="146" spans="2:72">
      <c r="B146" s="5">
        <v>46165</v>
      </c>
      <c r="C146" s="23">
        <f>IF([1]CHAMNORD!H147=0,"",[1]CHAMNORD!H147)</f>
        <v>23043.63</v>
      </c>
      <c r="D146" s="22">
        <f t="shared" si="45"/>
        <v>23043.63</v>
      </c>
      <c r="E146" s="23">
        <f>IF([2]CHAMNORD!H148=0,"",[2]CHAMNORD!H148)</f>
        <v>17548.900000000001</v>
      </c>
      <c r="F146" s="17">
        <f t="shared" si="46"/>
        <v>-0.24876863106363045</v>
      </c>
      <c r="R146" s="39"/>
      <c r="T146" s="5">
        <v>46165</v>
      </c>
      <c r="U146" s="23">
        <f>IF([1]CHAMNORD!I147=0,"",[1]CHAMNORD!I147)</f>
        <v>22856.38</v>
      </c>
      <c r="V146" s="22">
        <f t="shared" si="47"/>
        <v>22856.38</v>
      </c>
      <c r="W146" s="23">
        <f>IF([2]CHAMNORD!I148=0,"",[2]CHAMNORD!I148)</f>
        <v>17297.21</v>
      </c>
      <c r="X146" s="17">
        <f t="shared" si="48"/>
        <v>-0.24978541703261792</v>
      </c>
      <c r="AJ146" s="39"/>
      <c r="AL146" s="5">
        <v>46165</v>
      </c>
      <c r="AM146" s="23">
        <f>IF([1]CHAMNORD!J147=0,"",[1]CHAMNORD!J147)</f>
        <v>1292</v>
      </c>
      <c r="AN146" s="22">
        <f t="shared" si="49"/>
        <v>1292</v>
      </c>
      <c r="AO146" s="23">
        <f>IF([2]CHAMNORD!J148=0,"",[2]CHAMNORD!J148)</f>
        <v>981</v>
      </c>
      <c r="AP146" s="17">
        <f t="shared" si="50"/>
        <v>-0.24942616679418517</v>
      </c>
      <c r="BB146" s="39"/>
      <c r="BD146" s="5">
        <v>46165</v>
      </c>
      <c r="BE146" s="42">
        <f t="shared" si="51"/>
        <v>17.835626934984521</v>
      </c>
      <c r="BF146" s="72">
        <f t="shared" si="52"/>
        <v>17.835626934984521</v>
      </c>
      <c r="BG146" s="42">
        <f t="shared" si="53"/>
        <v>17.888786952089706</v>
      </c>
      <c r="BH146" s="17">
        <f t="shared" si="54"/>
        <v>8.7604403652918883E-4</v>
      </c>
      <c r="BT146" s="39"/>
    </row>
    <row r="147" spans="2:72">
      <c r="B147" s="5">
        <v>46166</v>
      </c>
      <c r="C147" s="23">
        <f>IF([1]CHAMNORD!H148=0,"",[1]CHAMNORD!H148)</f>
        <v>23360.18</v>
      </c>
      <c r="D147" s="22">
        <f t="shared" si="45"/>
        <v>23360.18</v>
      </c>
      <c r="E147" s="24">
        <f>IF([2]CHAMNORD!H149=0,"",[2]CHAMNORD!H149)</f>
        <v>20492.97</v>
      </c>
      <c r="F147" s="17">
        <f t="shared" si="46"/>
        <v>-2.4072252952003548E-2</v>
      </c>
      <c r="R147" s="39"/>
      <c r="T147" s="5">
        <v>46166</v>
      </c>
      <c r="U147" s="23">
        <f>IF([1]CHAMNORD!I148=0,"",[1]CHAMNORD!I148)</f>
        <v>23056.35</v>
      </c>
      <c r="V147" s="22">
        <f t="shared" si="47"/>
        <v>23056.35</v>
      </c>
      <c r="W147" s="24">
        <f>IF([2]CHAMNORD!I149=0,"",[2]CHAMNORD!I149)</f>
        <v>20239.689999999999</v>
      </c>
      <c r="X147" s="17">
        <f t="shared" si="48"/>
        <v>-2.2849923091703861E-2</v>
      </c>
      <c r="AJ147" s="39"/>
      <c r="AL147" s="5">
        <v>46166</v>
      </c>
      <c r="AM147" s="23">
        <f>IF([1]CHAMNORD!J148=0,"",[1]CHAMNORD!J148)</f>
        <v>1307</v>
      </c>
      <c r="AN147" s="22">
        <f t="shared" si="49"/>
        <v>1307</v>
      </c>
      <c r="AO147" s="24">
        <f>IF([2]CHAMNORD!J149=0,"",[2]CHAMNORD!J149)</f>
        <v>1032</v>
      </c>
      <c r="AP147" s="17">
        <f t="shared" si="50"/>
        <v>-3.0985915492957705E-2</v>
      </c>
      <c r="BB147" s="39"/>
      <c r="BD147" s="5">
        <v>46166</v>
      </c>
      <c r="BE147" s="42">
        <f t="shared" si="51"/>
        <v>17.873129303749042</v>
      </c>
      <c r="BF147" s="72">
        <f t="shared" si="52"/>
        <v>17.873129303749042</v>
      </c>
      <c r="BG147" s="43">
        <f t="shared" si="53"/>
        <v>19.857529069767445</v>
      </c>
      <c r="BH147" s="17">
        <f t="shared" si="54"/>
        <v>7.1347389594149657E-3</v>
      </c>
      <c r="BT147" s="39"/>
    </row>
    <row r="148" spans="2:72">
      <c r="B148" s="5">
        <v>46167</v>
      </c>
      <c r="C148" s="24">
        <f>IF([1]CHAMNORD!H149=0,"",[1]CHAMNORD!H149)</f>
        <v>20998.45</v>
      </c>
      <c r="D148" s="22">
        <f t="shared" si="45"/>
        <v>20998.45</v>
      </c>
      <c r="E148" s="21">
        <f>IF([2]CHAMNORD!H150=0,"",[2]CHAMNORD!H150)</f>
        <v>20205.060000000001</v>
      </c>
      <c r="F148" s="17">
        <f t="shared" si="46"/>
        <v>0.34879069807805418</v>
      </c>
      <c r="R148" s="39"/>
      <c r="T148" s="5">
        <v>46167</v>
      </c>
      <c r="U148" s="24">
        <f>IF([1]CHAMNORD!I149=0,"",[1]CHAMNORD!I149)</f>
        <v>20712.98</v>
      </c>
      <c r="V148" s="22">
        <f t="shared" si="47"/>
        <v>20712.98</v>
      </c>
      <c r="W148" s="21">
        <f>IF([2]CHAMNORD!I150=0,"",[2]CHAMNORD!I150)</f>
        <v>19893.419999999998</v>
      </c>
      <c r="X148" s="17">
        <f t="shared" si="48"/>
        <v>0.33904083540706509</v>
      </c>
      <c r="AJ148" s="39"/>
      <c r="AL148" s="5">
        <v>46167</v>
      </c>
      <c r="AM148" s="24">
        <f>IF([1]CHAMNORD!J149=0,"",[1]CHAMNORD!J149)</f>
        <v>1065</v>
      </c>
      <c r="AN148" s="22">
        <f t="shared" si="49"/>
        <v>1065</v>
      </c>
      <c r="AO148" s="21">
        <f>IF([2]CHAMNORD!J150=0,"",[2]CHAMNORD!J150)</f>
        <v>987</v>
      </c>
      <c r="AP148" s="17">
        <f t="shared" si="50"/>
        <v>5.0916496945010437E-3</v>
      </c>
      <c r="BB148" s="39"/>
      <c r="BD148" s="5">
        <v>46167</v>
      </c>
      <c r="BE148" s="43">
        <f t="shared" si="51"/>
        <v>19.716854460093899</v>
      </c>
      <c r="BF148" s="72">
        <f t="shared" si="52"/>
        <v>19.716854460093899</v>
      </c>
      <c r="BG148" s="41">
        <f t="shared" si="53"/>
        <v>20.471185410334346</v>
      </c>
      <c r="BH148" s="17">
        <f t="shared" si="54"/>
        <v>0.34195791845253209</v>
      </c>
      <c r="BT148" s="39"/>
    </row>
    <row r="149" spans="2:72">
      <c r="B149" s="5">
        <v>46168</v>
      </c>
      <c r="C149" s="21">
        <f>IF([1]CHAMNORD!H150=0,"",[1]CHAMNORD!H150)</f>
        <v>14980.13</v>
      </c>
      <c r="D149" s="22">
        <f t="shared" si="45"/>
        <v>14980.13</v>
      </c>
      <c r="E149" s="23">
        <f>IF([2]CHAMNORD!H151=0,"",[2]CHAMNORD!H151)</f>
        <v>12710.9</v>
      </c>
      <c r="F149" s="17">
        <f t="shared" si="46"/>
        <v>-0.2794253951966984</v>
      </c>
      <c r="R149" s="39"/>
      <c r="T149" s="5">
        <v>46168</v>
      </c>
      <c r="U149" s="21">
        <f>IF([1]CHAMNORD!I150=0,"",[1]CHAMNORD!I150)</f>
        <v>14856.47</v>
      </c>
      <c r="V149" s="22">
        <f t="shared" si="47"/>
        <v>14856.47</v>
      </c>
      <c r="W149" s="23">
        <f>IF([2]CHAMNORD!I151=0,"",[2]CHAMNORD!I151)</f>
        <v>12627.07</v>
      </c>
      <c r="X149" s="17">
        <f t="shared" si="48"/>
        <v>-0.2773973171084837</v>
      </c>
      <c r="AJ149" s="39"/>
      <c r="AL149" s="5">
        <v>46168</v>
      </c>
      <c r="AM149" s="21">
        <f>IF([1]CHAMNORD!J150=0,"",[1]CHAMNORD!J150)</f>
        <v>982</v>
      </c>
      <c r="AN149" s="22">
        <f t="shared" si="49"/>
        <v>982</v>
      </c>
      <c r="AO149" s="23">
        <f>IF([2]CHAMNORD!J151=0,"",[2]CHAMNORD!J151)</f>
        <v>774</v>
      </c>
      <c r="AP149" s="17">
        <f t="shared" si="50"/>
        <v>-0.28000000000000003</v>
      </c>
      <c r="BB149" s="39"/>
      <c r="BD149" s="5">
        <v>46168</v>
      </c>
      <c r="BE149" s="41">
        <f t="shared" si="51"/>
        <v>15.254714867617107</v>
      </c>
      <c r="BF149" s="72">
        <f t="shared" si="52"/>
        <v>15.254714867617107</v>
      </c>
      <c r="BG149" s="42">
        <f t="shared" si="53"/>
        <v>16.42235142118863</v>
      </c>
      <c r="BH149" s="17">
        <f t="shared" si="54"/>
        <v>7.98062226807561E-4</v>
      </c>
      <c r="BT149" s="39"/>
    </row>
    <row r="150" spans="2:72">
      <c r="B150" s="5">
        <v>46169</v>
      </c>
      <c r="C150" s="23">
        <f>IF([1]CHAMNORD!H151=0,"",[1]CHAMNORD!H151)</f>
        <v>17639.95</v>
      </c>
      <c r="D150" s="22">
        <f t="shared" si="45"/>
        <v>17639.95</v>
      </c>
      <c r="E150" s="23">
        <f>IF([2]CHAMNORD!H152=0,"",[2]CHAMNORD!H152)</f>
        <v>18460.61</v>
      </c>
      <c r="F150" s="17">
        <f t="shared" si="46"/>
        <v>-0.24788193684780058</v>
      </c>
      <c r="R150" s="39"/>
      <c r="T150" s="5">
        <v>46169</v>
      </c>
      <c r="U150" s="23">
        <f>IF([1]CHAMNORD!I151=0,"",[1]CHAMNORD!I151)</f>
        <v>17474.43</v>
      </c>
      <c r="V150" s="22">
        <f t="shared" si="47"/>
        <v>17474.43</v>
      </c>
      <c r="W150" s="23">
        <f>IF([2]CHAMNORD!I152=0,"",[2]CHAMNORD!I152)</f>
        <v>18195.3</v>
      </c>
      <c r="X150" s="17">
        <f t="shared" si="48"/>
        <v>-0.25112144720709328</v>
      </c>
      <c r="AJ150" s="39"/>
      <c r="AL150" s="5">
        <v>46169</v>
      </c>
      <c r="AM150" s="23">
        <f>IF([1]CHAMNORD!J151=0,"",[1]CHAMNORD!J151)</f>
        <v>1075</v>
      </c>
      <c r="AN150" s="22">
        <f t="shared" si="49"/>
        <v>1075</v>
      </c>
      <c r="AO150" s="23">
        <f>IF([2]CHAMNORD!J152=0,"",[2]CHAMNORD!J152)</f>
        <v>1030</v>
      </c>
      <c r="AP150" s="17">
        <f t="shared" si="50"/>
        <v>-0.24486803519061584</v>
      </c>
      <c r="BB150" s="39"/>
      <c r="BD150" s="5">
        <v>46169</v>
      </c>
      <c r="BE150" s="42">
        <f t="shared" si="51"/>
        <v>16.409255813953489</v>
      </c>
      <c r="BF150" s="72">
        <f t="shared" si="52"/>
        <v>16.409255813953489</v>
      </c>
      <c r="BG150" s="42">
        <f t="shared" si="53"/>
        <v>17.922922330097087</v>
      </c>
      <c r="BH150" s="17">
        <f t="shared" si="54"/>
        <v>-3.9912251071845262E-3</v>
      </c>
      <c r="BT150" s="39"/>
    </row>
    <row r="151" spans="2:72">
      <c r="B151" s="5">
        <v>46170</v>
      </c>
      <c r="C151" s="23">
        <f>IF([1]CHAMNORD!H152=0,"",[1]CHAMNORD!H152)</f>
        <v>24544.83</v>
      </c>
      <c r="D151" s="22">
        <f t="shared" si="45"/>
        <v>24544.83</v>
      </c>
      <c r="E151" s="23">
        <f>IF([2]CHAMNORD!H153=0,"",[2]CHAMNORD!H153)</f>
        <v>15983.45</v>
      </c>
      <c r="F151" s="17">
        <f t="shared" si="46"/>
        <v>-0.260628256315106</v>
      </c>
      <c r="R151" s="39"/>
      <c r="T151" s="5">
        <v>46170</v>
      </c>
      <c r="U151" s="23">
        <f>IF([1]CHAMNORD!I152=0,"",[1]CHAMNORD!I152)</f>
        <v>24296.73</v>
      </c>
      <c r="V151" s="22">
        <f t="shared" si="47"/>
        <v>24296.73</v>
      </c>
      <c r="W151" s="23">
        <f>IF([2]CHAMNORD!I153=0,"",[2]CHAMNORD!I153)</f>
        <v>15783.14</v>
      </c>
      <c r="X151" s="17">
        <f t="shared" si="48"/>
        <v>-0.26111109030441038</v>
      </c>
      <c r="AJ151" s="39"/>
      <c r="AL151" s="5">
        <v>46170</v>
      </c>
      <c r="AM151" s="23">
        <f>IF([1]CHAMNORD!J152=0,"",[1]CHAMNORD!J152)</f>
        <v>1364</v>
      </c>
      <c r="AN151" s="22">
        <f t="shared" si="49"/>
        <v>1364</v>
      </c>
      <c r="AO151" s="23">
        <f>IF([2]CHAMNORD!J153=0,"",[2]CHAMNORD!J153)</f>
        <v>953</v>
      </c>
      <c r="AP151" s="17">
        <f t="shared" si="50"/>
        <v>-0.18686006825938561</v>
      </c>
      <c r="BB151" s="39"/>
      <c r="BD151" s="5">
        <v>46170</v>
      </c>
      <c r="BE151" s="42">
        <f t="shared" si="51"/>
        <v>17.994743401759532</v>
      </c>
      <c r="BF151" s="72">
        <f t="shared" si="52"/>
        <v>17.994743401759532</v>
      </c>
      <c r="BG151" s="42">
        <f t="shared" si="53"/>
        <v>16.771720881427072</v>
      </c>
      <c r="BH151" s="17">
        <f t="shared" si="54"/>
        <v>-9.0720164114695079E-2</v>
      </c>
      <c r="BT151" s="39"/>
    </row>
    <row r="152" spans="2:72">
      <c r="B152" s="5">
        <v>46171</v>
      </c>
      <c r="C152" s="23">
        <f>IF([1]CHAMNORD!H153=0,"",[1]CHAMNORD!H153)</f>
        <v>21617.61</v>
      </c>
      <c r="D152" s="22">
        <f t="shared" si="45"/>
        <v>21617.61</v>
      </c>
      <c r="E152" s="23">
        <f>IF([2]CHAMNORD!H154=0,"",[2]CHAMNORD!H154)</f>
        <v>20109.63</v>
      </c>
      <c r="F152" s="17">
        <f t="shared" si="46"/>
        <v>-6.3788587525006601E-3</v>
      </c>
      <c r="R152" s="39"/>
      <c r="T152" s="5">
        <v>46171</v>
      </c>
      <c r="U152" s="23">
        <f>IF([1]CHAMNORD!I153=0,"",[1]CHAMNORD!I153)</f>
        <v>21360.639999999999</v>
      </c>
      <c r="V152" s="22">
        <f t="shared" si="47"/>
        <v>21360.639999999999</v>
      </c>
      <c r="W152" s="23">
        <f>IF([2]CHAMNORD!I154=0,"",[2]CHAMNORD!I154)</f>
        <v>19875.669999999998</v>
      </c>
      <c r="X152" s="17">
        <f t="shared" si="48"/>
        <v>-4.44042171233483E-3</v>
      </c>
      <c r="AJ152" s="39"/>
      <c r="AL152" s="5">
        <v>46171</v>
      </c>
      <c r="AM152" s="23">
        <f>IF([1]CHAMNORD!J153=0,"",[1]CHAMNORD!J153)</f>
        <v>1172</v>
      </c>
      <c r="AN152" s="22">
        <f t="shared" si="49"/>
        <v>1172</v>
      </c>
      <c r="AO152" s="23">
        <f>IF([2]CHAMNORD!J154=0,"",[2]CHAMNORD!J154)</f>
        <v>1075</v>
      </c>
      <c r="AP152" s="17">
        <f t="shared" si="50"/>
        <v>-6.1135371179039333E-2</v>
      </c>
      <c r="BB152" s="39"/>
      <c r="BD152" s="5">
        <v>46171</v>
      </c>
      <c r="BE152" s="42">
        <f t="shared" si="51"/>
        <v>18.445059726962459</v>
      </c>
      <c r="BF152" s="72">
        <f t="shared" si="52"/>
        <v>18.445059726962459</v>
      </c>
      <c r="BG152" s="42">
        <f t="shared" si="53"/>
        <v>18.706632558139535</v>
      </c>
      <c r="BH152" s="17">
        <f t="shared" si="54"/>
        <v>5.8322052770592325E-2</v>
      </c>
      <c r="BT152" s="39"/>
    </row>
    <row r="153" spans="2:72">
      <c r="B153" s="5">
        <v>46172</v>
      </c>
      <c r="C153" s="23">
        <f>IF([1]CHAMNORD!H154=0,"",[1]CHAMNORD!H154)</f>
        <v>20238.73</v>
      </c>
      <c r="D153" s="22">
        <f t="shared" si="45"/>
        <v>20238.73</v>
      </c>
      <c r="E153" s="23">
        <f>IF([2]CHAMNORD!H155=0,"",[2]CHAMNORD!H155)</f>
        <v>21648.31</v>
      </c>
      <c r="F153" s="17">
        <f t="shared" si="46"/>
        <v>0.12516268055982915</v>
      </c>
      <c r="R153" s="39"/>
      <c r="T153" s="5">
        <v>46172</v>
      </c>
      <c r="U153" s="23">
        <f>IF([1]CHAMNORD!I154=0,"",[1]CHAMNORD!I154)</f>
        <v>19964.32</v>
      </c>
      <c r="V153" s="22">
        <f t="shared" si="47"/>
        <v>19964.32</v>
      </c>
      <c r="W153" s="23">
        <f>IF([2]CHAMNORD!I155=0,"",[2]CHAMNORD!I155)</f>
        <v>21317.06</v>
      </c>
      <c r="X153" s="17">
        <f t="shared" si="48"/>
        <v>0.12145000547124241</v>
      </c>
      <c r="AJ153" s="39"/>
      <c r="AL153" s="5">
        <v>46172</v>
      </c>
      <c r="AM153" s="23">
        <f>IF([1]CHAMNORD!J154=0,"",[1]CHAMNORD!J154)</f>
        <v>1145</v>
      </c>
      <c r="AN153" s="22">
        <f t="shared" si="49"/>
        <v>1145</v>
      </c>
      <c r="AO153" s="23">
        <f>IF([2]CHAMNORD!J155=0,"",[2]CHAMNORD!J155)</f>
        <v>1140</v>
      </c>
      <c r="AP153" s="17">
        <f t="shared" si="50"/>
        <v>7.7504725897920679E-2</v>
      </c>
      <c r="BB153" s="39"/>
      <c r="BD153" s="5">
        <v>46172</v>
      </c>
      <c r="BE153" s="42">
        <f t="shared" si="51"/>
        <v>17.675746724890828</v>
      </c>
      <c r="BF153" s="72">
        <f t="shared" si="52"/>
        <v>17.675746724890828</v>
      </c>
      <c r="BG153" s="42">
        <f t="shared" si="53"/>
        <v>18.98974561403509</v>
      </c>
      <c r="BH153" s="17">
        <f t="shared" si="54"/>
        <v>4.422992634412215E-2</v>
      </c>
      <c r="BT153" s="39"/>
    </row>
    <row r="154" spans="2:72">
      <c r="B154" s="5">
        <v>46173</v>
      </c>
      <c r="C154" s="23">
        <f>IF([1]CHAMNORD!H155=0,"",[1]CHAMNORD!H155)</f>
        <v>19240.16</v>
      </c>
      <c r="D154" s="22">
        <f t="shared" si="45"/>
        <v>19240.16</v>
      </c>
      <c r="E154" s="24">
        <f>IF([2]CHAMNORD!H156=0,"",[2]CHAMNORD!H156)</f>
        <v>21037.55</v>
      </c>
      <c r="F154" s="17">
        <f t="shared" si="46"/>
        <v>-0.29430598953747178</v>
      </c>
      <c r="R154" s="39"/>
      <c r="T154" s="5">
        <v>46173</v>
      </c>
      <c r="U154" s="23">
        <f>IF([1]CHAMNORD!I155=0,"",[1]CHAMNORD!I155)</f>
        <v>19008.48</v>
      </c>
      <c r="V154" s="22">
        <f t="shared" si="47"/>
        <v>19008.48</v>
      </c>
      <c r="W154" s="24">
        <f>IF([2]CHAMNORD!I156=0,"",[2]CHAMNORD!I156)</f>
        <v>20774.490000000002</v>
      </c>
      <c r="X154" s="17">
        <f t="shared" si="48"/>
        <v>-0.29610236125760703</v>
      </c>
      <c r="AJ154" s="39"/>
      <c r="AL154" s="5">
        <v>46173</v>
      </c>
      <c r="AM154" s="23">
        <f>IF([1]CHAMNORD!J155=0,"",[1]CHAMNORD!J155)</f>
        <v>1058</v>
      </c>
      <c r="AN154" s="22">
        <f t="shared" si="49"/>
        <v>1058</v>
      </c>
      <c r="AO154" s="24">
        <f>IF([2]CHAMNORD!J156=0,"",[2]CHAMNORD!J156)</f>
        <v>1010</v>
      </c>
      <c r="AP154" s="17">
        <f t="shared" si="50"/>
        <v>-0.28368794326241131</v>
      </c>
      <c r="BB154" s="39"/>
      <c r="BD154" s="5">
        <v>46173</v>
      </c>
      <c r="BE154" s="42">
        <f t="shared" si="51"/>
        <v>18.185406427221171</v>
      </c>
      <c r="BF154" s="72">
        <f t="shared" si="52"/>
        <v>18.185406427221171</v>
      </c>
      <c r="BG154" s="43">
        <f t="shared" si="53"/>
        <v>20.829257425742572</v>
      </c>
      <c r="BH154" s="17">
        <f t="shared" si="54"/>
        <v>-1.4823213116668676E-2</v>
      </c>
      <c r="BT154" s="39"/>
    </row>
    <row r="155" spans="2:72">
      <c r="B155" s="5">
        <v>46174</v>
      </c>
      <c r="C155" s="24">
        <f>IF([1]CHAMNORD!H156=0,"",[1]CHAMNORD!H156)</f>
        <v>29811.15</v>
      </c>
      <c r="D155" s="22">
        <f t="shared" si="45"/>
        <v>29811.15</v>
      </c>
      <c r="E155" s="21">
        <f>IF([2]CHAMNORD!H157=0,"",[2]CHAMNORD!H157)</f>
        <v>13724.08</v>
      </c>
      <c r="F155" s="17">
        <f t="shared" si="46"/>
        <v>-0.14769760457473313</v>
      </c>
      <c r="R155" s="39"/>
      <c r="T155" s="5">
        <v>46174</v>
      </c>
      <c r="U155" s="24">
        <f>IF([1]CHAMNORD!I156=0,"",[1]CHAMNORD!I156)</f>
        <v>29513.51</v>
      </c>
      <c r="V155" s="22">
        <f t="shared" si="47"/>
        <v>29513.51</v>
      </c>
      <c r="W155" s="21">
        <f>IF([2]CHAMNORD!I157=0,"",[2]CHAMNORD!I157)</f>
        <v>13601.64</v>
      </c>
      <c r="X155" s="17">
        <f t="shared" si="48"/>
        <v>-0.14799166385308138</v>
      </c>
      <c r="AJ155" s="39"/>
      <c r="AL155" s="5">
        <v>46174</v>
      </c>
      <c r="AM155" s="24">
        <f>IF([1]CHAMNORD!J156=0,"",[1]CHAMNORD!J156)</f>
        <v>1410</v>
      </c>
      <c r="AN155" s="22">
        <f t="shared" si="49"/>
        <v>1410</v>
      </c>
      <c r="AO155" s="21">
        <f>IF([2]CHAMNORD!J157=0,"",[2]CHAMNORD!J157)</f>
        <v>804</v>
      </c>
      <c r="AP155" s="17">
        <f t="shared" si="50"/>
        <v>-0.16162669447340983</v>
      </c>
      <c r="BB155" s="39"/>
      <c r="BD155" s="5">
        <v>46174</v>
      </c>
      <c r="BE155" s="43">
        <f t="shared" si="51"/>
        <v>21.142659574468087</v>
      </c>
      <c r="BF155" s="72">
        <f t="shared" si="52"/>
        <v>21.142659574468087</v>
      </c>
      <c r="BG155" s="41">
        <f t="shared" si="53"/>
        <v>17.069751243781095</v>
      </c>
      <c r="BH155" s="17">
        <f t="shared" si="54"/>
        <v>1.6614424394068239E-2</v>
      </c>
      <c r="BT155" s="39"/>
    </row>
    <row r="156" spans="2:72">
      <c r="B156" s="5">
        <v>46175</v>
      </c>
      <c r="C156" s="21">
        <f>IF([1]CHAMNORD!H157=0,"",[1]CHAMNORD!H157)</f>
        <v>16102.36</v>
      </c>
      <c r="D156" s="22">
        <f t="shared" si="45"/>
        <v>16102.36</v>
      </c>
      <c r="E156" s="23">
        <f>IF([2]CHAMNORD!H158=0,"",[2]CHAMNORD!H158)</f>
        <v>16567.04</v>
      </c>
      <c r="F156" s="17">
        <f t="shared" si="46"/>
        <v>2.9363538362603192E-2</v>
      </c>
      <c r="R156" s="39"/>
      <c r="T156" s="5">
        <v>46175</v>
      </c>
      <c r="U156" s="21">
        <f>IF([1]CHAMNORD!I157=0,"",[1]CHAMNORD!I157)</f>
        <v>15964.21</v>
      </c>
      <c r="V156" s="22">
        <f t="shared" si="47"/>
        <v>15964.21</v>
      </c>
      <c r="W156" s="23">
        <f>IF([2]CHAMNORD!I158=0,"",[2]CHAMNORD!I158)</f>
        <v>16317.16</v>
      </c>
      <c r="X156" s="17">
        <f t="shared" si="48"/>
        <v>2.53323798763605E-2</v>
      </c>
      <c r="AJ156" s="39"/>
      <c r="AL156" s="5">
        <v>46175</v>
      </c>
      <c r="AM156" s="21">
        <f>IF([1]CHAMNORD!J157=0,"",[1]CHAMNORD!J157)</f>
        <v>959</v>
      </c>
      <c r="AN156" s="22">
        <f t="shared" si="49"/>
        <v>959</v>
      </c>
      <c r="AO156" s="23">
        <f>IF([2]CHAMNORD!J158=0,"",[2]CHAMNORD!J158)</f>
        <v>959</v>
      </c>
      <c r="AP156" s="17">
        <f t="shared" si="50"/>
        <v>-3.1185031185031464E-3</v>
      </c>
      <c r="BB156" s="39"/>
      <c r="BD156" s="5">
        <v>46175</v>
      </c>
      <c r="BE156" s="41">
        <f t="shared" si="51"/>
        <v>16.790782064650678</v>
      </c>
      <c r="BF156" s="72">
        <f t="shared" si="52"/>
        <v>16.790782064650678</v>
      </c>
      <c r="BG156" s="42">
        <f t="shared" si="53"/>
        <v>17.275328467153287</v>
      </c>
      <c r="BH156" s="17">
        <f t="shared" si="54"/>
        <v>3.2583653706803384E-2</v>
      </c>
      <c r="BT156" s="39"/>
    </row>
    <row r="157" spans="2:72">
      <c r="B157" s="5">
        <v>46176</v>
      </c>
      <c r="C157" s="23">
        <f>IF([1]CHAMNORD!H158=0,"",[1]CHAMNORD!H158)</f>
        <v>16094.45</v>
      </c>
      <c r="D157" s="22">
        <f t="shared" si="45"/>
        <v>16094.45</v>
      </c>
      <c r="E157" s="23">
        <f>IF([2]CHAMNORD!H159=0,"",[2]CHAMNORD!H159)</f>
        <v>17358.55</v>
      </c>
      <c r="F157" s="17">
        <f t="shared" si="46"/>
        <v>-0.22564860692094224</v>
      </c>
      <c r="R157" s="39"/>
      <c r="T157" s="5">
        <v>46176</v>
      </c>
      <c r="U157" s="23">
        <f>IF([1]CHAMNORD!I158=0,"",[1]CHAMNORD!I158)</f>
        <v>15914.02</v>
      </c>
      <c r="V157" s="22">
        <f t="shared" si="47"/>
        <v>15914.02</v>
      </c>
      <c r="W157" s="23">
        <f>IF([2]CHAMNORD!I159=0,"",[2]CHAMNORD!I159)</f>
        <v>17098.89</v>
      </c>
      <c r="X157" s="17">
        <f t="shared" si="48"/>
        <v>-0.22777751684096237</v>
      </c>
      <c r="AJ157" s="39"/>
      <c r="AL157" s="5">
        <v>46176</v>
      </c>
      <c r="AM157" s="23">
        <f>IF([1]CHAMNORD!J158=0,"",[1]CHAMNORD!J158)</f>
        <v>962</v>
      </c>
      <c r="AN157" s="22">
        <f t="shared" si="49"/>
        <v>962</v>
      </c>
      <c r="AO157" s="23">
        <f>IF([2]CHAMNORD!J159=0,"",[2]CHAMNORD!J159)</f>
        <v>970</v>
      </c>
      <c r="AP157" s="17">
        <f t="shared" si="50"/>
        <v>-0.23259493670886078</v>
      </c>
      <c r="BB157" s="39"/>
      <c r="BD157" s="5">
        <v>46176</v>
      </c>
      <c r="BE157" s="42">
        <f t="shared" si="51"/>
        <v>16.730197505197506</v>
      </c>
      <c r="BF157" s="72">
        <f t="shared" si="52"/>
        <v>16.730197505197506</v>
      </c>
      <c r="BG157" s="42">
        <f t="shared" si="53"/>
        <v>17.895412371134022</v>
      </c>
      <c r="BH157" s="17">
        <f t="shared" si="54"/>
        <v>9.0517122184836651E-3</v>
      </c>
      <c r="BT157" s="39"/>
    </row>
    <row r="158" spans="2:72">
      <c r="B158" s="5">
        <v>46177</v>
      </c>
      <c r="C158" s="23">
        <f>IF([1]CHAMNORD!H159=0,"",[1]CHAMNORD!H159)</f>
        <v>22416.89</v>
      </c>
      <c r="D158" s="22">
        <f t="shared" si="45"/>
        <v>22416.89</v>
      </c>
      <c r="E158" s="23">
        <f>IF([2]CHAMNORD!H160=0,"",[2]CHAMNORD!H160)</f>
        <v>16081.01</v>
      </c>
      <c r="F158" s="17">
        <f t="shared" si="46"/>
        <v>-4.619552001024918E-2</v>
      </c>
      <c r="R158" s="39"/>
      <c r="T158" s="5">
        <v>46177</v>
      </c>
      <c r="U158" s="23">
        <f>IF([1]CHAMNORD!I159=0,"",[1]CHAMNORD!I159)</f>
        <v>22142.44</v>
      </c>
      <c r="V158" s="22">
        <f t="shared" si="47"/>
        <v>22142.44</v>
      </c>
      <c r="W158" s="23">
        <f>IF([2]CHAMNORD!I160=0,"",[2]CHAMNORD!I160)</f>
        <v>15858.07</v>
      </c>
      <c r="X158" s="17">
        <f t="shared" si="48"/>
        <v>-4.8069915948630415E-2</v>
      </c>
      <c r="AJ158" s="39"/>
      <c r="AL158" s="5">
        <v>46177</v>
      </c>
      <c r="AM158" s="23">
        <f>IF([1]CHAMNORD!J159=0,"",[1]CHAMNORD!J159)</f>
        <v>1264</v>
      </c>
      <c r="AN158" s="22">
        <f t="shared" si="49"/>
        <v>1264</v>
      </c>
      <c r="AO158" s="23">
        <f>IF([2]CHAMNORD!J160=0,"",[2]CHAMNORD!J160)</f>
        <v>866</v>
      </c>
      <c r="AP158" s="17">
        <f t="shared" si="50"/>
        <v>-0.17049808429118773</v>
      </c>
      <c r="BB158" s="39"/>
      <c r="BD158" s="5">
        <v>46177</v>
      </c>
      <c r="BE158" s="42">
        <f t="shared" si="51"/>
        <v>17.734881329113925</v>
      </c>
      <c r="BF158" s="72">
        <f t="shared" si="52"/>
        <v>17.734881329113925</v>
      </c>
      <c r="BG158" s="42">
        <f t="shared" si="53"/>
        <v>18.569295612009238</v>
      </c>
      <c r="BH158" s="17">
        <f t="shared" si="54"/>
        <v>0.14985205208926078</v>
      </c>
      <c r="BT158" s="39"/>
    </row>
    <row r="159" spans="2:72">
      <c r="B159" s="5">
        <v>46178</v>
      </c>
      <c r="C159" s="23">
        <f>IF([1]CHAMNORD!H160=0,"",[1]CHAMNORD!H160)</f>
        <v>16859.86</v>
      </c>
      <c r="D159" s="22">
        <f t="shared" si="45"/>
        <v>16859.86</v>
      </c>
      <c r="E159" s="23">
        <f>IF([2]CHAMNORD!H161=0,"",[2]CHAMNORD!H161)</f>
        <v>22919.3</v>
      </c>
      <c r="F159" s="17">
        <f t="shared" si="46"/>
        <v>-5.1106041724456319E-2</v>
      </c>
      <c r="R159" s="39"/>
      <c r="T159" s="5">
        <v>46178</v>
      </c>
      <c r="U159" s="23">
        <f>IF([1]CHAMNORD!I160=0,"",[1]CHAMNORD!I160)</f>
        <v>16658.86</v>
      </c>
      <c r="V159" s="22">
        <f t="shared" si="47"/>
        <v>16658.86</v>
      </c>
      <c r="W159" s="23">
        <f>IF([2]CHAMNORD!I161=0,"",[2]CHAMNORD!I161)</f>
        <v>22499.49</v>
      </c>
      <c r="X159" s="17">
        <f t="shared" si="48"/>
        <v>-5.8130962951055576E-2</v>
      </c>
      <c r="AJ159" s="39"/>
      <c r="AL159" s="5">
        <v>46178</v>
      </c>
      <c r="AM159" s="23">
        <f>IF([1]CHAMNORD!J160=0,"",[1]CHAMNORD!J160)</f>
        <v>1044</v>
      </c>
      <c r="AN159" s="22">
        <f t="shared" si="49"/>
        <v>1044</v>
      </c>
      <c r="AO159" s="23">
        <f>IF([2]CHAMNORD!J161=0,"",[2]CHAMNORD!J161)</f>
        <v>1252</v>
      </c>
      <c r="AP159" s="17">
        <f t="shared" si="50"/>
        <v>-6.2874251497005984E-2</v>
      </c>
      <c r="BB159" s="39"/>
      <c r="BD159" s="5">
        <v>46178</v>
      </c>
      <c r="BE159" s="42">
        <f t="shared" si="51"/>
        <v>16.149291187739465</v>
      </c>
      <c r="BF159" s="72">
        <f t="shared" si="52"/>
        <v>16.149291187739465</v>
      </c>
      <c r="BG159" s="42">
        <f t="shared" si="53"/>
        <v>18.306150159744409</v>
      </c>
      <c r="BH159" s="17">
        <f t="shared" si="54"/>
        <v>1.2557770172624938E-2</v>
      </c>
      <c r="BT159" s="39"/>
    </row>
    <row r="160" spans="2:72">
      <c r="B160" s="5">
        <v>46179</v>
      </c>
      <c r="C160" s="23">
        <f>IF([1]CHAMNORD!H161=0,"",[1]CHAMNORD!H161)</f>
        <v>24153.7</v>
      </c>
      <c r="D160" s="22">
        <f t="shared" si="45"/>
        <v>24153.7</v>
      </c>
      <c r="E160" s="23">
        <f>IF([2]CHAMNORD!H162=0,"",[2]CHAMNORD!H162)</f>
        <v>23615.78</v>
      </c>
      <c r="F160" s="17">
        <f t="shared" si="46"/>
        <v>-4.3934350736640759E-4</v>
      </c>
      <c r="R160" s="39"/>
      <c r="T160" s="5">
        <v>46179</v>
      </c>
      <c r="U160" s="23">
        <f>IF([1]CHAMNORD!I161=0,"",[1]CHAMNORD!I161)</f>
        <v>23888.13</v>
      </c>
      <c r="V160" s="22">
        <f t="shared" si="47"/>
        <v>23888.13</v>
      </c>
      <c r="W160" s="23">
        <f>IF([2]CHAMNORD!I162=0,"",[2]CHAMNORD!I162)</f>
        <v>23296.959999999999</v>
      </c>
      <c r="X160" s="17">
        <f t="shared" si="48"/>
        <v>1.816017272342485E-4</v>
      </c>
      <c r="AJ160" s="39"/>
      <c r="AL160" s="5">
        <v>46179</v>
      </c>
      <c r="AM160" s="23">
        <f>IF([1]CHAMNORD!J161=0,"",[1]CHAMNORD!J161)</f>
        <v>1336</v>
      </c>
      <c r="AN160" s="22">
        <f t="shared" si="49"/>
        <v>1336</v>
      </c>
      <c r="AO160" s="23">
        <f>IF([2]CHAMNORD!J162=0,"",[2]CHAMNORD!J162)</f>
        <v>1270</v>
      </c>
      <c r="AP160" s="17">
        <f t="shared" si="50"/>
        <v>2.9173419773095732E-2</v>
      </c>
      <c r="BB160" s="39"/>
      <c r="BD160" s="5">
        <v>46179</v>
      </c>
      <c r="BE160" s="42">
        <f t="shared" si="51"/>
        <v>18.079116766467067</v>
      </c>
      <c r="BF160" s="72">
        <f t="shared" si="52"/>
        <v>18.079116766467067</v>
      </c>
      <c r="BG160" s="42">
        <f t="shared" si="53"/>
        <v>18.595102362204724</v>
      </c>
      <c r="BH160" s="17">
        <f t="shared" si="54"/>
        <v>-2.8773346368574981E-2</v>
      </c>
      <c r="BT160" s="39"/>
    </row>
    <row r="161" spans="2:72">
      <c r="B161" s="5">
        <v>46180</v>
      </c>
      <c r="C161" s="23">
        <f>IF([1]CHAMNORD!H162=0,"",[1]CHAMNORD!H162)</f>
        <v>23626.16</v>
      </c>
      <c r="D161" s="22">
        <f t="shared" si="45"/>
        <v>23626.16</v>
      </c>
      <c r="E161" s="24">
        <f>IF([2]CHAMNORD!H163=0,"",[2]CHAMNORD!H163)</f>
        <v>22432.16</v>
      </c>
      <c r="F161" s="17">
        <f t="shared" si="46"/>
        <v>-1.895512818830758E-2</v>
      </c>
      <c r="R161" s="39"/>
      <c r="T161" s="5">
        <v>46180</v>
      </c>
      <c r="U161" s="23">
        <f>IF([1]CHAMNORD!I162=0,"",[1]CHAMNORD!I162)</f>
        <v>23292.73</v>
      </c>
      <c r="V161" s="22">
        <f t="shared" si="47"/>
        <v>23292.73</v>
      </c>
      <c r="W161" s="24">
        <f>IF([2]CHAMNORD!I163=0,"",[2]CHAMNORD!I163)</f>
        <v>22013.439999999999</v>
      </c>
      <c r="X161" s="17">
        <f t="shared" si="48"/>
        <v>-2.4230410530459268E-2</v>
      </c>
      <c r="AJ161" s="39"/>
      <c r="AL161" s="5">
        <v>46180</v>
      </c>
      <c r="AM161" s="23">
        <f>IF([1]CHAMNORD!J162=0,"",[1]CHAMNORD!J162)</f>
        <v>1234</v>
      </c>
      <c r="AN161" s="22">
        <f t="shared" si="49"/>
        <v>1234</v>
      </c>
      <c r="AO161" s="24">
        <f>IF([2]CHAMNORD!J163=0,"",[2]CHAMNORD!J163)</f>
        <v>1108</v>
      </c>
      <c r="AP161" s="17">
        <f t="shared" si="50"/>
        <v>-3.3158813263525322E-2</v>
      </c>
      <c r="BB161" s="39"/>
      <c r="BD161" s="5">
        <v>46180</v>
      </c>
      <c r="BE161" s="42">
        <f t="shared" si="51"/>
        <v>19.145996758508915</v>
      </c>
      <c r="BF161" s="72">
        <f t="shared" si="52"/>
        <v>19.145996758508915</v>
      </c>
      <c r="BG161" s="43">
        <f t="shared" si="53"/>
        <v>20.245631768953068</v>
      </c>
      <c r="BH161" s="17">
        <f t="shared" si="54"/>
        <v>1.4690815068772123E-2</v>
      </c>
      <c r="BT161" s="39"/>
    </row>
    <row r="162" spans="2:72">
      <c r="B162" s="5">
        <v>46181</v>
      </c>
      <c r="C162" s="24">
        <f>IF([1]CHAMNORD!H163=0,"",[1]CHAMNORD!H163)</f>
        <v>22865.58</v>
      </c>
      <c r="D162" s="22">
        <f t="shared" si="45"/>
        <v>22865.58</v>
      </c>
      <c r="E162" s="21">
        <f>IF([2]CHAMNORD!H164=0,"",[2]CHAMNORD!H164)</f>
        <v>13195.25</v>
      </c>
      <c r="F162" s="17">
        <f t="shared" si="46"/>
        <v>-0.43366980592345694</v>
      </c>
      <c r="R162" s="39"/>
      <c r="T162" s="5">
        <v>46181</v>
      </c>
      <c r="U162" s="24">
        <f>IF([1]CHAMNORD!I163=0,"",[1]CHAMNORD!I163)</f>
        <v>22560.080000000002</v>
      </c>
      <c r="V162" s="22">
        <f t="shared" si="47"/>
        <v>22560.080000000002</v>
      </c>
      <c r="W162" s="21">
        <f>IF([2]CHAMNORD!I164=0,"",[2]CHAMNORD!I164)</f>
        <v>12972.57</v>
      </c>
      <c r="X162" s="17">
        <f t="shared" si="48"/>
        <v>-0.43548924726503691</v>
      </c>
      <c r="AJ162" s="39"/>
      <c r="AL162" s="5">
        <v>46181</v>
      </c>
      <c r="AM162" s="24">
        <f>IF([1]CHAMNORD!J163=0,"",[1]CHAMNORD!J163)</f>
        <v>1146</v>
      </c>
      <c r="AN162" s="22">
        <f t="shared" si="49"/>
        <v>1146</v>
      </c>
      <c r="AO162" s="21">
        <f>IF([2]CHAMNORD!J164=0,"",[2]CHAMNORD!J164)</f>
        <v>807</v>
      </c>
      <c r="AP162" s="17">
        <f t="shared" si="50"/>
        <v>-0.30490956072351416</v>
      </c>
      <c r="BB162" s="39"/>
      <c r="BD162" s="5">
        <v>46181</v>
      </c>
      <c r="BE162" s="43">
        <f t="shared" si="51"/>
        <v>19.952513089005237</v>
      </c>
      <c r="BF162" s="72">
        <f t="shared" si="52"/>
        <v>19.952513089005237</v>
      </c>
      <c r="BG162" s="41">
        <f t="shared" si="53"/>
        <v>16.350991325898388</v>
      </c>
      <c r="BH162" s="17">
        <f t="shared" si="54"/>
        <v>-0.18524243454415568</v>
      </c>
      <c r="BT162" s="39"/>
    </row>
    <row r="163" spans="2:72">
      <c r="B163" s="5">
        <v>46182</v>
      </c>
      <c r="C163" s="21">
        <f>IF([1]CHAMNORD!H164=0,"",[1]CHAMNORD!H164)</f>
        <v>23299.57</v>
      </c>
      <c r="D163" s="22">
        <f t="shared" si="45"/>
        <v>23299.57</v>
      </c>
      <c r="E163" s="23">
        <f>IF([2]CHAMNORD!H165=0,"",[2]CHAMNORD!H165)</f>
        <v>15291.39</v>
      </c>
      <c r="F163" s="17">
        <f t="shared" si="46"/>
        <v>4.5600875243598127E-2</v>
      </c>
      <c r="R163" s="39"/>
      <c r="T163" s="5">
        <v>46182</v>
      </c>
      <c r="U163" s="21">
        <f>IF([1]CHAMNORD!I164=0,"",[1]CHAMNORD!I164)</f>
        <v>22980.2</v>
      </c>
      <c r="V163" s="22">
        <f t="shared" si="47"/>
        <v>22980.2</v>
      </c>
      <c r="W163" s="23">
        <f>IF([2]CHAMNORD!I165=0,"",[2]CHAMNORD!I165)</f>
        <v>14981.42</v>
      </c>
      <c r="X163" s="17">
        <f t="shared" si="48"/>
        <v>2.8764919282569634E-2</v>
      </c>
      <c r="AJ163" s="39"/>
      <c r="AL163" s="5">
        <v>46182</v>
      </c>
      <c r="AM163" s="21">
        <f>IF([1]CHAMNORD!J164=0,"",[1]CHAMNORD!J164)</f>
        <v>1161</v>
      </c>
      <c r="AN163" s="22">
        <f t="shared" si="49"/>
        <v>1161</v>
      </c>
      <c r="AO163" s="23">
        <f>IF([2]CHAMNORD!J165=0,"",[2]CHAMNORD!J165)</f>
        <v>905</v>
      </c>
      <c r="AP163" s="17">
        <f t="shared" si="50"/>
        <v>-3.1049250535331918E-2</v>
      </c>
      <c r="BB163" s="39"/>
      <c r="BD163" s="5">
        <v>46182</v>
      </c>
      <c r="BE163" s="41">
        <f t="shared" si="51"/>
        <v>20.068535745047374</v>
      </c>
      <c r="BF163" s="72">
        <f t="shared" si="52"/>
        <v>20.068535745047374</v>
      </c>
      <c r="BG163" s="42">
        <f t="shared" si="53"/>
        <v>16.8965635359116</v>
      </c>
      <c r="BH163" s="17">
        <f t="shared" si="54"/>
        <v>7.9106317654718872E-2</v>
      </c>
      <c r="BT163" s="39"/>
    </row>
    <row r="164" spans="2:72">
      <c r="B164" s="5">
        <v>46183</v>
      </c>
      <c r="C164" s="23">
        <f>IF([1]CHAMNORD!H165=0,"",[1]CHAMNORD!H165)</f>
        <v>14624.5</v>
      </c>
      <c r="D164" s="22">
        <f t="shared" si="45"/>
        <v>14624.5</v>
      </c>
      <c r="E164" s="23">
        <f>IF([2]CHAMNORD!H166=0,"",[2]CHAMNORD!H166)</f>
        <v>17576.580000000002</v>
      </c>
      <c r="F164" s="17">
        <f t="shared" si="46"/>
        <v>-0.12490198040653666</v>
      </c>
      <c r="R164" s="39"/>
      <c r="T164" s="5">
        <v>46183</v>
      </c>
      <c r="U164" s="23">
        <f>IF([1]CHAMNORD!I165=0,"",[1]CHAMNORD!I165)</f>
        <v>14562.53</v>
      </c>
      <c r="V164" s="22">
        <f t="shared" si="47"/>
        <v>14562.53</v>
      </c>
      <c r="W164" s="23">
        <f>IF([2]CHAMNORD!I166=0,"",[2]CHAMNORD!I166)</f>
        <v>17117.91</v>
      </c>
      <c r="X164" s="17">
        <f t="shared" si="48"/>
        <v>-0.13791299110209532</v>
      </c>
      <c r="AJ164" s="39"/>
      <c r="AL164" s="5">
        <v>46183</v>
      </c>
      <c r="AM164" s="23">
        <f>IF([1]CHAMNORD!J165=0,"",[1]CHAMNORD!J165)</f>
        <v>934</v>
      </c>
      <c r="AN164" s="22">
        <f t="shared" si="49"/>
        <v>934</v>
      </c>
      <c r="AO164" s="23">
        <f>IF([2]CHAMNORD!J166=0,"",[2]CHAMNORD!J166)</f>
        <v>996</v>
      </c>
      <c r="AP164" s="17">
        <f t="shared" si="50"/>
        <v>-0.1842751842751843</v>
      </c>
      <c r="BB164" s="39"/>
      <c r="BD164" s="5">
        <v>46183</v>
      </c>
      <c r="BE164" s="42">
        <f t="shared" si="51"/>
        <v>15.657922912205567</v>
      </c>
      <c r="BF164" s="72">
        <f t="shared" si="52"/>
        <v>15.657922912205567</v>
      </c>
      <c r="BG164" s="42">
        <f t="shared" si="53"/>
        <v>17.647168674698797</v>
      </c>
      <c r="BH164" s="17">
        <f t="shared" si="54"/>
        <v>7.2785825224516598E-2</v>
      </c>
      <c r="BT164" s="39"/>
    </row>
    <row r="165" spans="2:72">
      <c r="B165" s="5">
        <v>46184</v>
      </c>
      <c r="C165" s="23">
        <f>IF([1]CHAMNORD!H166=0,"",[1]CHAMNORD!H166)</f>
        <v>20085.27</v>
      </c>
      <c r="D165" s="22">
        <f t="shared" si="45"/>
        <v>20085.27</v>
      </c>
      <c r="E165" s="23">
        <f>IF([2]CHAMNORD!H167=0,"",[2]CHAMNORD!H167)</f>
        <v>15944.3</v>
      </c>
      <c r="F165" s="17">
        <f t="shared" si="46"/>
        <v>-0.11533006933409096</v>
      </c>
      <c r="R165" s="39"/>
      <c r="T165" s="5">
        <v>46184</v>
      </c>
      <c r="U165" s="23">
        <f>IF([1]CHAMNORD!I166=0,"",[1]CHAMNORD!I166)</f>
        <v>19856.36</v>
      </c>
      <c r="V165" s="22">
        <f t="shared" si="47"/>
        <v>19856.36</v>
      </c>
      <c r="W165" s="23">
        <f>IF([2]CHAMNORD!I167=0,"",[2]CHAMNORD!I167)</f>
        <v>15628.22</v>
      </c>
      <c r="X165" s="17">
        <f t="shared" si="48"/>
        <v>-0.12227934577371213</v>
      </c>
      <c r="AJ165" s="39"/>
      <c r="AL165" s="5">
        <v>46184</v>
      </c>
      <c r="AM165" s="23">
        <f>IF([1]CHAMNORD!J166=0,"",[1]CHAMNORD!J166)</f>
        <v>1221</v>
      </c>
      <c r="AN165" s="22">
        <f t="shared" si="49"/>
        <v>1221</v>
      </c>
      <c r="AO165" s="23">
        <f>IF([2]CHAMNORD!J167=0,"",[2]CHAMNORD!J167)</f>
        <v>988</v>
      </c>
      <c r="AP165" s="17">
        <f t="shared" si="50"/>
        <v>-0.13181019332161692</v>
      </c>
      <c r="BB165" s="39"/>
      <c r="BD165" s="5">
        <v>46184</v>
      </c>
      <c r="BE165" s="42">
        <f t="shared" si="51"/>
        <v>16.449852579852582</v>
      </c>
      <c r="BF165" s="72">
        <f t="shared" si="52"/>
        <v>16.449852579852582</v>
      </c>
      <c r="BG165" s="42">
        <f t="shared" si="53"/>
        <v>16.137955465587044</v>
      </c>
      <c r="BH165" s="17">
        <f t="shared" si="54"/>
        <v>1.8982167103041014E-2</v>
      </c>
      <c r="BT165" s="39"/>
    </row>
    <row r="166" spans="2:72">
      <c r="B166" s="5">
        <v>46185</v>
      </c>
      <c r="C166" s="23">
        <f>IF([1]CHAMNORD!H167=0,"",[1]CHAMNORD!H167)</f>
        <v>18022.88</v>
      </c>
      <c r="D166" s="22">
        <f t="shared" si="45"/>
        <v>18022.88</v>
      </c>
      <c r="E166" s="23">
        <f>IF([2]CHAMNORD!H168=0,"",[2]CHAMNORD!H168)</f>
        <v>22496.02</v>
      </c>
      <c r="F166" s="17">
        <f t="shared" si="46"/>
        <v>3.0931586274910439E-2</v>
      </c>
      <c r="R166" s="39"/>
      <c r="T166" s="5">
        <v>46185</v>
      </c>
      <c r="U166" s="23">
        <f>IF([1]CHAMNORD!I167=0,"",[1]CHAMNORD!I167)</f>
        <v>17805.46</v>
      </c>
      <c r="V166" s="22">
        <f t="shared" si="47"/>
        <v>17805.46</v>
      </c>
      <c r="W166" s="23">
        <f>IF([2]CHAMNORD!I168=0,"",[2]CHAMNORD!I168)</f>
        <v>22062.39</v>
      </c>
      <c r="X166" s="17">
        <f t="shared" si="48"/>
        <v>2.0763768754964884E-2</v>
      </c>
      <c r="AJ166" s="39"/>
      <c r="AL166" s="5">
        <v>46185</v>
      </c>
      <c r="AM166" s="23">
        <f>IF([1]CHAMNORD!J167=0,"",[1]CHAMNORD!J167)</f>
        <v>1138</v>
      </c>
      <c r="AN166" s="22">
        <f t="shared" si="49"/>
        <v>1138</v>
      </c>
      <c r="AO166" s="23">
        <f>IF([2]CHAMNORD!J168=0,"",[2]CHAMNORD!J168)</f>
        <v>1237</v>
      </c>
      <c r="AP166" s="17">
        <f t="shared" si="50"/>
        <v>-2.2134387351778639E-2</v>
      </c>
      <c r="BB166" s="39"/>
      <c r="BD166" s="5">
        <v>46185</v>
      </c>
      <c r="BE166" s="42">
        <f t="shared" si="51"/>
        <v>15.837328646748682</v>
      </c>
      <c r="BF166" s="72">
        <f t="shared" si="52"/>
        <v>15.837328646748682</v>
      </c>
      <c r="BG166" s="42">
        <f t="shared" si="53"/>
        <v>18.185949878738885</v>
      </c>
      <c r="BH166" s="17">
        <f t="shared" si="54"/>
        <v>5.4267143603687895E-2</v>
      </c>
      <c r="BT166" s="39"/>
    </row>
    <row r="167" spans="2:72">
      <c r="B167" s="5">
        <v>46186</v>
      </c>
      <c r="C167" s="23">
        <f>IF([1]CHAMNORD!H168=0,"",[1]CHAMNORD!H168)</f>
        <v>21821.06</v>
      </c>
      <c r="D167" s="22">
        <f t="shared" si="45"/>
        <v>21821.06</v>
      </c>
      <c r="E167" s="23">
        <f>IF([2]CHAMNORD!H169=0,"",[2]CHAMNORD!H169)</f>
        <v>20423.93</v>
      </c>
      <c r="F167" s="17">
        <f t="shared" si="46"/>
        <v>-0.15100089456146537</v>
      </c>
      <c r="R167" s="39"/>
      <c r="T167" s="5">
        <v>46186</v>
      </c>
      <c r="U167" s="23">
        <f>IF([1]CHAMNORD!I168=0,"",[1]CHAMNORD!I168)</f>
        <v>21613.61</v>
      </c>
      <c r="V167" s="22">
        <f t="shared" si="47"/>
        <v>21613.61</v>
      </c>
      <c r="W167" s="23">
        <f>IF([2]CHAMNORD!I169=0,"",[2]CHAMNORD!I169)</f>
        <v>20009.09</v>
      </c>
      <c r="X167" s="17">
        <f t="shared" si="48"/>
        <v>-0.15720717514250415</v>
      </c>
      <c r="AJ167" s="39"/>
      <c r="AL167" s="5">
        <v>46186</v>
      </c>
      <c r="AM167" s="23">
        <f>IF([1]CHAMNORD!J168=0,"",[1]CHAMNORD!J168)</f>
        <v>1265</v>
      </c>
      <c r="AN167" s="22">
        <f t="shared" si="49"/>
        <v>1265</v>
      </c>
      <c r="AO167" s="23">
        <f>IF([2]CHAMNORD!J169=0,"",[2]CHAMNORD!J169)</f>
        <v>1104</v>
      </c>
      <c r="AP167" s="17">
        <f t="shared" si="50"/>
        <v>-0.14219114219114215</v>
      </c>
      <c r="BB167" s="39"/>
      <c r="BD167" s="5">
        <v>46186</v>
      </c>
      <c r="BE167" s="42">
        <f t="shared" si="51"/>
        <v>17.249849802371543</v>
      </c>
      <c r="BF167" s="72">
        <f t="shared" si="52"/>
        <v>17.249849802371543</v>
      </c>
      <c r="BG167" s="42">
        <f t="shared" si="53"/>
        <v>18.4999365942029</v>
      </c>
      <c r="BH167" s="17">
        <f t="shared" si="54"/>
        <v>-1.0270064583882021E-2</v>
      </c>
      <c r="BT167" s="39"/>
    </row>
    <row r="168" spans="2:72">
      <c r="B168" s="5">
        <v>46187</v>
      </c>
      <c r="C168" s="23">
        <f>IF([1]CHAMNORD!H169=0,"",[1]CHAMNORD!H169)</f>
        <v>24056.48</v>
      </c>
      <c r="D168" s="22">
        <f t="shared" si="45"/>
        <v>24056.48</v>
      </c>
      <c r="E168" s="24">
        <f>IF([2]CHAMNORD!H170=0,"",[2]CHAMNORD!H170)</f>
        <v>22724.48</v>
      </c>
      <c r="F168" s="17">
        <f t="shared" si="46"/>
        <v>-9.0535509748001508E-2</v>
      </c>
      <c r="R168" s="39"/>
      <c r="T168" s="5">
        <v>46187</v>
      </c>
      <c r="U168" s="23">
        <f>IF([1]CHAMNORD!I169=0,"",[1]CHAMNORD!I169)</f>
        <v>23741.41</v>
      </c>
      <c r="V168" s="22">
        <f t="shared" si="47"/>
        <v>23741.41</v>
      </c>
      <c r="W168" s="24">
        <f>IF([2]CHAMNORD!I170=0,"",[2]CHAMNORD!I170)</f>
        <v>22264.73</v>
      </c>
      <c r="X168" s="17">
        <f t="shared" si="48"/>
        <v>-9.694429662606352E-2</v>
      </c>
      <c r="AJ168" s="39"/>
      <c r="AL168" s="5">
        <v>46187</v>
      </c>
      <c r="AM168" s="23">
        <f>IF([1]CHAMNORD!J169=0,"",[1]CHAMNORD!J169)</f>
        <v>1287</v>
      </c>
      <c r="AN168" s="22">
        <f t="shared" si="49"/>
        <v>1287</v>
      </c>
      <c r="AO168" s="24">
        <f>IF([2]CHAMNORD!J170=0,"",[2]CHAMNORD!J170)</f>
        <v>1158</v>
      </c>
      <c r="AP168" s="17">
        <f t="shared" si="50"/>
        <v>-2.5252525252525304E-2</v>
      </c>
      <c r="BB168" s="39"/>
      <c r="BD168" s="5">
        <v>46187</v>
      </c>
      <c r="BE168" s="42">
        <f t="shared" si="51"/>
        <v>18.691903651903651</v>
      </c>
      <c r="BF168" s="72">
        <f t="shared" si="52"/>
        <v>18.691903651903651</v>
      </c>
      <c r="BG168" s="43">
        <f t="shared" si="53"/>
        <v>19.623903281519862</v>
      </c>
      <c r="BH168" s="17">
        <f t="shared" si="54"/>
        <v>-6.6974253523856442E-2</v>
      </c>
      <c r="BT168" s="39"/>
    </row>
    <row r="169" spans="2:72">
      <c r="B169" s="5">
        <v>46188</v>
      </c>
      <c r="C169" s="24">
        <f>IF([1]CHAMNORD!H170=0,"",[1]CHAMNORD!H170)</f>
        <v>24986.66</v>
      </c>
      <c r="D169" s="22">
        <f t="shared" si="45"/>
        <v>24986.66</v>
      </c>
      <c r="E169" s="21">
        <f>IF([2]CHAMNORD!H171=0,"",[2]CHAMNORD!H171)</f>
        <v>13648.82</v>
      </c>
      <c r="F169" s="17">
        <f t="shared" si="46"/>
        <v>-9.1379205896626625E-2</v>
      </c>
      <c r="R169" s="39"/>
      <c r="T169" s="5">
        <v>46188</v>
      </c>
      <c r="U169" s="24">
        <f>IF([1]CHAMNORD!I170=0,"",[1]CHAMNORD!I170)</f>
        <v>24654.880000000001</v>
      </c>
      <c r="V169" s="22">
        <f t="shared" si="47"/>
        <v>24654.880000000001</v>
      </c>
      <c r="W169" s="21">
        <f>IF([2]CHAMNORD!I171=0,"",[2]CHAMNORD!I171)</f>
        <v>13394.91</v>
      </c>
      <c r="X169" s="17">
        <f t="shared" si="48"/>
        <v>-9.8851204163543982E-2</v>
      </c>
      <c r="AJ169" s="39"/>
      <c r="AL169" s="5">
        <v>46188</v>
      </c>
      <c r="AM169" s="24">
        <f>IF([1]CHAMNORD!J170=0,"",[1]CHAMNORD!J170)</f>
        <v>1188</v>
      </c>
      <c r="AN169" s="22">
        <f t="shared" si="49"/>
        <v>1188</v>
      </c>
      <c r="AO169" s="21">
        <f>IF([2]CHAMNORD!J171=0,"",[2]CHAMNORD!J171)</f>
        <v>850</v>
      </c>
      <c r="AP169" s="17">
        <f t="shared" si="50"/>
        <v>-0.12731006160164271</v>
      </c>
      <c r="BB169" s="39"/>
      <c r="BD169" s="5">
        <v>46188</v>
      </c>
      <c r="BE169" s="43">
        <f t="shared" si="51"/>
        <v>21.032542087542087</v>
      </c>
      <c r="BF169" s="72">
        <f t="shared" si="52"/>
        <v>21.032542087542087</v>
      </c>
      <c r="BG169" s="41">
        <f t="shared" si="53"/>
        <v>16.057435294117646</v>
      </c>
      <c r="BH169" s="17">
        <f t="shared" si="54"/>
        <v>4.1172533478453621E-2</v>
      </c>
      <c r="BT169" s="39"/>
    </row>
    <row r="170" spans="2:72">
      <c r="B170" s="5">
        <v>46189</v>
      </c>
      <c r="C170" s="21">
        <f>IF([1]CHAMNORD!H171=0,"",[1]CHAMNORD!H171)</f>
        <v>15021.47</v>
      </c>
      <c r="D170" s="22">
        <f>IF(E169="","",C170)</f>
        <v>15021.47</v>
      </c>
      <c r="E170" s="23" t="str">
        <f>IF([2]CHAMNORD!H172=0,"",[2]CHAMNORD!H172)</f>
        <v/>
      </c>
      <c r="F170" s="17" t="str">
        <f t="shared" si="46"/>
        <v/>
      </c>
      <c r="R170" s="39"/>
      <c r="T170" s="5">
        <v>46189</v>
      </c>
      <c r="U170" s="21">
        <f>IF([1]CHAMNORD!I171=0,"",[1]CHAMNORD!I171)</f>
        <v>14864.26</v>
      </c>
      <c r="V170" s="22">
        <f>IF(W169="","",U170)</f>
        <v>14864.26</v>
      </c>
      <c r="W170" s="23" t="str">
        <f>IF([2]CHAMNORD!I172=0,"",[2]CHAMNORD!I172)</f>
        <v/>
      </c>
      <c r="X170" s="17" t="str">
        <f t="shared" si="48"/>
        <v/>
      </c>
      <c r="AJ170" s="39"/>
      <c r="AL170" s="5">
        <v>46189</v>
      </c>
      <c r="AM170" s="21">
        <f>IF([1]CHAMNORD!J171=0,"",[1]CHAMNORD!J171)</f>
        <v>974</v>
      </c>
      <c r="AN170" s="22">
        <f>IF(AO169="","",AM170)</f>
        <v>974</v>
      </c>
      <c r="AO170" s="23" t="str">
        <f>IF([2]CHAMNORD!J172=0,"",[2]CHAMNORD!J172)</f>
        <v/>
      </c>
      <c r="AP170" s="17" t="str">
        <f t="shared" si="50"/>
        <v/>
      </c>
      <c r="BB170" s="39"/>
      <c r="BD170" s="5">
        <v>46189</v>
      </c>
      <c r="BE170" s="41">
        <f t="shared" si="51"/>
        <v>15.422453798767966</v>
      </c>
      <c r="BF170" s="72">
        <f>IF(BG169="","",BE170)</f>
        <v>15.422453798767966</v>
      </c>
      <c r="BG170" s="42" t="str">
        <f t="shared" si="53"/>
        <v/>
      </c>
      <c r="BH170" s="17" t="str">
        <f t="shared" si="54"/>
        <v/>
      </c>
      <c r="BT170" s="39"/>
    </row>
    <row r="171" spans="2:72">
      <c r="B171" s="5">
        <v>46190</v>
      </c>
      <c r="C171" s="23">
        <f>IF([1]CHAMNORD!H172=0,"",[1]CHAMNORD!H172)</f>
        <v>15884.48</v>
      </c>
      <c r="D171" s="22" t="str">
        <f t="shared" ref="D171:D234" si="55">IF(E170="","",C171)</f>
        <v/>
      </c>
      <c r="E171" s="23" t="str">
        <f>IF([2]CHAMNORD!H173=0,"",[2]CHAMNORD!H173)</f>
        <v/>
      </c>
      <c r="F171" s="17" t="str">
        <f t="shared" si="46"/>
        <v/>
      </c>
      <c r="R171" s="39"/>
      <c r="T171" s="5">
        <v>46190</v>
      </c>
      <c r="U171" s="23">
        <f>IF([1]CHAMNORD!I172=0,"",[1]CHAMNORD!I172)</f>
        <v>15729.74</v>
      </c>
      <c r="V171" s="22" t="str">
        <f t="shared" ref="V171:V234" si="56">IF(W170="","",U171)</f>
        <v/>
      </c>
      <c r="W171" s="23" t="str">
        <f>IF([2]CHAMNORD!I173=0,"",[2]CHAMNORD!I173)</f>
        <v/>
      </c>
      <c r="X171" s="17" t="str">
        <f t="shared" si="48"/>
        <v/>
      </c>
      <c r="AJ171" s="39"/>
      <c r="AL171" s="5">
        <v>46190</v>
      </c>
      <c r="AM171" s="23">
        <f>IF([1]CHAMNORD!J172=0,"",[1]CHAMNORD!J172)</f>
        <v>994</v>
      </c>
      <c r="AN171" s="22" t="str">
        <f t="shared" ref="AN171:AN234" si="57">IF(AO170="","",AM171)</f>
        <v/>
      </c>
      <c r="AO171" s="23" t="str">
        <f>IF([2]CHAMNORD!J173=0,"",[2]CHAMNORD!J173)</f>
        <v/>
      </c>
      <c r="AP171" s="17" t="str">
        <f t="shared" si="50"/>
        <v/>
      </c>
      <c r="BB171" s="39"/>
      <c r="BD171" s="5">
        <v>46190</v>
      </c>
      <c r="BE171" s="42">
        <f t="shared" si="51"/>
        <v>15.980362173038229</v>
      </c>
      <c r="BF171" s="72" t="str">
        <f t="shared" ref="BF171:BF234" si="58">IF(BG170="","",BE171)</f>
        <v/>
      </c>
      <c r="BG171" s="42" t="str">
        <f t="shared" si="53"/>
        <v/>
      </c>
      <c r="BH171" s="17" t="str">
        <f t="shared" si="54"/>
        <v/>
      </c>
      <c r="BT171" s="39"/>
    </row>
    <row r="172" spans="2:72">
      <c r="B172" s="5">
        <v>46191</v>
      </c>
      <c r="C172" s="23">
        <f>IF([1]CHAMNORD!H173=0,"",[1]CHAMNORD!H173)</f>
        <v>19255.45</v>
      </c>
      <c r="D172" s="22" t="str">
        <f t="shared" si="55"/>
        <v/>
      </c>
      <c r="E172" s="23" t="str">
        <f>IF([2]CHAMNORD!H174=0,"",[2]CHAMNORD!H174)</f>
        <v/>
      </c>
      <c r="F172" s="17" t="str">
        <f t="shared" si="46"/>
        <v/>
      </c>
      <c r="R172" s="39"/>
      <c r="T172" s="5">
        <v>46191</v>
      </c>
      <c r="U172" s="23">
        <f>IF([1]CHAMNORD!I173=0,"",[1]CHAMNORD!I173)</f>
        <v>18986.099999999999</v>
      </c>
      <c r="V172" s="22" t="str">
        <f t="shared" si="56"/>
        <v/>
      </c>
      <c r="W172" s="23" t="str">
        <f>IF([2]CHAMNORD!I174=0,"",[2]CHAMNORD!I174)</f>
        <v/>
      </c>
      <c r="X172" s="17" t="str">
        <f t="shared" si="48"/>
        <v/>
      </c>
      <c r="AJ172" s="39"/>
      <c r="AL172" s="5">
        <v>46191</v>
      </c>
      <c r="AM172" s="23">
        <f>IF([1]CHAMNORD!J173=0,"",[1]CHAMNORD!J173)</f>
        <v>1178</v>
      </c>
      <c r="AN172" s="22" t="str">
        <f t="shared" si="57"/>
        <v/>
      </c>
      <c r="AO172" s="23" t="str">
        <f>IF([2]CHAMNORD!J174=0,"",[2]CHAMNORD!J174)</f>
        <v/>
      </c>
      <c r="AP172" s="17" t="str">
        <f t="shared" si="50"/>
        <v/>
      </c>
      <c r="BB172" s="39"/>
      <c r="BD172" s="5">
        <v>46191</v>
      </c>
      <c r="BE172" s="42">
        <f t="shared" si="51"/>
        <v>16.345882852292021</v>
      </c>
      <c r="BF172" s="72" t="str">
        <f t="shared" si="58"/>
        <v/>
      </c>
      <c r="BG172" s="42" t="str">
        <f t="shared" si="53"/>
        <v/>
      </c>
      <c r="BH172" s="17" t="str">
        <f t="shared" si="54"/>
        <v/>
      </c>
      <c r="BT172" s="39"/>
    </row>
    <row r="173" spans="2:72">
      <c r="B173" s="5">
        <v>46192</v>
      </c>
      <c r="C173" s="23">
        <f>IF([1]CHAMNORD!H174=0,"",[1]CHAMNORD!H174)</f>
        <v>16307</v>
      </c>
      <c r="D173" s="22" t="str">
        <f t="shared" si="55"/>
        <v/>
      </c>
      <c r="E173" s="23" t="str">
        <f>IF([2]CHAMNORD!H175=0,"",[2]CHAMNORD!H175)</f>
        <v/>
      </c>
      <c r="F173" s="17" t="str">
        <f t="shared" si="46"/>
        <v/>
      </c>
      <c r="R173" s="39"/>
      <c r="T173" s="5">
        <v>46192</v>
      </c>
      <c r="U173" s="23">
        <f>IF([1]CHAMNORD!I174=0,"",[1]CHAMNORD!I174)</f>
        <v>16104.25</v>
      </c>
      <c r="V173" s="22" t="str">
        <f t="shared" si="56"/>
        <v/>
      </c>
      <c r="W173" s="23" t="str">
        <f>IF([2]CHAMNORD!I175=0,"",[2]CHAMNORD!I175)</f>
        <v/>
      </c>
      <c r="X173" s="17" t="str">
        <f t="shared" si="48"/>
        <v/>
      </c>
      <c r="AJ173" s="39"/>
      <c r="AL173" s="5">
        <v>46192</v>
      </c>
      <c r="AM173" s="23">
        <f>IF([1]CHAMNORD!J174=0,"",[1]CHAMNORD!J174)</f>
        <v>1028</v>
      </c>
      <c r="AN173" s="22" t="str">
        <f t="shared" si="57"/>
        <v/>
      </c>
      <c r="AO173" s="23" t="str">
        <f>IF([2]CHAMNORD!J175=0,"",[2]CHAMNORD!J175)</f>
        <v/>
      </c>
      <c r="AP173" s="17" t="str">
        <f t="shared" si="50"/>
        <v/>
      </c>
      <c r="BB173" s="39"/>
      <c r="BD173" s="5">
        <v>46192</v>
      </c>
      <c r="BE173" s="42">
        <f t="shared" si="51"/>
        <v>15.86284046692607</v>
      </c>
      <c r="BF173" s="72" t="str">
        <f t="shared" si="58"/>
        <v/>
      </c>
      <c r="BG173" s="42" t="str">
        <f t="shared" si="53"/>
        <v/>
      </c>
      <c r="BH173" s="17" t="str">
        <f t="shared" si="54"/>
        <v/>
      </c>
      <c r="BT173" s="39"/>
    </row>
    <row r="174" spans="2:72">
      <c r="B174" s="5">
        <v>46193</v>
      </c>
      <c r="C174" s="23">
        <f>IF([1]CHAMNORD!H175=0,"",[1]CHAMNORD!H175)</f>
        <v>21333.96</v>
      </c>
      <c r="D174" s="22" t="str">
        <f t="shared" si="55"/>
        <v/>
      </c>
      <c r="E174" s="23" t="str">
        <f>IF([2]CHAMNORD!H176=0,"",[2]CHAMNORD!H176)</f>
        <v/>
      </c>
      <c r="F174" s="17" t="str">
        <f t="shared" si="46"/>
        <v/>
      </c>
      <c r="R174" s="39"/>
      <c r="T174" s="5">
        <v>46193</v>
      </c>
      <c r="U174" s="23">
        <f>IF([1]CHAMNORD!I175=0,"",[1]CHAMNORD!I175)</f>
        <v>21083.73</v>
      </c>
      <c r="V174" s="22" t="str">
        <f t="shared" si="56"/>
        <v/>
      </c>
      <c r="W174" s="23" t="str">
        <f>IF([2]CHAMNORD!I176=0,"",[2]CHAMNORD!I176)</f>
        <v/>
      </c>
      <c r="X174" s="17" t="str">
        <f t="shared" si="48"/>
        <v/>
      </c>
      <c r="AJ174" s="39"/>
      <c r="AL174" s="5">
        <v>46193</v>
      </c>
      <c r="AM174" s="23">
        <f>IF([1]CHAMNORD!J175=0,"",[1]CHAMNORD!J175)</f>
        <v>1222</v>
      </c>
      <c r="AN174" s="22" t="str">
        <f t="shared" si="57"/>
        <v/>
      </c>
      <c r="AO174" s="23" t="str">
        <f>IF([2]CHAMNORD!J176=0,"",[2]CHAMNORD!J176)</f>
        <v/>
      </c>
      <c r="AP174" s="17" t="str">
        <f t="shared" si="50"/>
        <v/>
      </c>
      <c r="BB174" s="39"/>
      <c r="BD174" s="5">
        <v>46193</v>
      </c>
      <c r="BE174" s="42">
        <f t="shared" si="51"/>
        <v>17.45823240589198</v>
      </c>
      <c r="BF174" s="72" t="str">
        <f t="shared" si="58"/>
        <v/>
      </c>
      <c r="BG174" s="42" t="str">
        <f t="shared" si="53"/>
        <v/>
      </c>
      <c r="BH174" s="17" t="str">
        <f t="shared" si="54"/>
        <v/>
      </c>
      <c r="BT174" s="39"/>
    </row>
    <row r="175" spans="2:72">
      <c r="B175" s="5">
        <v>46194</v>
      </c>
      <c r="C175" s="23">
        <f>IF([1]CHAMNORD!H176=0,"",[1]CHAMNORD!H176)</f>
        <v>21603.52</v>
      </c>
      <c r="D175" s="22" t="str">
        <f t="shared" si="55"/>
        <v/>
      </c>
      <c r="E175" s="24" t="str">
        <f>IF([2]CHAMNORD!H177=0,"",[2]CHAMNORD!H177)</f>
        <v/>
      </c>
      <c r="F175" s="17" t="str">
        <f t="shared" si="46"/>
        <v/>
      </c>
      <c r="R175" s="39"/>
      <c r="T175" s="5">
        <v>46194</v>
      </c>
      <c r="U175" s="23">
        <f>IF([1]CHAMNORD!I176=0,"",[1]CHAMNORD!I176)</f>
        <v>21271.599999999999</v>
      </c>
      <c r="V175" s="22" t="str">
        <f t="shared" si="56"/>
        <v/>
      </c>
      <c r="W175" s="24" t="str">
        <f>IF([2]CHAMNORD!I177=0,"",[2]CHAMNORD!I177)</f>
        <v/>
      </c>
      <c r="X175" s="17" t="str">
        <f t="shared" si="48"/>
        <v/>
      </c>
      <c r="AJ175" s="39"/>
      <c r="AL175" s="5">
        <v>46194</v>
      </c>
      <c r="AM175" s="23">
        <f>IF([1]CHAMNORD!J176=0,"",[1]CHAMNORD!J176)</f>
        <v>1246</v>
      </c>
      <c r="AN175" s="22" t="str">
        <f t="shared" si="57"/>
        <v/>
      </c>
      <c r="AO175" s="24" t="str">
        <f>IF([2]CHAMNORD!J177=0,"",[2]CHAMNORD!J177)</f>
        <v/>
      </c>
      <c r="AP175" s="17" t="str">
        <f t="shared" si="50"/>
        <v/>
      </c>
      <c r="BB175" s="39"/>
      <c r="BD175" s="5">
        <v>46194</v>
      </c>
      <c r="BE175" s="42">
        <f t="shared" si="51"/>
        <v>17.338298555377207</v>
      </c>
      <c r="BF175" s="72" t="str">
        <f t="shared" si="58"/>
        <v/>
      </c>
      <c r="BG175" s="43" t="str">
        <f t="shared" si="53"/>
        <v/>
      </c>
      <c r="BH175" s="17" t="str">
        <f t="shared" si="54"/>
        <v/>
      </c>
      <c r="BT175" s="39"/>
    </row>
    <row r="176" spans="2:72">
      <c r="B176" s="5">
        <v>46195</v>
      </c>
      <c r="C176" s="24">
        <f>IF([1]CHAMNORD!H177=0,"",[1]CHAMNORD!H177)</f>
        <v>24412.26</v>
      </c>
      <c r="D176" s="22" t="str">
        <f t="shared" si="55"/>
        <v/>
      </c>
      <c r="E176" s="21" t="str">
        <f>IF([2]CHAMNORD!H178=0,"",[2]CHAMNORD!H178)</f>
        <v/>
      </c>
      <c r="F176" s="17" t="str">
        <f t="shared" si="46"/>
        <v/>
      </c>
      <c r="R176" s="39"/>
      <c r="T176" s="5">
        <v>46195</v>
      </c>
      <c r="U176" s="24">
        <f>IF([1]CHAMNORD!I177=0,"",[1]CHAMNORD!I177)</f>
        <v>24090.11</v>
      </c>
      <c r="V176" s="22" t="str">
        <f t="shared" si="56"/>
        <v/>
      </c>
      <c r="W176" s="21" t="str">
        <f>IF([2]CHAMNORD!I178=0,"",[2]CHAMNORD!I178)</f>
        <v/>
      </c>
      <c r="X176" s="17" t="str">
        <f t="shared" si="48"/>
        <v/>
      </c>
      <c r="AJ176" s="39"/>
      <c r="AL176" s="5">
        <v>46195</v>
      </c>
      <c r="AM176" s="24">
        <f>IF([1]CHAMNORD!J177=0,"",[1]CHAMNORD!J177)</f>
        <v>1301</v>
      </c>
      <c r="AN176" s="22" t="str">
        <f t="shared" si="57"/>
        <v/>
      </c>
      <c r="AO176" s="21" t="str">
        <f>IF([2]CHAMNORD!J178=0,"",[2]CHAMNORD!J178)</f>
        <v/>
      </c>
      <c r="AP176" s="17" t="str">
        <f t="shared" si="50"/>
        <v/>
      </c>
      <c r="BB176" s="39"/>
      <c r="BD176" s="5">
        <v>46195</v>
      </c>
      <c r="BE176" s="43">
        <f t="shared" si="51"/>
        <v>18.764227517294387</v>
      </c>
      <c r="BF176" s="72" t="str">
        <f t="shared" si="58"/>
        <v/>
      </c>
      <c r="BG176" s="41" t="str">
        <f t="shared" si="53"/>
        <v/>
      </c>
      <c r="BH176" s="17" t="str">
        <f t="shared" si="54"/>
        <v/>
      </c>
      <c r="BT176" s="39"/>
    </row>
    <row r="177" spans="2:72">
      <c r="B177" s="5">
        <v>46196</v>
      </c>
      <c r="C177" s="21">
        <f>IF([1]CHAMNORD!H178=0,"",[1]CHAMNORD!H178)</f>
        <v>14600</v>
      </c>
      <c r="D177" s="22" t="str">
        <f t="shared" si="55"/>
        <v/>
      </c>
      <c r="E177" s="23" t="str">
        <f>IF([2]CHAMNORD!H179=0,"",[2]CHAMNORD!H179)</f>
        <v/>
      </c>
      <c r="F177" s="17" t="str">
        <f t="shared" si="46"/>
        <v/>
      </c>
      <c r="R177" s="39"/>
      <c r="T177" s="5">
        <v>46196</v>
      </c>
      <c r="U177" s="21">
        <f>IF([1]CHAMNORD!I178=0,"",[1]CHAMNORD!I178)</f>
        <v>14429.06</v>
      </c>
      <c r="V177" s="22" t="str">
        <f t="shared" si="56"/>
        <v/>
      </c>
      <c r="W177" s="23" t="str">
        <f>IF([2]CHAMNORD!I179=0,"",[2]CHAMNORD!I179)</f>
        <v/>
      </c>
      <c r="X177" s="17" t="str">
        <f t="shared" si="48"/>
        <v/>
      </c>
      <c r="AJ177" s="39"/>
      <c r="AL177" s="5">
        <v>46196</v>
      </c>
      <c r="AM177" s="21">
        <f>IF([1]CHAMNORD!J178=0,"",[1]CHAMNORD!J178)</f>
        <v>959</v>
      </c>
      <c r="AN177" s="22" t="str">
        <f t="shared" si="57"/>
        <v/>
      </c>
      <c r="AO177" s="23" t="str">
        <f>IF([2]CHAMNORD!J179=0,"",[2]CHAMNORD!J179)</f>
        <v/>
      </c>
      <c r="AP177" s="17" t="str">
        <f t="shared" si="50"/>
        <v/>
      </c>
      <c r="BB177" s="39"/>
      <c r="BD177" s="5">
        <v>46196</v>
      </c>
      <c r="BE177" s="41">
        <f t="shared" si="51"/>
        <v>15.224191866527633</v>
      </c>
      <c r="BF177" s="72" t="str">
        <f t="shared" si="58"/>
        <v/>
      </c>
      <c r="BG177" s="42" t="str">
        <f t="shared" si="53"/>
        <v/>
      </c>
      <c r="BH177" s="17" t="str">
        <f t="shared" si="54"/>
        <v/>
      </c>
      <c r="BT177" s="39"/>
    </row>
    <row r="178" spans="2:72">
      <c r="B178" s="5">
        <v>46197</v>
      </c>
      <c r="C178" s="23">
        <f>IF([1]CHAMNORD!H179=0,"",[1]CHAMNORD!H179)</f>
        <v>15508.87</v>
      </c>
      <c r="D178" s="22" t="str">
        <f t="shared" si="55"/>
        <v/>
      </c>
      <c r="E178" s="23" t="str">
        <f>IF([2]CHAMNORD!H180=0,"",[2]CHAMNORD!H180)</f>
        <v/>
      </c>
      <c r="F178" s="17" t="str">
        <f t="shared" si="46"/>
        <v/>
      </c>
      <c r="R178" s="39"/>
      <c r="T178" s="5">
        <v>46197</v>
      </c>
      <c r="U178" s="23">
        <f>IF([1]CHAMNORD!I179=0,"",[1]CHAMNORD!I179)</f>
        <v>15316.8</v>
      </c>
      <c r="V178" s="22" t="str">
        <f t="shared" si="56"/>
        <v/>
      </c>
      <c r="W178" s="23" t="str">
        <f>IF([2]CHAMNORD!I180=0,"",[2]CHAMNORD!I180)</f>
        <v/>
      </c>
      <c r="X178" s="17" t="str">
        <f t="shared" si="48"/>
        <v/>
      </c>
      <c r="AJ178" s="39"/>
      <c r="AL178" s="5">
        <v>46197</v>
      </c>
      <c r="AM178" s="23">
        <f>IF([1]CHAMNORD!J179=0,"",[1]CHAMNORD!J179)</f>
        <v>919</v>
      </c>
      <c r="AN178" s="22" t="str">
        <f t="shared" si="57"/>
        <v/>
      </c>
      <c r="AO178" s="23" t="str">
        <f>IF([2]CHAMNORD!J180=0,"",[2]CHAMNORD!J180)</f>
        <v/>
      </c>
      <c r="AP178" s="17" t="str">
        <f t="shared" si="50"/>
        <v/>
      </c>
      <c r="BB178" s="39"/>
      <c r="BD178" s="5">
        <v>46197</v>
      </c>
      <c r="BE178" s="42">
        <f t="shared" si="51"/>
        <v>16.875810663764963</v>
      </c>
      <c r="BF178" s="72" t="str">
        <f t="shared" si="58"/>
        <v/>
      </c>
      <c r="BG178" s="42" t="str">
        <f t="shared" si="53"/>
        <v/>
      </c>
      <c r="BH178" s="17" t="str">
        <f t="shared" si="54"/>
        <v/>
      </c>
      <c r="BT178" s="39"/>
    </row>
    <row r="179" spans="2:72">
      <c r="B179" s="5">
        <v>46198</v>
      </c>
      <c r="C179" s="23">
        <f>IF([1]CHAMNORD!H180=0,"",[1]CHAMNORD!H180)</f>
        <v>19347.28</v>
      </c>
      <c r="D179" s="22" t="str">
        <f t="shared" si="55"/>
        <v/>
      </c>
      <c r="E179" s="23" t="str">
        <f>IF([2]CHAMNORD!H181=0,"",[2]CHAMNORD!H181)</f>
        <v/>
      </c>
      <c r="F179" s="17" t="str">
        <f t="shared" si="46"/>
        <v/>
      </c>
      <c r="R179" s="39"/>
      <c r="T179" s="5">
        <v>46198</v>
      </c>
      <c r="U179" s="23">
        <f>IF([1]CHAMNORD!I180=0,"",[1]CHAMNORD!I180)</f>
        <v>19067.009999999998</v>
      </c>
      <c r="V179" s="22" t="str">
        <f t="shared" si="56"/>
        <v/>
      </c>
      <c r="W179" s="23" t="str">
        <f>IF([2]CHAMNORD!I181=0,"",[2]CHAMNORD!I181)</f>
        <v/>
      </c>
      <c r="X179" s="17" t="str">
        <f t="shared" si="48"/>
        <v/>
      </c>
      <c r="AJ179" s="39"/>
      <c r="AL179" s="5">
        <v>46198</v>
      </c>
      <c r="AM179" s="23">
        <f>IF([1]CHAMNORD!J180=0,"",[1]CHAMNORD!J180)</f>
        <v>1182</v>
      </c>
      <c r="AN179" s="22" t="str">
        <f t="shared" si="57"/>
        <v/>
      </c>
      <c r="AO179" s="23" t="str">
        <f>IF([2]CHAMNORD!J181=0,"",[2]CHAMNORD!J181)</f>
        <v/>
      </c>
      <c r="AP179" s="17" t="str">
        <f t="shared" si="50"/>
        <v/>
      </c>
      <c r="BB179" s="39"/>
      <c r="BD179" s="5">
        <v>46198</v>
      </c>
      <c r="BE179" s="42">
        <f t="shared" si="51"/>
        <v>16.368257191201351</v>
      </c>
      <c r="BF179" s="72" t="str">
        <f t="shared" si="58"/>
        <v/>
      </c>
      <c r="BG179" s="42" t="str">
        <f t="shared" si="53"/>
        <v/>
      </c>
      <c r="BH179" s="17" t="str">
        <f t="shared" si="54"/>
        <v/>
      </c>
      <c r="BT179" s="39"/>
    </row>
    <row r="180" spans="2:72">
      <c r="B180" s="5">
        <v>46199</v>
      </c>
      <c r="C180" s="23">
        <f>IF([1]CHAMNORD!H181=0,"",[1]CHAMNORD!H181)</f>
        <v>19185.169999999998</v>
      </c>
      <c r="D180" s="22" t="str">
        <f t="shared" si="55"/>
        <v/>
      </c>
      <c r="E180" s="23" t="str">
        <f>IF([2]CHAMNORD!H182=0,"",[2]CHAMNORD!H182)</f>
        <v/>
      </c>
      <c r="F180" s="17" t="str">
        <f t="shared" si="46"/>
        <v/>
      </c>
      <c r="R180" s="39"/>
      <c r="T180" s="5">
        <v>46199</v>
      </c>
      <c r="U180" s="23">
        <f>IF([1]CHAMNORD!I181=0,"",[1]CHAMNORD!I181)</f>
        <v>18970.439999999999</v>
      </c>
      <c r="V180" s="22" t="str">
        <f t="shared" si="56"/>
        <v/>
      </c>
      <c r="W180" s="23" t="str">
        <f>IF([2]CHAMNORD!I182=0,"",[2]CHAMNORD!I182)</f>
        <v/>
      </c>
      <c r="X180" s="17" t="str">
        <f t="shared" si="48"/>
        <v/>
      </c>
      <c r="AJ180" s="39"/>
      <c r="AL180" s="5">
        <v>46199</v>
      </c>
      <c r="AM180" s="23">
        <f>IF([1]CHAMNORD!J181=0,"",[1]CHAMNORD!J181)</f>
        <v>1224</v>
      </c>
      <c r="AN180" s="22" t="str">
        <f t="shared" si="57"/>
        <v/>
      </c>
      <c r="AO180" s="23" t="str">
        <f>IF([2]CHAMNORD!J182=0,"",[2]CHAMNORD!J182)</f>
        <v/>
      </c>
      <c r="AP180" s="17" t="str">
        <f t="shared" si="50"/>
        <v/>
      </c>
      <c r="BB180" s="39"/>
      <c r="BD180" s="5">
        <v>46199</v>
      </c>
      <c r="BE180" s="42">
        <f t="shared" si="51"/>
        <v>15.674158496732025</v>
      </c>
      <c r="BF180" s="72" t="str">
        <f t="shared" si="58"/>
        <v/>
      </c>
      <c r="BG180" s="42" t="str">
        <f t="shared" si="53"/>
        <v/>
      </c>
      <c r="BH180" s="17" t="str">
        <f t="shared" si="54"/>
        <v/>
      </c>
      <c r="BT180" s="39"/>
    </row>
    <row r="181" spans="2:72">
      <c r="B181" s="5">
        <v>46200</v>
      </c>
      <c r="C181" s="23">
        <f>IF([1]CHAMNORD!H182=0,"",[1]CHAMNORD!H182)</f>
        <v>23166.33</v>
      </c>
      <c r="D181" s="22" t="str">
        <f t="shared" si="55"/>
        <v/>
      </c>
      <c r="E181" s="23" t="str">
        <f>IF([2]CHAMNORD!H183=0,"",[2]CHAMNORD!H183)</f>
        <v/>
      </c>
      <c r="F181" s="17" t="str">
        <f t="shared" si="46"/>
        <v/>
      </c>
      <c r="R181" s="39"/>
      <c r="T181" s="5">
        <v>46200</v>
      </c>
      <c r="U181" s="23">
        <f>IF([1]CHAMNORD!I182=0,"",[1]CHAMNORD!I182)</f>
        <v>22868.1</v>
      </c>
      <c r="V181" s="22" t="str">
        <f t="shared" si="56"/>
        <v/>
      </c>
      <c r="W181" s="23" t="str">
        <f>IF([2]CHAMNORD!I183=0,"",[2]CHAMNORD!I183)</f>
        <v/>
      </c>
      <c r="X181" s="17" t="str">
        <f t="shared" si="48"/>
        <v/>
      </c>
      <c r="AJ181" s="39"/>
      <c r="AL181" s="5">
        <v>46200</v>
      </c>
      <c r="AM181" s="23">
        <f>IF([1]CHAMNORD!J182=0,"",[1]CHAMNORD!J182)</f>
        <v>1281</v>
      </c>
      <c r="AN181" s="22" t="str">
        <f t="shared" si="57"/>
        <v/>
      </c>
      <c r="AO181" s="23" t="str">
        <f>IF([2]CHAMNORD!J183=0,"",[2]CHAMNORD!J183)</f>
        <v/>
      </c>
      <c r="AP181" s="17" t="str">
        <f t="shared" si="50"/>
        <v/>
      </c>
      <c r="BB181" s="39"/>
      <c r="BD181" s="5">
        <v>46200</v>
      </c>
      <c r="BE181" s="42">
        <f t="shared" si="51"/>
        <v>18.084566744730679</v>
      </c>
      <c r="BF181" s="72" t="str">
        <f t="shared" si="58"/>
        <v/>
      </c>
      <c r="BG181" s="42" t="str">
        <f t="shared" si="53"/>
        <v/>
      </c>
      <c r="BH181" s="17" t="str">
        <f t="shared" si="54"/>
        <v/>
      </c>
      <c r="BT181" s="39"/>
    </row>
    <row r="182" spans="2:72">
      <c r="B182" s="5">
        <v>46201</v>
      </c>
      <c r="C182" s="23">
        <f>IF([1]CHAMNORD!H183=0,"",[1]CHAMNORD!H183)</f>
        <v>23015.89</v>
      </c>
      <c r="D182" s="22" t="str">
        <f t="shared" si="55"/>
        <v/>
      </c>
      <c r="E182" s="24" t="str">
        <f>IF([2]CHAMNORD!H184=0,"",[2]CHAMNORD!H184)</f>
        <v/>
      </c>
      <c r="F182" s="17" t="str">
        <f t="shared" si="46"/>
        <v/>
      </c>
      <c r="R182" s="39"/>
      <c r="T182" s="5">
        <v>46201</v>
      </c>
      <c r="U182" s="23">
        <f>IF([1]CHAMNORD!I183=0,"",[1]CHAMNORD!I183)</f>
        <v>22677.439999999999</v>
      </c>
      <c r="V182" s="22" t="str">
        <f t="shared" si="56"/>
        <v/>
      </c>
      <c r="W182" s="24" t="str">
        <f>IF([2]CHAMNORD!I184=0,"",[2]CHAMNORD!I184)</f>
        <v/>
      </c>
      <c r="X182" s="17" t="str">
        <f t="shared" si="48"/>
        <v/>
      </c>
      <c r="AJ182" s="39"/>
      <c r="AL182" s="5">
        <v>46201</v>
      </c>
      <c r="AM182" s="23">
        <f>IF([1]CHAMNORD!J183=0,"",[1]CHAMNORD!J183)</f>
        <v>1256</v>
      </c>
      <c r="AN182" s="22" t="str">
        <f t="shared" si="57"/>
        <v/>
      </c>
      <c r="AO182" s="24" t="str">
        <f>IF([2]CHAMNORD!J184=0,"",[2]CHAMNORD!J184)</f>
        <v/>
      </c>
      <c r="AP182" s="17" t="str">
        <f t="shared" si="50"/>
        <v/>
      </c>
      <c r="BB182" s="39"/>
      <c r="BD182" s="5">
        <v>46201</v>
      </c>
      <c r="BE182" s="42">
        <f t="shared" si="51"/>
        <v>18.324753184713376</v>
      </c>
      <c r="BF182" s="72" t="str">
        <f t="shared" si="58"/>
        <v/>
      </c>
      <c r="BG182" s="43" t="str">
        <f t="shared" si="53"/>
        <v/>
      </c>
      <c r="BH182" s="17" t="str">
        <f t="shared" si="54"/>
        <v/>
      </c>
      <c r="BT182" s="39"/>
    </row>
    <row r="183" spans="2:72">
      <c r="B183" s="5">
        <v>46202</v>
      </c>
      <c r="C183" s="24">
        <f>IF([1]CHAMNORD!H184=0,"",[1]CHAMNORD!H184)</f>
        <v>24159.84</v>
      </c>
      <c r="D183" s="22" t="str">
        <f t="shared" si="55"/>
        <v/>
      </c>
      <c r="E183" s="21" t="str">
        <f>IF([2]CHAMNORD!H185=0,"",[2]CHAMNORD!H185)</f>
        <v/>
      </c>
      <c r="F183" s="17" t="str">
        <f t="shared" si="46"/>
        <v/>
      </c>
      <c r="R183" s="39"/>
      <c r="T183" s="5">
        <v>46202</v>
      </c>
      <c r="U183" s="24">
        <f>IF([1]CHAMNORD!I184=0,"",[1]CHAMNORD!I184)</f>
        <v>23815.14</v>
      </c>
      <c r="V183" s="22" t="str">
        <f t="shared" si="56"/>
        <v/>
      </c>
      <c r="W183" s="21" t="str">
        <f>IF([2]CHAMNORD!I185=0,"",[2]CHAMNORD!I185)</f>
        <v/>
      </c>
      <c r="X183" s="17" t="str">
        <f t="shared" si="48"/>
        <v/>
      </c>
      <c r="AJ183" s="39"/>
      <c r="AL183" s="5">
        <v>46202</v>
      </c>
      <c r="AM183" s="24">
        <f>IF([1]CHAMNORD!J184=0,"",[1]CHAMNORD!J184)</f>
        <v>1217</v>
      </c>
      <c r="AN183" s="22" t="str">
        <f t="shared" si="57"/>
        <v/>
      </c>
      <c r="AO183" s="21" t="str">
        <f>IF([2]CHAMNORD!J185=0,"",[2]CHAMNORD!J185)</f>
        <v/>
      </c>
      <c r="AP183" s="17" t="str">
        <f t="shared" si="50"/>
        <v/>
      </c>
      <c r="BB183" s="39"/>
      <c r="BD183" s="5">
        <v>46202</v>
      </c>
      <c r="BE183" s="43">
        <f t="shared" si="51"/>
        <v>19.851963845521777</v>
      </c>
      <c r="BF183" s="72" t="str">
        <f t="shared" si="58"/>
        <v/>
      </c>
      <c r="BG183" s="41" t="str">
        <f t="shared" si="53"/>
        <v/>
      </c>
      <c r="BH183" s="17" t="str">
        <f t="shared" si="54"/>
        <v/>
      </c>
      <c r="BT183" s="39"/>
    </row>
    <row r="184" spans="2:72">
      <c r="B184" s="5">
        <v>46203</v>
      </c>
      <c r="C184" s="21">
        <f>IF([1]CHAMNORD!H185=0,"",[1]CHAMNORD!H185)</f>
        <v>15982.39</v>
      </c>
      <c r="D184" s="22" t="str">
        <f t="shared" si="55"/>
        <v/>
      </c>
      <c r="E184" s="23" t="str">
        <f>IF([2]CHAMNORD!H186=0,"",[2]CHAMNORD!H186)</f>
        <v/>
      </c>
      <c r="F184" s="17" t="str">
        <f t="shared" si="46"/>
        <v/>
      </c>
      <c r="R184" s="39"/>
      <c r="T184" s="5">
        <v>46203</v>
      </c>
      <c r="U184" s="21">
        <f>IF([1]CHAMNORD!I185=0,"",[1]CHAMNORD!I185)</f>
        <v>15798.6</v>
      </c>
      <c r="V184" s="22" t="str">
        <f t="shared" si="56"/>
        <v/>
      </c>
      <c r="W184" s="23" t="str">
        <f>IF([2]CHAMNORD!I186=0,"",[2]CHAMNORD!I186)</f>
        <v/>
      </c>
      <c r="X184" s="17" t="str">
        <f t="shared" si="48"/>
        <v/>
      </c>
      <c r="AJ184" s="39"/>
      <c r="AL184" s="5">
        <v>46203</v>
      </c>
      <c r="AM184" s="21">
        <f>IF([1]CHAMNORD!J185=0,"",[1]CHAMNORD!J185)</f>
        <v>957</v>
      </c>
      <c r="AN184" s="22" t="str">
        <f t="shared" si="57"/>
        <v/>
      </c>
      <c r="AO184" s="23" t="str">
        <f>IF([2]CHAMNORD!J186=0,"",[2]CHAMNORD!J186)</f>
        <v/>
      </c>
      <c r="AP184" s="17" t="str">
        <f t="shared" si="50"/>
        <v/>
      </c>
      <c r="BB184" s="39"/>
      <c r="BD184" s="5">
        <v>46203</v>
      </c>
      <c r="BE184" s="41">
        <f t="shared" si="51"/>
        <v>16.700512016718914</v>
      </c>
      <c r="BF184" s="72" t="str">
        <f t="shared" si="58"/>
        <v/>
      </c>
      <c r="BG184" s="42" t="str">
        <f t="shared" si="53"/>
        <v/>
      </c>
      <c r="BH184" s="17" t="str">
        <f t="shared" si="54"/>
        <v/>
      </c>
      <c r="BT184" s="39"/>
    </row>
    <row r="185" spans="2:72">
      <c r="B185" s="5">
        <v>46204</v>
      </c>
      <c r="C185" s="23">
        <f>IF([1]CHAMNORD!H186=0,"",[1]CHAMNORD!H186)</f>
        <v>19551.189999999999</v>
      </c>
      <c r="D185" s="22" t="str">
        <f t="shared" si="55"/>
        <v/>
      </c>
      <c r="E185" s="23" t="str">
        <f>IF([2]CHAMNORD!H187=0,"",[2]CHAMNORD!H187)</f>
        <v/>
      </c>
      <c r="F185" s="17" t="str">
        <f t="shared" si="46"/>
        <v/>
      </c>
      <c r="R185" s="39"/>
      <c r="T185" s="5">
        <v>46204</v>
      </c>
      <c r="U185" s="23">
        <f>IF([1]CHAMNORD!I186=0,"",[1]CHAMNORD!I186)</f>
        <v>19319.73</v>
      </c>
      <c r="V185" s="22" t="str">
        <f t="shared" si="56"/>
        <v/>
      </c>
      <c r="W185" s="23" t="str">
        <f>IF([2]CHAMNORD!I187=0,"",[2]CHAMNORD!I187)</f>
        <v/>
      </c>
      <c r="X185" s="17" t="str">
        <f t="shared" si="48"/>
        <v/>
      </c>
      <c r="AJ185" s="39"/>
      <c r="AL185" s="5">
        <v>46204</v>
      </c>
      <c r="AM185" s="23">
        <f>IF([1]CHAMNORD!J186=0,"",[1]CHAMNORD!J186)</f>
        <v>1096</v>
      </c>
      <c r="AN185" s="22" t="str">
        <f t="shared" si="57"/>
        <v/>
      </c>
      <c r="AO185" s="23" t="str">
        <f>IF([2]CHAMNORD!J187=0,"",[2]CHAMNORD!J187)</f>
        <v/>
      </c>
      <c r="AP185" s="17" t="str">
        <f t="shared" si="50"/>
        <v/>
      </c>
      <c r="BB185" s="39"/>
      <c r="BD185" s="5">
        <v>46204</v>
      </c>
      <c r="BE185" s="42">
        <f t="shared" si="51"/>
        <v>17.838677007299268</v>
      </c>
      <c r="BF185" s="72" t="str">
        <f t="shared" si="58"/>
        <v/>
      </c>
      <c r="BG185" s="42" t="str">
        <f t="shared" si="53"/>
        <v/>
      </c>
      <c r="BH185" s="17" t="str">
        <f t="shared" si="54"/>
        <v/>
      </c>
      <c r="BT185" s="39"/>
    </row>
    <row r="186" spans="2:72">
      <c r="B186" s="5">
        <v>46205</v>
      </c>
      <c r="C186" s="23">
        <f>IF([1]CHAMNORD!H187=0,"",[1]CHAMNORD!H187)</f>
        <v>23093.99</v>
      </c>
      <c r="D186" s="22" t="str">
        <f t="shared" si="55"/>
        <v/>
      </c>
      <c r="E186" s="23" t="str">
        <f>IF([2]CHAMNORD!H188=0,"",[2]CHAMNORD!H188)</f>
        <v/>
      </c>
      <c r="F186" s="17" t="str">
        <f t="shared" si="46"/>
        <v/>
      </c>
      <c r="R186" s="39"/>
      <c r="T186" s="5">
        <v>46205</v>
      </c>
      <c r="U186" s="23">
        <f>IF([1]CHAMNORD!I187=0,"",[1]CHAMNORD!I187)</f>
        <v>22825.3</v>
      </c>
      <c r="V186" s="22" t="str">
        <f t="shared" si="56"/>
        <v/>
      </c>
      <c r="W186" s="23" t="str">
        <f>IF([2]CHAMNORD!I188=0,"",[2]CHAMNORD!I188)</f>
        <v/>
      </c>
      <c r="X186" s="17" t="str">
        <f t="shared" si="48"/>
        <v/>
      </c>
      <c r="AJ186" s="39"/>
      <c r="AL186" s="5">
        <v>46205</v>
      </c>
      <c r="AM186" s="23">
        <f>IF([1]CHAMNORD!J187=0,"",[1]CHAMNORD!J187)</f>
        <v>1269</v>
      </c>
      <c r="AN186" s="22" t="str">
        <f t="shared" si="57"/>
        <v/>
      </c>
      <c r="AO186" s="23" t="str">
        <f>IF([2]CHAMNORD!J188=0,"",[2]CHAMNORD!J188)</f>
        <v/>
      </c>
      <c r="AP186" s="17" t="str">
        <f t="shared" si="50"/>
        <v/>
      </c>
      <c r="BB186" s="39"/>
      <c r="BD186" s="5">
        <v>46205</v>
      </c>
      <c r="BE186" s="42">
        <f t="shared" si="51"/>
        <v>18.198573680063042</v>
      </c>
      <c r="BF186" s="72" t="str">
        <f t="shared" si="58"/>
        <v/>
      </c>
      <c r="BG186" s="42" t="str">
        <f t="shared" si="53"/>
        <v/>
      </c>
      <c r="BH186" s="17" t="str">
        <f t="shared" si="54"/>
        <v/>
      </c>
      <c r="BT186" s="39"/>
    </row>
    <row r="187" spans="2:72">
      <c r="B187" s="5">
        <v>46206</v>
      </c>
      <c r="C187" s="23">
        <f>IF([1]CHAMNORD!H188=0,"",[1]CHAMNORD!H188)</f>
        <v>23135.95</v>
      </c>
      <c r="D187" s="22" t="str">
        <f t="shared" si="55"/>
        <v/>
      </c>
      <c r="E187" s="23" t="str">
        <f>IF([2]CHAMNORD!H189=0,"",[2]CHAMNORD!H189)</f>
        <v/>
      </c>
      <c r="F187" s="17" t="str">
        <f t="shared" si="46"/>
        <v/>
      </c>
      <c r="R187" s="39"/>
      <c r="T187" s="5">
        <v>46206</v>
      </c>
      <c r="U187" s="23">
        <f>IF([1]CHAMNORD!I188=0,"",[1]CHAMNORD!I188)</f>
        <v>22874.14</v>
      </c>
      <c r="V187" s="22" t="str">
        <f t="shared" si="56"/>
        <v/>
      </c>
      <c r="W187" s="23" t="str">
        <f>IF([2]CHAMNORD!I189=0,"",[2]CHAMNORD!I189)</f>
        <v/>
      </c>
      <c r="X187" s="17" t="str">
        <f t="shared" si="48"/>
        <v/>
      </c>
      <c r="AJ187" s="39"/>
      <c r="AL187" s="5">
        <v>46206</v>
      </c>
      <c r="AM187" s="23">
        <f>IF([1]CHAMNORD!J188=0,"",[1]CHAMNORD!J188)</f>
        <v>1318</v>
      </c>
      <c r="AN187" s="22" t="str">
        <f t="shared" si="57"/>
        <v/>
      </c>
      <c r="AO187" s="23" t="str">
        <f>IF([2]CHAMNORD!J189=0,"",[2]CHAMNORD!J189)</f>
        <v/>
      </c>
      <c r="AP187" s="17" t="str">
        <f t="shared" si="50"/>
        <v/>
      </c>
      <c r="BB187" s="39"/>
      <c r="BD187" s="5">
        <v>46206</v>
      </c>
      <c r="BE187" s="42">
        <f t="shared" si="51"/>
        <v>17.553831562974203</v>
      </c>
      <c r="BF187" s="72" t="str">
        <f t="shared" si="58"/>
        <v/>
      </c>
      <c r="BG187" s="42" t="str">
        <f t="shared" si="53"/>
        <v/>
      </c>
      <c r="BH187" s="17" t="str">
        <f t="shared" si="54"/>
        <v/>
      </c>
      <c r="BT187" s="39"/>
    </row>
    <row r="188" spans="2:72">
      <c r="B188" s="5">
        <v>46207</v>
      </c>
      <c r="C188" s="23">
        <f>IF([1]CHAMNORD!H189=0,"",[1]CHAMNORD!H189)</f>
        <v>26421.7</v>
      </c>
      <c r="D188" s="22" t="str">
        <f t="shared" si="55"/>
        <v/>
      </c>
      <c r="E188" s="23" t="str">
        <f>IF([2]CHAMNORD!H190=0,"",[2]CHAMNORD!H190)</f>
        <v/>
      </c>
      <c r="F188" s="17" t="str">
        <f t="shared" si="46"/>
        <v/>
      </c>
      <c r="R188" s="39"/>
      <c r="T188" s="5">
        <v>46207</v>
      </c>
      <c r="U188" s="23">
        <f>IF([1]CHAMNORD!I189=0,"",[1]CHAMNORD!I189)</f>
        <v>26123.21</v>
      </c>
      <c r="V188" s="22" t="str">
        <f t="shared" si="56"/>
        <v/>
      </c>
      <c r="W188" s="23" t="str">
        <f>IF([2]CHAMNORD!I190=0,"",[2]CHAMNORD!I190)</f>
        <v/>
      </c>
      <c r="X188" s="17" t="str">
        <f t="shared" si="48"/>
        <v/>
      </c>
      <c r="AJ188" s="39"/>
      <c r="AL188" s="5">
        <v>46207</v>
      </c>
      <c r="AM188" s="23">
        <f>IF([1]CHAMNORD!J189=0,"",[1]CHAMNORD!J189)</f>
        <v>1393</v>
      </c>
      <c r="AN188" s="22" t="str">
        <f t="shared" si="57"/>
        <v/>
      </c>
      <c r="AO188" s="23" t="str">
        <f>IF([2]CHAMNORD!J190=0,"",[2]CHAMNORD!J190)</f>
        <v/>
      </c>
      <c r="AP188" s="17" t="str">
        <f t="shared" si="50"/>
        <v/>
      </c>
      <c r="BB188" s="39"/>
      <c r="BD188" s="5">
        <v>46207</v>
      </c>
      <c r="BE188" s="42">
        <f t="shared" si="51"/>
        <v>18.967480258435032</v>
      </c>
      <c r="BF188" s="72" t="str">
        <f t="shared" si="58"/>
        <v/>
      </c>
      <c r="BG188" s="42" t="str">
        <f t="shared" si="53"/>
        <v/>
      </c>
      <c r="BH188" s="17" t="str">
        <f t="shared" si="54"/>
        <v/>
      </c>
      <c r="BT188" s="39"/>
    </row>
    <row r="189" spans="2:72">
      <c r="B189" s="5">
        <v>46208</v>
      </c>
      <c r="C189" s="23">
        <f>IF([1]CHAMNORD!H190=0,"",[1]CHAMNORD!H190)</f>
        <v>25955.09</v>
      </c>
      <c r="D189" s="22" t="str">
        <f t="shared" si="55"/>
        <v/>
      </c>
      <c r="E189" s="24" t="str">
        <f>IF([2]CHAMNORD!H191=0,"",[2]CHAMNORD!H191)</f>
        <v/>
      </c>
      <c r="F189" s="17" t="str">
        <f t="shared" si="46"/>
        <v/>
      </c>
      <c r="R189" s="39"/>
      <c r="T189" s="5">
        <v>46208</v>
      </c>
      <c r="U189" s="23">
        <f>IF([1]CHAMNORD!I190=0,"",[1]CHAMNORD!I190)</f>
        <v>25588.19</v>
      </c>
      <c r="V189" s="22" t="str">
        <f t="shared" si="56"/>
        <v/>
      </c>
      <c r="W189" s="24" t="str">
        <f>IF([2]CHAMNORD!I191=0,"",[2]CHAMNORD!I191)</f>
        <v/>
      </c>
      <c r="X189" s="17" t="str">
        <f t="shared" si="48"/>
        <v/>
      </c>
      <c r="AJ189" s="39"/>
      <c r="AL189" s="5">
        <v>46208</v>
      </c>
      <c r="AM189" s="23">
        <f>IF([1]CHAMNORD!J190=0,"",[1]CHAMNORD!J190)</f>
        <v>1289</v>
      </c>
      <c r="AN189" s="22" t="str">
        <f t="shared" si="57"/>
        <v/>
      </c>
      <c r="AO189" s="24" t="str">
        <f>IF([2]CHAMNORD!J191=0,"",[2]CHAMNORD!J191)</f>
        <v/>
      </c>
      <c r="AP189" s="17" t="str">
        <f t="shared" si="50"/>
        <v/>
      </c>
      <c r="BB189" s="39"/>
      <c r="BD189" s="5">
        <v>46208</v>
      </c>
      <c r="BE189" s="42">
        <f t="shared" si="51"/>
        <v>20.135833979829325</v>
      </c>
      <c r="BF189" s="72" t="str">
        <f t="shared" si="58"/>
        <v/>
      </c>
      <c r="BG189" s="43" t="str">
        <f t="shared" si="53"/>
        <v/>
      </c>
      <c r="BH189" s="17" t="str">
        <f t="shared" si="54"/>
        <v/>
      </c>
      <c r="BT189" s="39"/>
    </row>
    <row r="190" spans="2:72">
      <c r="B190" s="5">
        <v>46209</v>
      </c>
      <c r="C190" s="24">
        <f>IF([1]CHAMNORD!H191=0,"",[1]CHAMNORD!H191)</f>
        <v>27973.77</v>
      </c>
      <c r="D190" s="22" t="str">
        <f t="shared" si="55"/>
        <v/>
      </c>
      <c r="E190" s="21" t="str">
        <f>IF([2]CHAMNORD!H192=0,"",[2]CHAMNORD!H192)</f>
        <v/>
      </c>
      <c r="F190" s="17" t="str">
        <f t="shared" si="46"/>
        <v/>
      </c>
      <c r="R190" s="39"/>
      <c r="T190" s="5">
        <v>46209</v>
      </c>
      <c r="U190" s="24">
        <f>IF([1]CHAMNORD!I191=0,"",[1]CHAMNORD!I191)</f>
        <v>27663.25</v>
      </c>
      <c r="V190" s="22" t="str">
        <f t="shared" si="56"/>
        <v/>
      </c>
      <c r="W190" s="21" t="str">
        <f>IF([2]CHAMNORD!I192=0,"",[2]CHAMNORD!I192)</f>
        <v/>
      </c>
      <c r="X190" s="17" t="str">
        <f t="shared" si="48"/>
        <v/>
      </c>
      <c r="AJ190" s="39"/>
      <c r="AL190" s="5">
        <v>46209</v>
      </c>
      <c r="AM190" s="24">
        <f>IF([1]CHAMNORD!J191=0,"",[1]CHAMNORD!J191)</f>
        <v>1316</v>
      </c>
      <c r="AN190" s="22" t="str">
        <f t="shared" si="57"/>
        <v/>
      </c>
      <c r="AO190" s="21" t="str">
        <f>IF([2]CHAMNORD!J192=0,"",[2]CHAMNORD!J192)</f>
        <v/>
      </c>
      <c r="AP190" s="17" t="str">
        <f t="shared" si="50"/>
        <v/>
      </c>
      <c r="BB190" s="39"/>
      <c r="BD190" s="5">
        <v>46209</v>
      </c>
      <c r="BE190" s="43">
        <f t="shared" si="51"/>
        <v>21.256664133738603</v>
      </c>
      <c r="BF190" s="72" t="str">
        <f t="shared" si="58"/>
        <v/>
      </c>
      <c r="BG190" s="41" t="str">
        <f t="shared" si="53"/>
        <v/>
      </c>
      <c r="BH190" s="17" t="str">
        <f t="shared" si="54"/>
        <v/>
      </c>
      <c r="BT190" s="39"/>
    </row>
    <row r="191" spans="2:72">
      <c r="B191" s="5">
        <v>46210</v>
      </c>
      <c r="C191" s="21">
        <f>IF([1]CHAMNORD!H192=0,"",[1]CHAMNORD!H192)</f>
        <v>20915.009999999998</v>
      </c>
      <c r="D191" s="22" t="str">
        <f t="shared" si="55"/>
        <v/>
      </c>
      <c r="E191" s="23" t="str">
        <f>IF([2]CHAMNORD!H193=0,"",[2]CHAMNORD!H193)</f>
        <v/>
      </c>
      <c r="F191" s="17" t="str">
        <f t="shared" si="46"/>
        <v/>
      </c>
      <c r="R191" s="39"/>
      <c r="T191" s="5">
        <v>46210</v>
      </c>
      <c r="U191" s="21">
        <f>IF([1]CHAMNORD!I192=0,"",[1]CHAMNORD!I192)</f>
        <v>20678.47</v>
      </c>
      <c r="V191" s="22" t="str">
        <f t="shared" si="56"/>
        <v/>
      </c>
      <c r="W191" s="23" t="str">
        <f>IF([2]CHAMNORD!I193=0,"",[2]CHAMNORD!I193)</f>
        <v/>
      </c>
      <c r="X191" s="17" t="str">
        <f t="shared" si="48"/>
        <v/>
      </c>
      <c r="AJ191" s="39"/>
      <c r="AL191" s="5">
        <v>46210</v>
      </c>
      <c r="AM191" s="21">
        <f>IF([1]CHAMNORD!J192=0,"",[1]CHAMNORD!J192)</f>
        <v>1171</v>
      </c>
      <c r="AN191" s="22" t="str">
        <f t="shared" si="57"/>
        <v/>
      </c>
      <c r="AO191" s="23" t="str">
        <f>IF([2]CHAMNORD!J193=0,"",[2]CHAMNORD!J193)</f>
        <v/>
      </c>
      <c r="AP191" s="17" t="str">
        <f t="shared" si="50"/>
        <v/>
      </c>
      <c r="BB191" s="39"/>
      <c r="BD191" s="5">
        <v>46210</v>
      </c>
      <c r="BE191" s="41">
        <f t="shared" si="51"/>
        <v>17.860811272416736</v>
      </c>
      <c r="BF191" s="72" t="str">
        <f t="shared" si="58"/>
        <v/>
      </c>
      <c r="BG191" s="42" t="str">
        <f t="shared" si="53"/>
        <v/>
      </c>
      <c r="BH191" s="17" t="str">
        <f t="shared" si="54"/>
        <v/>
      </c>
      <c r="BT191" s="39"/>
    </row>
    <row r="192" spans="2:72">
      <c r="B192" s="5">
        <v>46211</v>
      </c>
      <c r="C192" s="23">
        <f>IF([1]CHAMNORD!H193=0,"",[1]CHAMNORD!H193)</f>
        <v>19873.150000000001</v>
      </c>
      <c r="D192" s="22" t="str">
        <f t="shared" si="55"/>
        <v/>
      </c>
      <c r="E192" s="23" t="str">
        <f>IF([2]CHAMNORD!H194=0,"",[2]CHAMNORD!H194)</f>
        <v/>
      </c>
      <c r="F192" s="17" t="str">
        <f t="shared" si="46"/>
        <v/>
      </c>
      <c r="R192" s="39"/>
      <c r="T192" s="5">
        <v>46211</v>
      </c>
      <c r="U192" s="23">
        <f>IF([1]CHAMNORD!I193=0,"",[1]CHAMNORD!I193)</f>
        <v>19629.68</v>
      </c>
      <c r="V192" s="22" t="str">
        <f t="shared" si="56"/>
        <v/>
      </c>
      <c r="W192" s="23" t="str">
        <f>IF([2]CHAMNORD!I194=0,"",[2]CHAMNORD!I194)</f>
        <v/>
      </c>
      <c r="X192" s="17" t="str">
        <f t="shared" si="48"/>
        <v/>
      </c>
      <c r="AJ192" s="39"/>
      <c r="AL192" s="5">
        <v>46211</v>
      </c>
      <c r="AM192" s="23">
        <f>IF([1]CHAMNORD!J193=0,"",[1]CHAMNORD!J193)</f>
        <v>1116</v>
      </c>
      <c r="AN192" s="22" t="str">
        <f t="shared" si="57"/>
        <v/>
      </c>
      <c r="AO192" s="23" t="str">
        <f>IF([2]CHAMNORD!J194=0,"",[2]CHAMNORD!J194)</f>
        <v/>
      </c>
      <c r="AP192" s="17" t="str">
        <f t="shared" si="50"/>
        <v/>
      </c>
      <c r="BB192" s="39"/>
      <c r="BD192" s="5">
        <v>46211</v>
      </c>
      <c r="BE192" s="42">
        <f t="shared" si="51"/>
        <v>17.807482078853049</v>
      </c>
      <c r="BF192" s="72" t="str">
        <f t="shared" si="58"/>
        <v/>
      </c>
      <c r="BG192" s="42" t="str">
        <f t="shared" si="53"/>
        <v/>
      </c>
      <c r="BH192" s="17" t="str">
        <f t="shared" si="54"/>
        <v/>
      </c>
      <c r="BT192" s="39"/>
    </row>
    <row r="193" spans="2:72">
      <c r="B193" s="5">
        <v>46212</v>
      </c>
      <c r="C193" s="23">
        <f>IF([1]CHAMNORD!H194=0,"",[1]CHAMNORD!H194)</f>
        <v>22029.51</v>
      </c>
      <c r="D193" s="22" t="str">
        <f t="shared" si="55"/>
        <v/>
      </c>
      <c r="E193" s="23" t="str">
        <f>IF([2]CHAMNORD!H195=0,"",[2]CHAMNORD!H195)</f>
        <v/>
      </c>
      <c r="F193" s="17" t="str">
        <f t="shared" si="46"/>
        <v/>
      </c>
      <c r="R193" s="39"/>
      <c r="T193" s="5">
        <v>46212</v>
      </c>
      <c r="U193" s="23">
        <f>IF([1]CHAMNORD!I194=0,"",[1]CHAMNORD!I194)</f>
        <v>21750.18</v>
      </c>
      <c r="V193" s="22" t="str">
        <f t="shared" si="56"/>
        <v/>
      </c>
      <c r="W193" s="23" t="str">
        <f>IF([2]CHAMNORD!I195=0,"",[2]CHAMNORD!I195)</f>
        <v/>
      </c>
      <c r="X193" s="17" t="str">
        <f t="shared" si="48"/>
        <v/>
      </c>
      <c r="AJ193" s="39"/>
      <c r="AL193" s="5">
        <v>46212</v>
      </c>
      <c r="AM193" s="23">
        <f>IF([1]CHAMNORD!J194=0,"",[1]CHAMNORD!J194)</f>
        <v>1216</v>
      </c>
      <c r="AN193" s="22" t="str">
        <f t="shared" si="57"/>
        <v/>
      </c>
      <c r="AO193" s="23" t="str">
        <f>IF([2]CHAMNORD!J195=0,"",[2]CHAMNORD!J195)</f>
        <v/>
      </c>
      <c r="AP193" s="17" t="str">
        <f t="shared" si="50"/>
        <v/>
      </c>
      <c r="BB193" s="39"/>
      <c r="BD193" s="5">
        <v>46212</v>
      </c>
      <c r="BE193" s="42">
        <f t="shared" si="51"/>
        <v>18.116373355263157</v>
      </c>
      <c r="BF193" s="72" t="str">
        <f t="shared" si="58"/>
        <v/>
      </c>
      <c r="BG193" s="42" t="str">
        <f t="shared" si="53"/>
        <v/>
      </c>
      <c r="BH193" s="17" t="str">
        <f t="shared" si="54"/>
        <v/>
      </c>
      <c r="BT193" s="39"/>
    </row>
    <row r="194" spans="2:72">
      <c r="B194" s="5">
        <v>46213</v>
      </c>
      <c r="C194" s="23">
        <f>IF([1]CHAMNORD!H195=0,"",[1]CHAMNORD!H195)</f>
        <v>24342.42</v>
      </c>
      <c r="D194" s="22" t="str">
        <f t="shared" si="55"/>
        <v/>
      </c>
      <c r="E194" s="23" t="str">
        <f>IF([2]CHAMNORD!H196=0,"",[2]CHAMNORD!H196)</f>
        <v/>
      </c>
      <c r="F194" s="17" t="str">
        <f t="shared" si="46"/>
        <v/>
      </c>
      <c r="R194" s="39"/>
      <c r="T194" s="5">
        <v>46213</v>
      </c>
      <c r="U194" s="23">
        <f>IF([1]CHAMNORD!I195=0,"",[1]CHAMNORD!I195)</f>
        <v>21110.54</v>
      </c>
      <c r="V194" s="22" t="str">
        <f t="shared" si="56"/>
        <v/>
      </c>
      <c r="W194" s="23" t="str">
        <f>IF([2]CHAMNORD!I196=0,"",[2]CHAMNORD!I196)</f>
        <v/>
      </c>
      <c r="X194" s="17" t="str">
        <f t="shared" si="48"/>
        <v/>
      </c>
      <c r="AJ194" s="39"/>
      <c r="AL194" s="5">
        <v>46213</v>
      </c>
      <c r="AM194" s="23">
        <f>IF([1]CHAMNORD!J195=0,"",[1]CHAMNORD!J195)</f>
        <v>1200</v>
      </c>
      <c r="AN194" s="22" t="str">
        <f t="shared" si="57"/>
        <v/>
      </c>
      <c r="AO194" s="23" t="str">
        <f>IF([2]CHAMNORD!J196=0,"",[2]CHAMNORD!J196)</f>
        <v/>
      </c>
      <c r="AP194" s="17" t="str">
        <f t="shared" si="50"/>
        <v/>
      </c>
      <c r="BB194" s="39"/>
      <c r="BD194" s="5">
        <v>46213</v>
      </c>
      <c r="BE194" s="42">
        <f t="shared" si="51"/>
        <v>20.285349999999998</v>
      </c>
      <c r="BF194" s="72" t="str">
        <f t="shared" si="58"/>
        <v/>
      </c>
      <c r="BG194" s="42" t="str">
        <f t="shared" si="53"/>
        <v/>
      </c>
      <c r="BH194" s="17" t="str">
        <f t="shared" si="54"/>
        <v/>
      </c>
      <c r="BT194" s="39"/>
    </row>
    <row r="195" spans="2:72">
      <c r="B195" s="5">
        <v>46214</v>
      </c>
      <c r="C195" s="23">
        <f>IF([1]CHAMNORD!H196=0,"",[1]CHAMNORD!H196)</f>
        <v>27320.55</v>
      </c>
      <c r="D195" s="22" t="str">
        <f t="shared" si="55"/>
        <v/>
      </c>
      <c r="E195" s="23" t="str">
        <f>IF([2]CHAMNORD!H197=0,"",[2]CHAMNORD!H197)</f>
        <v/>
      </c>
      <c r="F195" s="17" t="str">
        <f t="shared" si="46"/>
        <v/>
      </c>
      <c r="R195" s="39"/>
      <c r="T195" s="5">
        <v>46214</v>
      </c>
      <c r="U195" s="23">
        <f>IF([1]CHAMNORD!I196=0,"",[1]CHAMNORD!I196)</f>
        <v>27001.7</v>
      </c>
      <c r="V195" s="22" t="str">
        <f t="shared" si="56"/>
        <v/>
      </c>
      <c r="W195" s="23" t="str">
        <f>IF([2]CHAMNORD!I197=0,"",[2]CHAMNORD!I197)</f>
        <v/>
      </c>
      <c r="X195" s="17" t="str">
        <f t="shared" si="48"/>
        <v/>
      </c>
      <c r="AJ195" s="39"/>
      <c r="AL195" s="5">
        <v>46214</v>
      </c>
      <c r="AM195" s="23">
        <f>IF([1]CHAMNORD!J196=0,"",[1]CHAMNORD!J196)</f>
        <v>1442</v>
      </c>
      <c r="AN195" s="22" t="str">
        <f t="shared" si="57"/>
        <v/>
      </c>
      <c r="AO195" s="23" t="str">
        <f>IF([2]CHAMNORD!J197=0,"",[2]CHAMNORD!J197)</f>
        <v/>
      </c>
      <c r="AP195" s="17" t="str">
        <f t="shared" si="50"/>
        <v/>
      </c>
      <c r="BB195" s="39"/>
      <c r="BD195" s="5">
        <v>46214</v>
      </c>
      <c r="BE195" s="42">
        <f t="shared" si="51"/>
        <v>18.94628987517337</v>
      </c>
      <c r="BF195" s="72" t="str">
        <f t="shared" si="58"/>
        <v/>
      </c>
      <c r="BG195" s="42" t="str">
        <f t="shared" si="53"/>
        <v/>
      </c>
      <c r="BH195" s="17" t="str">
        <f t="shared" si="54"/>
        <v/>
      </c>
      <c r="BT195" s="39"/>
    </row>
    <row r="196" spans="2:72">
      <c r="B196" s="5">
        <v>46215</v>
      </c>
      <c r="C196" s="23">
        <f>IF([1]CHAMNORD!H197=0,"",[1]CHAMNORD!H197)</f>
        <v>23814.28</v>
      </c>
      <c r="D196" s="22" t="str">
        <f t="shared" si="55"/>
        <v/>
      </c>
      <c r="E196" s="24" t="str">
        <f>IF([2]CHAMNORD!H198=0,"",[2]CHAMNORD!H198)</f>
        <v/>
      </c>
      <c r="F196" s="17" t="str">
        <f t="shared" ref="F196:F259" si="59">IF(E196="","",(E196/C197)-1)</f>
        <v/>
      </c>
      <c r="R196" s="39"/>
      <c r="T196" s="5">
        <v>46215</v>
      </c>
      <c r="U196" s="23">
        <f>IF([1]CHAMNORD!I197=0,"",[1]CHAMNORD!I197)</f>
        <v>23543.72</v>
      </c>
      <c r="V196" s="22" t="str">
        <f t="shared" si="56"/>
        <v/>
      </c>
      <c r="W196" s="24" t="str">
        <f>IF([2]CHAMNORD!I198=0,"",[2]CHAMNORD!I198)</f>
        <v/>
      </c>
      <c r="X196" s="17" t="str">
        <f t="shared" ref="X196:X259" si="60">IF(W196="","",(W196/U197)-1)</f>
        <v/>
      </c>
      <c r="AJ196" s="39"/>
      <c r="AL196" s="5">
        <v>46215</v>
      </c>
      <c r="AM196" s="23">
        <f>IF([1]CHAMNORD!J197=0,"",[1]CHAMNORD!J197)</f>
        <v>1286</v>
      </c>
      <c r="AN196" s="22" t="str">
        <f t="shared" si="57"/>
        <v/>
      </c>
      <c r="AO196" s="24" t="str">
        <f>IF([2]CHAMNORD!J198=0,"",[2]CHAMNORD!J198)</f>
        <v/>
      </c>
      <c r="AP196" s="17" t="str">
        <f t="shared" ref="AP196:AP259" si="61">IF(AO196="","",(AO196/AM197)-1)</f>
        <v/>
      </c>
      <c r="BB196" s="39"/>
      <c r="BD196" s="5">
        <v>46215</v>
      </c>
      <c r="BE196" s="42">
        <f t="shared" ref="BE196:BE259" si="62">IFERROR(C196/AM196,"")</f>
        <v>18.518102643856921</v>
      </c>
      <c r="BF196" s="72" t="str">
        <f t="shared" si="58"/>
        <v/>
      </c>
      <c r="BG196" s="43" t="str">
        <f t="shared" ref="BG196:BG259" si="63">IFERROR(E196/AO196,"")</f>
        <v/>
      </c>
      <c r="BH196" s="17" t="str">
        <f t="shared" ref="BH196:BH259" si="64">IF(BG196="","",(BG196/BE197)-1)</f>
        <v/>
      </c>
      <c r="BT196" s="39"/>
    </row>
    <row r="197" spans="2:72">
      <c r="B197" s="5">
        <v>46216</v>
      </c>
      <c r="C197" s="24">
        <f>IF([1]CHAMNORD!H198=0,"",[1]CHAMNORD!H198)</f>
        <v>24031.32</v>
      </c>
      <c r="D197" s="22" t="str">
        <f t="shared" si="55"/>
        <v/>
      </c>
      <c r="E197" s="21" t="str">
        <f>IF([2]CHAMNORD!H199=0,"",[2]CHAMNORD!H199)</f>
        <v/>
      </c>
      <c r="F197" s="17" t="str">
        <f t="shared" si="59"/>
        <v/>
      </c>
      <c r="R197" s="39"/>
      <c r="T197" s="5">
        <v>46216</v>
      </c>
      <c r="U197" s="24">
        <f>IF([1]CHAMNORD!I198=0,"",[1]CHAMNORD!I198)</f>
        <v>23799.72</v>
      </c>
      <c r="V197" s="22" t="str">
        <f t="shared" si="56"/>
        <v/>
      </c>
      <c r="W197" s="21" t="str">
        <f>IF([2]CHAMNORD!I199=0,"",[2]CHAMNORD!I199)</f>
        <v/>
      </c>
      <c r="X197" s="17" t="str">
        <f t="shared" si="60"/>
        <v/>
      </c>
      <c r="AJ197" s="39"/>
      <c r="AL197" s="5">
        <v>46216</v>
      </c>
      <c r="AM197" s="24">
        <f>IF([1]CHAMNORD!J198=0,"",[1]CHAMNORD!J198)</f>
        <v>1170</v>
      </c>
      <c r="AN197" s="22" t="str">
        <f t="shared" si="57"/>
        <v/>
      </c>
      <c r="AO197" s="21" t="str">
        <f>IF([2]CHAMNORD!J199=0,"",[2]CHAMNORD!J199)</f>
        <v/>
      </c>
      <c r="AP197" s="17" t="str">
        <f t="shared" si="61"/>
        <v/>
      </c>
      <c r="BB197" s="39"/>
      <c r="BD197" s="5">
        <v>46216</v>
      </c>
      <c r="BE197" s="43">
        <f t="shared" si="62"/>
        <v>20.539589743589744</v>
      </c>
      <c r="BF197" s="72" t="str">
        <f t="shared" si="58"/>
        <v/>
      </c>
      <c r="BG197" s="41" t="str">
        <f t="shared" si="63"/>
        <v/>
      </c>
      <c r="BH197" s="17" t="str">
        <f t="shared" si="64"/>
        <v/>
      </c>
      <c r="BT197" s="39"/>
    </row>
    <row r="198" spans="2:72">
      <c r="B198" s="5">
        <v>46217</v>
      </c>
      <c r="C198" s="21">
        <f>IF([1]CHAMNORD!H199=0,"",[1]CHAMNORD!H199)</f>
        <v>25157.46</v>
      </c>
      <c r="D198" s="22" t="str">
        <f t="shared" si="55"/>
        <v/>
      </c>
      <c r="E198" s="23" t="str">
        <f>IF([2]CHAMNORD!H200=0,"",[2]CHAMNORD!H200)</f>
        <v/>
      </c>
      <c r="F198" s="17" t="str">
        <f t="shared" si="59"/>
        <v/>
      </c>
      <c r="R198" s="39"/>
      <c r="T198" s="5">
        <v>46217</v>
      </c>
      <c r="U198" s="21">
        <f>IF([1]CHAMNORD!I199=0,"",[1]CHAMNORD!I199)</f>
        <v>24776.35</v>
      </c>
      <c r="V198" s="22" t="str">
        <f t="shared" si="56"/>
        <v/>
      </c>
      <c r="W198" s="23" t="str">
        <f>IF([2]CHAMNORD!I200=0,"",[2]CHAMNORD!I200)</f>
        <v/>
      </c>
      <c r="X198" s="17" t="str">
        <f t="shared" si="60"/>
        <v/>
      </c>
      <c r="AJ198" s="39"/>
      <c r="AL198" s="5">
        <v>46217</v>
      </c>
      <c r="AM198" s="21">
        <f>IF([1]CHAMNORD!J199=0,"",[1]CHAMNORD!J199)</f>
        <v>1240</v>
      </c>
      <c r="AN198" s="22" t="str">
        <f t="shared" si="57"/>
        <v/>
      </c>
      <c r="AO198" s="23" t="str">
        <f>IF([2]CHAMNORD!J200=0,"",[2]CHAMNORD!J200)</f>
        <v/>
      </c>
      <c r="AP198" s="17" t="str">
        <f t="shared" si="61"/>
        <v/>
      </c>
      <c r="BB198" s="39"/>
      <c r="BD198" s="5">
        <v>46217</v>
      </c>
      <c r="BE198" s="41">
        <f t="shared" si="62"/>
        <v>20.288274193548386</v>
      </c>
      <c r="BF198" s="72" t="str">
        <f t="shared" si="58"/>
        <v/>
      </c>
      <c r="BG198" s="42" t="str">
        <f t="shared" si="63"/>
        <v/>
      </c>
      <c r="BH198" s="17" t="str">
        <f t="shared" si="64"/>
        <v/>
      </c>
      <c r="BT198" s="39"/>
    </row>
    <row r="199" spans="2:72">
      <c r="B199" s="5">
        <v>46218</v>
      </c>
      <c r="C199" s="23">
        <f>IF([1]CHAMNORD!H200=0,"",[1]CHAMNORD!H200)</f>
        <v>17022.93</v>
      </c>
      <c r="D199" s="22" t="str">
        <f t="shared" si="55"/>
        <v/>
      </c>
      <c r="E199" s="23" t="str">
        <f>IF([2]CHAMNORD!H201=0,"",[2]CHAMNORD!H201)</f>
        <v/>
      </c>
      <c r="F199" s="17" t="str">
        <f t="shared" si="59"/>
        <v/>
      </c>
      <c r="R199" s="39"/>
      <c r="T199" s="5">
        <v>46218</v>
      </c>
      <c r="U199" s="23">
        <f>IF([1]CHAMNORD!I200=0,"",[1]CHAMNORD!I200)</f>
        <v>16819.02</v>
      </c>
      <c r="V199" s="22" t="str">
        <f t="shared" si="56"/>
        <v/>
      </c>
      <c r="W199" s="23" t="str">
        <f>IF([2]CHAMNORD!I201=0,"",[2]CHAMNORD!I201)</f>
        <v/>
      </c>
      <c r="X199" s="17" t="str">
        <f t="shared" si="60"/>
        <v/>
      </c>
      <c r="AJ199" s="39"/>
      <c r="AL199" s="5">
        <v>46218</v>
      </c>
      <c r="AM199" s="23">
        <f>IF([1]CHAMNORD!J200=0,"",[1]CHAMNORD!J200)</f>
        <v>952</v>
      </c>
      <c r="AN199" s="22" t="str">
        <f t="shared" si="57"/>
        <v/>
      </c>
      <c r="AO199" s="23" t="str">
        <f>IF([2]CHAMNORD!J201=0,"",[2]CHAMNORD!J201)</f>
        <v/>
      </c>
      <c r="AP199" s="17" t="str">
        <f t="shared" si="61"/>
        <v/>
      </c>
      <c r="BB199" s="39"/>
      <c r="BD199" s="5">
        <v>46218</v>
      </c>
      <c r="BE199" s="42">
        <f t="shared" si="62"/>
        <v>17.88122899159664</v>
      </c>
      <c r="BF199" s="72" t="str">
        <f t="shared" si="58"/>
        <v/>
      </c>
      <c r="BG199" s="42" t="str">
        <f t="shared" si="63"/>
        <v/>
      </c>
      <c r="BH199" s="17" t="str">
        <f t="shared" si="64"/>
        <v/>
      </c>
      <c r="BT199" s="39"/>
    </row>
    <row r="200" spans="2:72">
      <c r="B200" s="5">
        <v>46219</v>
      </c>
      <c r="C200" s="23">
        <f>IF([1]CHAMNORD!H201=0,"",[1]CHAMNORD!H201)</f>
        <v>17981.23</v>
      </c>
      <c r="D200" s="22" t="str">
        <f t="shared" si="55"/>
        <v/>
      </c>
      <c r="E200" s="23" t="str">
        <f>IF([2]CHAMNORD!H202=0,"",[2]CHAMNORD!H202)</f>
        <v/>
      </c>
      <c r="F200" s="17" t="str">
        <f t="shared" si="59"/>
        <v/>
      </c>
      <c r="R200" s="39"/>
      <c r="T200" s="5">
        <v>46219</v>
      </c>
      <c r="U200" s="23">
        <f>IF([1]CHAMNORD!I201=0,"",[1]CHAMNORD!I201)</f>
        <v>17771.25</v>
      </c>
      <c r="V200" s="22" t="str">
        <f t="shared" si="56"/>
        <v/>
      </c>
      <c r="W200" s="23" t="str">
        <f>IF([2]CHAMNORD!I202=0,"",[2]CHAMNORD!I202)</f>
        <v/>
      </c>
      <c r="X200" s="17" t="str">
        <f t="shared" si="60"/>
        <v/>
      </c>
      <c r="AJ200" s="39"/>
      <c r="AL200" s="5">
        <v>46219</v>
      </c>
      <c r="AM200" s="23">
        <f>IF([1]CHAMNORD!J201=0,"",[1]CHAMNORD!J201)</f>
        <v>1017</v>
      </c>
      <c r="AN200" s="22" t="str">
        <f t="shared" si="57"/>
        <v/>
      </c>
      <c r="AO200" s="23" t="str">
        <f>IF([2]CHAMNORD!J202=0,"",[2]CHAMNORD!J202)</f>
        <v/>
      </c>
      <c r="AP200" s="17" t="str">
        <f t="shared" si="61"/>
        <v/>
      </c>
      <c r="BB200" s="39"/>
      <c r="BD200" s="5">
        <v>46219</v>
      </c>
      <c r="BE200" s="42">
        <f t="shared" si="62"/>
        <v>17.680658800393314</v>
      </c>
      <c r="BF200" s="72" t="str">
        <f t="shared" si="58"/>
        <v/>
      </c>
      <c r="BG200" s="42" t="str">
        <f t="shared" si="63"/>
        <v/>
      </c>
      <c r="BH200" s="17" t="str">
        <f t="shared" si="64"/>
        <v/>
      </c>
      <c r="BT200" s="39"/>
    </row>
    <row r="201" spans="2:72">
      <c r="B201" s="5">
        <v>46220</v>
      </c>
      <c r="C201" s="23">
        <f>IF([1]CHAMNORD!H202=0,"",[1]CHAMNORD!H202)</f>
        <v>19209.18</v>
      </c>
      <c r="D201" s="22" t="str">
        <f t="shared" si="55"/>
        <v/>
      </c>
      <c r="E201" s="23" t="str">
        <f>IF([2]CHAMNORD!H203=0,"",[2]CHAMNORD!H203)</f>
        <v/>
      </c>
      <c r="F201" s="17" t="str">
        <f t="shared" si="59"/>
        <v/>
      </c>
      <c r="R201" s="39"/>
      <c r="T201" s="5">
        <v>46220</v>
      </c>
      <c r="U201" s="23">
        <f>IF([1]CHAMNORD!I202=0,"",[1]CHAMNORD!I202)</f>
        <v>18955.45</v>
      </c>
      <c r="V201" s="22" t="str">
        <f t="shared" si="56"/>
        <v/>
      </c>
      <c r="W201" s="23" t="str">
        <f>IF([2]CHAMNORD!I203=0,"",[2]CHAMNORD!I203)</f>
        <v/>
      </c>
      <c r="X201" s="17" t="str">
        <f t="shared" si="60"/>
        <v/>
      </c>
      <c r="AJ201" s="39"/>
      <c r="AL201" s="5">
        <v>46220</v>
      </c>
      <c r="AM201" s="23">
        <f>IF([1]CHAMNORD!J202=0,"",[1]CHAMNORD!J202)</f>
        <v>1113</v>
      </c>
      <c r="AN201" s="22" t="str">
        <f t="shared" si="57"/>
        <v/>
      </c>
      <c r="AO201" s="23" t="str">
        <f>IF([2]CHAMNORD!J203=0,"",[2]CHAMNORD!J203)</f>
        <v/>
      </c>
      <c r="AP201" s="17" t="str">
        <f t="shared" si="61"/>
        <v/>
      </c>
      <c r="BB201" s="39"/>
      <c r="BD201" s="5">
        <v>46220</v>
      </c>
      <c r="BE201" s="42">
        <f t="shared" si="62"/>
        <v>17.258921832884099</v>
      </c>
      <c r="BF201" s="72" t="str">
        <f t="shared" si="58"/>
        <v/>
      </c>
      <c r="BG201" s="42" t="str">
        <f t="shared" si="63"/>
        <v/>
      </c>
      <c r="BH201" s="17" t="str">
        <f t="shared" si="64"/>
        <v/>
      </c>
      <c r="BT201" s="39"/>
    </row>
    <row r="202" spans="2:72">
      <c r="B202" s="5">
        <v>46221</v>
      </c>
      <c r="C202" s="23">
        <f>IF([1]CHAMNORD!H203=0,"",[1]CHAMNORD!H203)</f>
        <v>23540.16</v>
      </c>
      <c r="D202" s="22" t="str">
        <f t="shared" si="55"/>
        <v/>
      </c>
      <c r="E202" s="23" t="str">
        <f>IF([2]CHAMNORD!H204=0,"",[2]CHAMNORD!H204)</f>
        <v/>
      </c>
      <c r="F202" s="17" t="str">
        <f t="shared" si="59"/>
        <v/>
      </c>
      <c r="R202" s="39"/>
      <c r="T202" s="5">
        <v>46221</v>
      </c>
      <c r="U202" s="23">
        <f>IF([1]CHAMNORD!I203=0,"",[1]CHAMNORD!I203)</f>
        <v>23318.080000000002</v>
      </c>
      <c r="V202" s="22" t="str">
        <f t="shared" si="56"/>
        <v/>
      </c>
      <c r="W202" s="23" t="str">
        <f>IF([2]CHAMNORD!I204=0,"",[2]CHAMNORD!I204)</f>
        <v/>
      </c>
      <c r="X202" s="17" t="str">
        <f t="shared" si="60"/>
        <v/>
      </c>
      <c r="AJ202" s="39"/>
      <c r="AL202" s="5">
        <v>46221</v>
      </c>
      <c r="AM202" s="23">
        <f>IF([1]CHAMNORD!J203=0,"",[1]CHAMNORD!J203)</f>
        <v>1224</v>
      </c>
      <c r="AN202" s="22" t="str">
        <f t="shared" si="57"/>
        <v/>
      </c>
      <c r="AO202" s="23" t="str">
        <f>IF([2]CHAMNORD!J204=0,"",[2]CHAMNORD!J204)</f>
        <v/>
      </c>
      <c r="AP202" s="17" t="str">
        <f t="shared" si="61"/>
        <v/>
      </c>
      <c r="BB202" s="39"/>
      <c r="BD202" s="5">
        <v>46221</v>
      </c>
      <c r="BE202" s="42">
        <f t="shared" si="62"/>
        <v>19.232156862745097</v>
      </c>
      <c r="BF202" s="72" t="str">
        <f t="shared" si="58"/>
        <v/>
      </c>
      <c r="BG202" s="42" t="str">
        <f t="shared" si="63"/>
        <v/>
      </c>
      <c r="BH202" s="17" t="str">
        <f t="shared" si="64"/>
        <v/>
      </c>
      <c r="BT202" s="39"/>
    </row>
    <row r="203" spans="2:72">
      <c r="B203" s="5">
        <v>46222</v>
      </c>
      <c r="C203" s="23">
        <f>IF([1]CHAMNORD!H204=0,"",[1]CHAMNORD!H204)</f>
        <v>24639.73</v>
      </c>
      <c r="D203" s="22" t="str">
        <f t="shared" si="55"/>
        <v/>
      </c>
      <c r="E203" s="24" t="str">
        <f>IF([2]CHAMNORD!H205=0,"",[2]CHAMNORD!H205)</f>
        <v/>
      </c>
      <c r="F203" s="17" t="str">
        <f t="shared" si="59"/>
        <v/>
      </c>
      <c r="R203" s="39"/>
      <c r="T203" s="5">
        <v>46222</v>
      </c>
      <c r="U203" s="23">
        <f>IF([1]CHAMNORD!I204=0,"",[1]CHAMNORD!I204)</f>
        <v>24374.16</v>
      </c>
      <c r="V203" s="22" t="str">
        <f t="shared" si="56"/>
        <v/>
      </c>
      <c r="W203" s="24" t="str">
        <f>IF([2]CHAMNORD!I205=0,"",[2]CHAMNORD!I205)</f>
        <v/>
      </c>
      <c r="X203" s="17" t="str">
        <f t="shared" si="60"/>
        <v/>
      </c>
      <c r="AJ203" s="39"/>
      <c r="AL203" s="5">
        <v>46222</v>
      </c>
      <c r="AM203" s="23">
        <f>IF([1]CHAMNORD!J204=0,"",[1]CHAMNORD!J204)</f>
        <v>1230</v>
      </c>
      <c r="AN203" s="22" t="str">
        <f t="shared" si="57"/>
        <v/>
      </c>
      <c r="AO203" s="24" t="str">
        <f>IF([2]CHAMNORD!J205=0,"",[2]CHAMNORD!J205)</f>
        <v/>
      </c>
      <c r="AP203" s="17" t="str">
        <f t="shared" si="61"/>
        <v/>
      </c>
      <c r="BB203" s="39"/>
      <c r="BD203" s="5">
        <v>46222</v>
      </c>
      <c r="BE203" s="42">
        <f t="shared" si="62"/>
        <v>20.032300813008131</v>
      </c>
      <c r="BF203" s="72" t="str">
        <f t="shared" si="58"/>
        <v/>
      </c>
      <c r="BG203" s="43" t="str">
        <f t="shared" si="63"/>
        <v/>
      </c>
      <c r="BH203" s="17" t="str">
        <f t="shared" si="64"/>
        <v/>
      </c>
      <c r="BT203" s="39"/>
    </row>
    <row r="204" spans="2:72">
      <c r="B204" s="5">
        <v>46223</v>
      </c>
      <c r="C204" s="24">
        <f>IF([1]CHAMNORD!H205=0,"",[1]CHAMNORD!H205)</f>
        <v>24760.84</v>
      </c>
      <c r="D204" s="22" t="str">
        <f t="shared" si="55"/>
        <v/>
      </c>
      <c r="E204" s="21" t="str">
        <f>IF([2]CHAMNORD!H206=0,"",[2]CHAMNORD!H206)</f>
        <v/>
      </c>
      <c r="F204" s="17" t="str">
        <f t="shared" si="59"/>
        <v/>
      </c>
      <c r="R204" s="39"/>
      <c r="T204" s="5">
        <v>46223</v>
      </c>
      <c r="U204" s="24">
        <f>IF([1]CHAMNORD!I205=0,"",[1]CHAMNORD!I205)</f>
        <v>24522.35</v>
      </c>
      <c r="V204" s="22" t="str">
        <f t="shared" si="56"/>
        <v/>
      </c>
      <c r="W204" s="21" t="str">
        <f>IF([2]CHAMNORD!I206=0,"",[2]CHAMNORD!I206)</f>
        <v/>
      </c>
      <c r="X204" s="17" t="str">
        <f t="shared" si="60"/>
        <v/>
      </c>
      <c r="AJ204" s="39"/>
      <c r="AL204" s="5">
        <v>46223</v>
      </c>
      <c r="AM204" s="24">
        <f>IF([1]CHAMNORD!J205=0,"",[1]CHAMNORD!J205)</f>
        <v>1179</v>
      </c>
      <c r="AN204" s="22" t="str">
        <f t="shared" si="57"/>
        <v/>
      </c>
      <c r="AO204" s="21" t="str">
        <f>IF([2]CHAMNORD!J206=0,"",[2]CHAMNORD!J206)</f>
        <v/>
      </c>
      <c r="AP204" s="17" t="str">
        <f t="shared" si="61"/>
        <v/>
      </c>
      <c r="BB204" s="39"/>
      <c r="BD204" s="5">
        <v>46223</v>
      </c>
      <c r="BE204" s="43">
        <f t="shared" si="62"/>
        <v>21.001560644614081</v>
      </c>
      <c r="BF204" s="72" t="str">
        <f t="shared" si="58"/>
        <v/>
      </c>
      <c r="BG204" s="41" t="str">
        <f t="shared" si="63"/>
        <v/>
      </c>
      <c r="BH204" s="17" t="str">
        <f t="shared" si="64"/>
        <v/>
      </c>
      <c r="BT204" s="39"/>
    </row>
    <row r="205" spans="2:72">
      <c r="B205" s="5">
        <v>46224</v>
      </c>
      <c r="C205" s="21">
        <f>IF([1]CHAMNORD!H206=0,"",[1]CHAMNORD!H206)</f>
        <v>17968.73</v>
      </c>
      <c r="D205" s="22" t="str">
        <f t="shared" si="55"/>
        <v/>
      </c>
      <c r="E205" s="23" t="str">
        <f>IF([2]CHAMNORD!H207=0,"",[2]CHAMNORD!H207)</f>
        <v/>
      </c>
      <c r="F205" s="17" t="str">
        <f t="shared" si="59"/>
        <v/>
      </c>
      <c r="R205" s="39"/>
      <c r="T205" s="5">
        <v>46224</v>
      </c>
      <c r="U205" s="21">
        <f>IF([1]CHAMNORD!I206=0,"",[1]CHAMNORD!I206)</f>
        <v>17781.32</v>
      </c>
      <c r="V205" s="22" t="str">
        <f t="shared" si="56"/>
        <v/>
      </c>
      <c r="W205" s="23" t="str">
        <f>IF([2]CHAMNORD!I207=0,"",[2]CHAMNORD!I207)</f>
        <v/>
      </c>
      <c r="X205" s="17" t="str">
        <f t="shared" si="60"/>
        <v/>
      </c>
      <c r="AJ205" s="39"/>
      <c r="AL205" s="5">
        <v>46224</v>
      </c>
      <c r="AM205" s="21">
        <f>IF([1]CHAMNORD!J206=0,"",[1]CHAMNORD!J206)</f>
        <v>980</v>
      </c>
      <c r="AN205" s="22" t="str">
        <f t="shared" si="57"/>
        <v/>
      </c>
      <c r="AO205" s="23" t="str">
        <f>IF([2]CHAMNORD!J207=0,"",[2]CHAMNORD!J207)</f>
        <v/>
      </c>
      <c r="AP205" s="17" t="str">
        <f t="shared" si="61"/>
        <v/>
      </c>
      <c r="BB205" s="39"/>
      <c r="BD205" s="5">
        <v>46224</v>
      </c>
      <c r="BE205" s="41">
        <f t="shared" si="62"/>
        <v>18.335438775510205</v>
      </c>
      <c r="BF205" s="72" t="str">
        <f t="shared" si="58"/>
        <v/>
      </c>
      <c r="BG205" s="42" t="str">
        <f t="shared" si="63"/>
        <v/>
      </c>
      <c r="BH205" s="17" t="str">
        <f t="shared" si="64"/>
        <v/>
      </c>
      <c r="BT205" s="39"/>
    </row>
    <row r="206" spans="2:72">
      <c r="B206" s="5">
        <v>46225</v>
      </c>
      <c r="C206" s="23">
        <f>IF([1]CHAMNORD!H207=0,"",[1]CHAMNORD!H207)</f>
        <v>16391.439999999999</v>
      </c>
      <c r="D206" s="22" t="str">
        <f t="shared" si="55"/>
        <v/>
      </c>
      <c r="E206" s="23" t="str">
        <f>IF([2]CHAMNORD!H208=0,"",[2]CHAMNORD!H208)</f>
        <v/>
      </c>
      <c r="F206" s="17" t="str">
        <f t="shared" si="59"/>
        <v/>
      </c>
      <c r="R206" s="39"/>
      <c r="T206" s="5">
        <v>46225</v>
      </c>
      <c r="U206" s="23">
        <f>IF([1]CHAMNORD!I207=0,"",[1]CHAMNORD!I207)</f>
        <v>16185.02</v>
      </c>
      <c r="V206" s="22" t="str">
        <f t="shared" si="56"/>
        <v/>
      </c>
      <c r="W206" s="23" t="str">
        <f>IF([2]CHAMNORD!I208=0,"",[2]CHAMNORD!I208)</f>
        <v/>
      </c>
      <c r="X206" s="17" t="str">
        <f t="shared" si="60"/>
        <v/>
      </c>
      <c r="AJ206" s="39"/>
      <c r="AL206" s="5">
        <v>46225</v>
      </c>
      <c r="AM206" s="23">
        <f>IF([1]CHAMNORD!J207=0,"",[1]CHAMNORD!J207)</f>
        <v>916</v>
      </c>
      <c r="AN206" s="22" t="str">
        <f t="shared" si="57"/>
        <v/>
      </c>
      <c r="AO206" s="23" t="str">
        <f>IF([2]CHAMNORD!J208=0,"",[2]CHAMNORD!J208)</f>
        <v/>
      </c>
      <c r="AP206" s="17" t="str">
        <f t="shared" si="61"/>
        <v/>
      </c>
      <c r="BB206" s="39"/>
      <c r="BD206" s="5">
        <v>46225</v>
      </c>
      <c r="BE206" s="42">
        <f t="shared" si="62"/>
        <v>17.894585152838427</v>
      </c>
      <c r="BF206" s="72" t="str">
        <f t="shared" si="58"/>
        <v/>
      </c>
      <c r="BG206" s="42" t="str">
        <f t="shared" si="63"/>
        <v/>
      </c>
      <c r="BH206" s="17" t="str">
        <f t="shared" si="64"/>
        <v/>
      </c>
      <c r="BT206" s="39"/>
    </row>
    <row r="207" spans="2:72">
      <c r="B207" s="5">
        <v>46226</v>
      </c>
      <c r="C207" s="23">
        <f>IF([1]CHAMNORD!H208=0,"",[1]CHAMNORD!H208)</f>
        <v>19187.830000000002</v>
      </c>
      <c r="D207" s="22" t="str">
        <f t="shared" si="55"/>
        <v/>
      </c>
      <c r="E207" s="23" t="str">
        <f>IF([2]CHAMNORD!H209=0,"",[2]CHAMNORD!H209)</f>
        <v/>
      </c>
      <c r="F207" s="17" t="str">
        <f t="shared" si="59"/>
        <v/>
      </c>
      <c r="R207" s="39"/>
      <c r="T207" s="5">
        <v>46226</v>
      </c>
      <c r="U207" s="23">
        <f>IF([1]CHAMNORD!I208=0,"",[1]CHAMNORD!I208)</f>
        <v>18914.849999999999</v>
      </c>
      <c r="V207" s="22" t="str">
        <f t="shared" si="56"/>
        <v/>
      </c>
      <c r="W207" s="23" t="str">
        <f>IF([2]CHAMNORD!I209=0,"",[2]CHAMNORD!I209)</f>
        <v/>
      </c>
      <c r="X207" s="17" t="str">
        <f t="shared" si="60"/>
        <v/>
      </c>
      <c r="AJ207" s="39"/>
      <c r="AL207" s="5">
        <v>46226</v>
      </c>
      <c r="AM207" s="23">
        <f>IF([1]CHAMNORD!J208=0,"",[1]CHAMNORD!J208)</f>
        <v>1037</v>
      </c>
      <c r="AN207" s="22" t="str">
        <f t="shared" si="57"/>
        <v/>
      </c>
      <c r="AO207" s="23" t="str">
        <f>IF([2]CHAMNORD!J209=0,"",[2]CHAMNORD!J209)</f>
        <v/>
      </c>
      <c r="AP207" s="17" t="str">
        <f t="shared" si="61"/>
        <v/>
      </c>
      <c r="BB207" s="39"/>
      <c r="BD207" s="5">
        <v>46226</v>
      </c>
      <c r="BE207" s="42">
        <f t="shared" si="62"/>
        <v>18.503211186113791</v>
      </c>
      <c r="BF207" s="72" t="str">
        <f t="shared" si="58"/>
        <v/>
      </c>
      <c r="BG207" s="42" t="str">
        <f t="shared" si="63"/>
        <v/>
      </c>
      <c r="BH207" s="17" t="str">
        <f t="shared" si="64"/>
        <v/>
      </c>
      <c r="BT207" s="39"/>
    </row>
    <row r="208" spans="2:72">
      <c r="B208" s="5">
        <v>46227</v>
      </c>
      <c r="C208" s="23">
        <f>IF([1]CHAMNORD!H209=0,"",[1]CHAMNORD!H209)</f>
        <v>19200.939999999999</v>
      </c>
      <c r="D208" s="22" t="str">
        <f t="shared" si="55"/>
        <v/>
      </c>
      <c r="E208" s="23" t="str">
        <f>IF([2]CHAMNORD!H210=0,"",[2]CHAMNORD!H210)</f>
        <v/>
      </c>
      <c r="F208" s="17" t="str">
        <f t="shared" si="59"/>
        <v/>
      </c>
      <c r="R208" s="39"/>
      <c r="T208" s="5">
        <v>46227</v>
      </c>
      <c r="U208" s="23">
        <f>IF([1]CHAMNORD!I209=0,"",[1]CHAMNORD!I209)</f>
        <v>18996.21</v>
      </c>
      <c r="V208" s="22" t="str">
        <f t="shared" si="56"/>
        <v/>
      </c>
      <c r="W208" s="23" t="str">
        <f>IF([2]CHAMNORD!I210=0,"",[2]CHAMNORD!I210)</f>
        <v/>
      </c>
      <c r="X208" s="17" t="str">
        <f t="shared" si="60"/>
        <v/>
      </c>
      <c r="AJ208" s="39"/>
      <c r="AL208" s="5">
        <v>46227</v>
      </c>
      <c r="AM208" s="23">
        <f>IF([1]CHAMNORD!J209=0,"",[1]CHAMNORD!J209)</f>
        <v>1054</v>
      </c>
      <c r="AN208" s="22" t="str">
        <f t="shared" si="57"/>
        <v/>
      </c>
      <c r="AO208" s="23" t="str">
        <f>IF([2]CHAMNORD!J210=0,"",[2]CHAMNORD!J210)</f>
        <v/>
      </c>
      <c r="AP208" s="17" t="str">
        <f t="shared" si="61"/>
        <v/>
      </c>
      <c r="BB208" s="39"/>
      <c r="BD208" s="5">
        <v>46227</v>
      </c>
      <c r="BE208" s="42">
        <f t="shared" si="62"/>
        <v>18.217210626185956</v>
      </c>
      <c r="BF208" s="72" t="str">
        <f t="shared" si="58"/>
        <v/>
      </c>
      <c r="BG208" s="42" t="str">
        <f t="shared" si="63"/>
        <v/>
      </c>
      <c r="BH208" s="17" t="str">
        <f t="shared" si="64"/>
        <v/>
      </c>
      <c r="BT208" s="39"/>
    </row>
    <row r="209" spans="2:72">
      <c r="B209" s="5">
        <v>46228</v>
      </c>
      <c r="C209" s="23">
        <f>IF([1]CHAMNORD!H210=0,"",[1]CHAMNORD!H210)</f>
        <v>24930.560000000001</v>
      </c>
      <c r="D209" s="22" t="str">
        <f t="shared" si="55"/>
        <v/>
      </c>
      <c r="E209" s="23" t="str">
        <f>IF([2]CHAMNORD!H211=0,"",[2]CHAMNORD!H211)</f>
        <v/>
      </c>
      <c r="F209" s="17" t="str">
        <f t="shared" si="59"/>
        <v/>
      </c>
      <c r="R209" s="39"/>
      <c r="T209" s="5">
        <v>46228</v>
      </c>
      <c r="U209" s="23">
        <f>IF([1]CHAMNORD!I210=0,"",[1]CHAMNORD!I210)</f>
        <v>24633.37</v>
      </c>
      <c r="V209" s="22" t="str">
        <f t="shared" si="56"/>
        <v/>
      </c>
      <c r="W209" s="23" t="str">
        <f>IF([2]CHAMNORD!I211=0,"",[2]CHAMNORD!I211)</f>
        <v/>
      </c>
      <c r="X209" s="17" t="str">
        <f t="shared" si="60"/>
        <v/>
      </c>
      <c r="AJ209" s="39"/>
      <c r="AL209" s="5">
        <v>46228</v>
      </c>
      <c r="AM209" s="23">
        <f>IF([1]CHAMNORD!J210=0,"",[1]CHAMNORD!J210)</f>
        <v>1289</v>
      </c>
      <c r="AN209" s="22" t="str">
        <f t="shared" si="57"/>
        <v/>
      </c>
      <c r="AO209" s="23" t="str">
        <f>IF([2]CHAMNORD!J211=0,"",[2]CHAMNORD!J211)</f>
        <v/>
      </c>
      <c r="AP209" s="17" t="str">
        <f t="shared" si="61"/>
        <v/>
      </c>
      <c r="BB209" s="39"/>
      <c r="BD209" s="5">
        <v>46228</v>
      </c>
      <c r="BE209" s="42">
        <f t="shared" si="62"/>
        <v>19.341008533747093</v>
      </c>
      <c r="BF209" s="72" t="str">
        <f t="shared" si="58"/>
        <v/>
      </c>
      <c r="BG209" s="42" t="str">
        <f t="shared" si="63"/>
        <v/>
      </c>
      <c r="BH209" s="17" t="str">
        <f t="shared" si="64"/>
        <v/>
      </c>
      <c r="BT209" s="39"/>
    </row>
    <row r="210" spans="2:72">
      <c r="B210" s="5">
        <v>46229</v>
      </c>
      <c r="C210" s="23">
        <f>IF([1]CHAMNORD!H211=0,"",[1]CHAMNORD!H211)</f>
        <v>22846.94</v>
      </c>
      <c r="D210" s="22" t="str">
        <f t="shared" si="55"/>
        <v/>
      </c>
      <c r="E210" s="24" t="str">
        <f>IF([2]CHAMNORD!H212=0,"",[2]CHAMNORD!H212)</f>
        <v/>
      </c>
      <c r="F210" s="17" t="str">
        <f t="shared" si="59"/>
        <v/>
      </c>
      <c r="R210" s="39"/>
      <c r="T210" s="5">
        <v>46229</v>
      </c>
      <c r="U210" s="23">
        <f>IF([1]CHAMNORD!I211=0,"",[1]CHAMNORD!I211)</f>
        <v>22556.03</v>
      </c>
      <c r="V210" s="22" t="str">
        <f t="shared" si="56"/>
        <v/>
      </c>
      <c r="W210" s="24" t="str">
        <f>IF([2]CHAMNORD!I212=0,"",[2]CHAMNORD!I212)</f>
        <v/>
      </c>
      <c r="X210" s="17" t="str">
        <f t="shared" si="60"/>
        <v/>
      </c>
      <c r="AJ210" s="39"/>
      <c r="AL210" s="5">
        <v>46229</v>
      </c>
      <c r="AM210" s="23">
        <f>IF([1]CHAMNORD!J211=0,"",[1]CHAMNORD!J211)</f>
        <v>1168</v>
      </c>
      <c r="AN210" s="22" t="str">
        <f t="shared" si="57"/>
        <v/>
      </c>
      <c r="AO210" s="24" t="str">
        <f>IF([2]CHAMNORD!J212=0,"",[2]CHAMNORD!J212)</f>
        <v/>
      </c>
      <c r="AP210" s="17" t="str">
        <f t="shared" si="61"/>
        <v/>
      </c>
      <c r="BB210" s="39"/>
      <c r="BD210" s="5">
        <v>46229</v>
      </c>
      <c r="BE210" s="42">
        <f t="shared" si="62"/>
        <v>19.560736301369861</v>
      </c>
      <c r="BF210" s="72" t="str">
        <f t="shared" si="58"/>
        <v/>
      </c>
      <c r="BG210" s="43" t="str">
        <f t="shared" si="63"/>
        <v/>
      </c>
      <c r="BH210" s="17" t="str">
        <f t="shared" si="64"/>
        <v/>
      </c>
      <c r="BT210" s="39"/>
    </row>
    <row r="211" spans="2:72">
      <c r="B211" s="5">
        <v>46230</v>
      </c>
      <c r="C211" s="24">
        <f>IF([1]CHAMNORD!H212=0,"",[1]CHAMNORD!H212)</f>
        <v>22493.67</v>
      </c>
      <c r="D211" s="22" t="str">
        <f t="shared" si="55"/>
        <v/>
      </c>
      <c r="E211" s="21" t="str">
        <f>IF([2]CHAMNORD!H213=0,"",[2]CHAMNORD!H213)</f>
        <v/>
      </c>
      <c r="F211" s="17" t="str">
        <f t="shared" si="59"/>
        <v/>
      </c>
      <c r="R211" s="39"/>
      <c r="T211" s="5">
        <v>46230</v>
      </c>
      <c r="U211" s="24">
        <f>IF([1]CHAMNORD!I212=0,"",[1]CHAMNORD!I212)</f>
        <v>22206.880000000001</v>
      </c>
      <c r="V211" s="22" t="str">
        <f t="shared" si="56"/>
        <v/>
      </c>
      <c r="W211" s="21" t="str">
        <f>IF([2]CHAMNORD!I213=0,"",[2]CHAMNORD!I213)</f>
        <v/>
      </c>
      <c r="X211" s="17" t="str">
        <f t="shared" si="60"/>
        <v/>
      </c>
      <c r="AJ211" s="39"/>
      <c r="AL211" s="5">
        <v>46230</v>
      </c>
      <c r="AM211" s="24">
        <f>IF([1]CHAMNORD!J212=0,"",[1]CHAMNORD!J212)</f>
        <v>1087</v>
      </c>
      <c r="AN211" s="22" t="str">
        <f t="shared" si="57"/>
        <v/>
      </c>
      <c r="AO211" s="21" t="str">
        <f>IF([2]CHAMNORD!J213=0,"",[2]CHAMNORD!J213)</f>
        <v/>
      </c>
      <c r="AP211" s="17" t="str">
        <f t="shared" si="61"/>
        <v/>
      </c>
      <c r="BB211" s="39"/>
      <c r="BD211" s="5">
        <v>46230</v>
      </c>
      <c r="BE211" s="43">
        <f t="shared" si="62"/>
        <v>20.693348666053357</v>
      </c>
      <c r="BF211" s="72" t="str">
        <f t="shared" si="58"/>
        <v/>
      </c>
      <c r="BG211" s="41" t="str">
        <f t="shared" si="63"/>
        <v/>
      </c>
      <c r="BH211" s="17" t="str">
        <f t="shared" si="64"/>
        <v/>
      </c>
      <c r="BT211" s="39"/>
    </row>
    <row r="212" spans="2:72">
      <c r="B212" s="5">
        <v>46231</v>
      </c>
      <c r="C212" s="21">
        <f>IF([1]CHAMNORD!H213=0,"",[1]CHAMNORD!H213)</f>
        <v>17780.060000000001</v>
      </c>
      <c r="D212" s="22" t="str">
        <f t="shared" si="55"/>
        <v/>
      </c>
      <c r="E212" s="23" t="str">
        <f>IF([2]CHAMNORD!H214=0,"",[2]CHAMNORD!H214)</f>
        <v/>
      </c>
      <c r="F212" s="17" t="str">
        <f t="shared" si="59"/>
        <v/>
      </c>
      <c r="R212" s="39"/>
      <c r="T212" s="5">
        <v>46231</v>
      </c>
      <c r="U212" s="21">
        <f>IF([1]CHAMNORD!I213=0,"",[1]CHAMNORD!I213)</f>
        <v>17572.03</v>
      </c>
      <c r="V212" s="22" t="str">
        <f t="shared" si="56"/>
        <v/>
      </c>
      <c r="W212" s="23" t="str">
        <f>IF([2]CHAMNORD!I214=0,"",[2]CHAMNORD!I214)</f>
        <v/>
      </c>
      <c r="X212" s="17" t="str">
        <f t="shared" si="60"/>
        <v/>
      </c>
      <c r="AJ212" s="39"/>
      <c r="AL212" s="5">
        <v>46231</v>
      </c>
      <c r="AM212" s="21">
        <f>IF([1]CHAMNORD!J213=0,"",[1]CHAMNORD!J213)</f>
        <v>985</v>
      </c>
      <c r="AN212" s="22" t="str">
        <f t="shared" si="57"/>
        <v/>
      </c>
      <c r="AO212" s="23" t="str">
        <f>IF([2]CHAMNORD!J214=0,"",[2]CHAMNORD!J214)</f>
        <v/>
      </c>
      <c r="AP212" s="17" t="str">
        <f t="shared" si="61"/>
        <v/>
      </c>
      <c r="BB212" s="39"/>
      <c r="BD212" s="5">
        <v>46231</v>
      </c>
      <c r="BE212" s="41">
        <f t="shared" si="62"/>
        <v>18.050822335025384</v>
      </c>
      <c r="BF212" s="72" t="str">
        <f t="shared" si="58"/>
        <v/>
      </c>
      <c r="BG212" s="42" t="str">
        <f t="shared" si="63"/>
        <v/>
      </c>
      <c r="BH212" s="17" t="str">
        <f t="shared" si="64"/>
        <v/>
      </c>
      <c r="BT212" s="39"/>
    </row>
    <row r="213" spans="2:72">
      <c r="B213" s="5">
        <v>46232</v>
      </c>
      <c r="C213" s="23">
        <f>IF([1]CHAMNORD!H214=0,"",[1]CHAMNORD!H214)</f>
        <v>16325.23</v>
      </c>
      <c r="D213" s="22" t="str">
        <f t="shared" si="55"/>
        <v/>
      </c>
      <c r="E213" s="23" t="str">
        <f>IF([2]CHAMNORD!H215=0,"",[2]CHAMNORD!H215)</f>
        <v/>
      </c>
      <c r="F213" s="17" t="str">
        <f t="shared" si="59"/>
        <v/>
      </c>
      <c r="R213" s="39"/>
      <c r="T213" s="5">
        <v>46232</v>
      </c>
      <c r="U213" s="23">
        <f>IF([1]CHAMNORD!I214=0,"",[1]CHAMNORD!I214)</f>
        <v>16131.4</v>
      </c>
      <c r="V213" s="22" t="str">
        <f t="shared" si="56"/>
        <v/>
      </c>
      <c r="W213" s="23" t="str">
        <f>IF([2]CHAMNORD!I215=0,"",[2]CHAMNORD!I215)</f>
        <v/>
      </c>
      <c r="X213" s="17" t="str">
        <f t="shared" si="60"/>
        <v/>
      </c>
      <c r="AJ213" s="39"/>
      <c r="AL213" s="5">
        <v>46232</v>
      </c>
      <c r="AM213" s="23">
        <f>IF([1]CHAMNORD!J214=0,"",[1]CHAMNORD!J214)</f>
        <v>951</v>
      </c>
      <c r="AN213" s="22" t="str">
        <f t="shared" si="57"/>
        <v/>
      </c>
      <c r="AO213" s="23" t="str">
        <f>IF([2]CHAMNORD!J215=0,"",[2]CHAMNORD!J215)</f>
        <v/>
      </c>
      <c r="AP213" s="17" t="str">
        <f t="shared" si="61"/>
        <v/>
      </c>
      <c r="BB213" s="39"/>
      <c r="BD213" s="5">
        <v>46232</v>
      </c>
      <c r="BE213" s="42">
        <f t="shared" si="62"/>
        <v>17.166382754994743</v>
      </c>
      <c r="BF213" s="72" t="str">
        <f t="shared" si="58"/>
        <v/>
      </c>
      <c r="BG213" s="42" t="str">
        <f t="shared" si="63"/>
        <v/>
      </c>
      <c r="BH213" s="17" t="str">
        <f t="shared" si="64"/>
        <v/>
      </c>
      <c r="BT213" s="39"/>
    </row>
    <row r="214" spans="2:72">
      <c r="B214" s="5">
        <v>46233</v>
      </c>
      <c r="C214" s="23">
        <f>IF([1]CHAMNORD!H215=0,"",[1]CHAMNORD!H215)</f>
        <v>18390.650000000001</v>
      </c>
      <c r="D214" s="22" t="str">
        <f t="shared" si="55"/>
        <v/>
      </c>
      <c r="E214" s="23" t="str">
        <f>IF([2]CHAMNORD!H216=0,"",[2]CHAMNORD!H216)</f>
        <v/>
      </c>
      <c r="F214" s="17" t="str">
        <f t="shared" si="59"/>
        <v/>
      </c>
      <c r="R214" s="39"/>
      <c r="T214" s="5">
        <v>46233</v>
      </c>
      <c r="U214" s="23">
        <f>IF([1]CHAMNORD!I215=0,"",[1]CHAMNORD!I215)</f>
        <v>18167.099999999999</v>
      </c>
      <c r="V214" s="22" t="str">
        <f t="shared" si="56"/>
        <v/>
      </c>
      <c r="W214" s="23" t="str">
        <f>IF([2]CHAMNORD!I216=0,"",[2]CHAMNORD!I216)</f>
        <v/>
      </c>
      <c r="X214" s="17" t="str">
        <f t="shared" si="60"/>
        <v/>
      </c>
      <c r="AJ214" s="39"/>
      <c r="AL214" s="5">
        <v>46233</v>
      </c>
      <c r="AM214" s="23">
        <f>IF([1]CHAMNORD!J215=0,"",[1]CHAMNORD!J215)</f>
        <v>1025</v>
      </c>
      <c r="AN214" s="22" t="str">
        <f t="shared" si="57"/>
        <v/>
      </c>
      <c r="AO214" s="23" t="str">
        <f>IF([2]CHAMNORD!J216=0,"",[2]CHAMNORD!J216)</f>
        <v/>
      </c>
      <c r="AP214" s="17" t="str">
        <f t="shared" si="61"/>
        <v/>
      </c>
      <c r="BB214" s="39"/>
      <c r="BD214" s="5">
        <v>46233</v>
      </c>
      <c r="BE214" s="42">
        <f t="shared" si="62"/>
        <v>17.942097560975611</v>
      </c>
      <c r="BF214" s="72" t="str">
        <f t="shared" si="58"/>
        <v/>
      </c>
      <c r="BG214" s="42" t="str">
        <f t="shared" si="63"/>
        <v/>
      </c>
      <c r="BH214" s="17" t="str">
        <f t="shared" si="64"/>
        <v/>
      </c>
      <c r="BT214" s="39"/>
    </row>
    <row r="215" spans="2:72">
      <c r="B215" s="5">
        <v>46234</v>
      </c>
      <c r="C215" s="23">
        <f>IF([1]CHAMNORD!H216=0,"",[1]CHAMNORD!H216)</f>
        <v>20092.650000000001</v>
      </c>
      <c r="D215" s="22" t="str">
        <f t="shared" si="55"/>
        <v/>
      </c>
      <c r="E215" s="23" t="str">
        <f>IF([2]CHAMNORD!H217=0,"",[2]CHAMNORD!H217)</f>
        <v/>
      </c>
      <c r="F215" s="17" t="str">
        <f t="shared" si="59"/>
        <v/>
      </c>
      <c r="R215" s="39"/>
      <c r="T215" s="5">
        <v>46234</v>
      </c>
      <c r="U215" s="23">
        <f>IF([1]CHAMNORD!I216=0,"",[1]CHAMNORD!I216)</f>
        <v>19884.61</v>
      </c>
      <c r="V215" s="22" t="str">
        <f t="shared" si="56"/>
        <v/>
      </c>
      <c r="W215" s="23" t="str">
        <f>IF([2]CHAMNORD!I217=0,"",[2]CHAMNORD!I217)</f>
        <v/>
      </c>
      <c r="X215" s="17" t="str">
        <f t="shared" si="60"/>
        <v/>
      </c>
      <c r="AJ215" s="39"/>
      <c r="AL215" s="5">
        <v>46234</v>
      </c>
      <c r="AM215" s="23">
        <f>IF([1]CHAMNORD!J216=0,"",[1]CHAMNORD!J216)</f>
        <v>1101</v>
      </c>
      <c r="AN215" s="22" t="str">
        <f t="shared" si="57"/>
        <v/>
      </c>
      <c r="AO215" s="23" t="str">
        <f>IF([2]CHAMNORD!J217=0,"",[2]CHAMNORD!J217)</f>
        <v/>
      </c>
      <c r="AP215" s="17" t="str">
        <f t="shared" si="61"/>
        <v/>
      </c>
      <c r="BB215" s="39"/>
      <c r="BD215" s="5">
        <v>46234</v>
      </c>
      <c r="BE215" s="42">
        <f t="shared" si="62"/>
        <v>18.249455040871936</v>
      </c>
      <c r="BF215" s="72" t="str">
        <f t="shared" si="58"/>
        <v/>
      </c>
      <c r="BG215" s="42" t="str">
        <f t="shared" si="63"/>
        <v/>
      </c>
      <c r="BH215" s="17" t="str">
        <f t="shared" si="64"/>
        <v/>
      </c>
      <c r="BT215" s="39"/>
    </row>
    <row r="216" spans="2:72">
      <c r="B216" s="5">
        <v>46235</v>
      </c>
      <c r="C216" s="23">
        <f>IF([1]CHAMNORD!H217=0,"",[1]CHAMNORD!H217)</f>
        <v>22978.3</v>
      </c>
      <c r="D216" s="22" t="str">
        <f t="shared" si="55"/>
        <v/>
      </c>
      <c r="E216" s="23" t="str">
        <f>IF([2]CHAMNORD!H218=0,"",[2]CHAMNORD!H218)</f>
        <v/>
      </c>
      <c r="F216" s="17" t="str">
        <f t="shared" si="59"/>
        <v/>
      </c>
      <c r="R216" s="39"/>
      <c r="T216" s="5">
        <v>46235</v>
      </c>
      <c r="U216" s="23">
        <f>IF([1]CHAMNORD!I217=0,"",[1]CHAMNORD!I217)</f>
        <v>22725.49</v>
      </c>
      <c r="V216" s="22" t="str">
        <f t="shared" si="56"/>
        <v/>
      </c>
      <c r="W216" s="23" t="str">
        <f>IF([2]CHAMNORD!I218=0,"",[2]CHAMNORD!I218)</f>
        <v/>
      </c>
      <c r="X216" s="17" t="str">
        <f t="shared" si="60"/>
        <v/>
      </c>
      <c r="AJ216" s="39"/>
      <c r="AL216" s="5">
        <v>46235</v>
      </c>
      <c r="AM216" s="23">
        <f>IF([1]CHAMNORD!J217=0,"",[1]CHAMNORD!J217)</f>
        <v>1214</v>
      </c>
      <c r="AN216" s="22" t="str">
        <f t="shared" si="57"/>
        <v/>
      </c>
      <c r="AO216" s="23" t="str">
        <f>IF([2]CHAMNORD!J218=0,"",[2]CHAMNORD!J218)</f>
        <v/>
      </c>
      <c r="AP216" s="17" t="str">
        <f t="shared" si="61"/>
        <v/>
      </c>
      <c r="BB216" s="39"/>
      <c r="BD216" s="5">
        <v>46235</v>
      </c>
      <c r="BE216" s="42">
        <f t="shared" si="62"/>
        <v>18.927759472817133</v>
      </c>
      <c r="BF216" s="72" t="str">
        <f t="shared" si="58"/>
        <v/>
      </c>
      <c r="BG216" s="42" t="str">
        <f t="shared" si="63"/>
        <v/>
      </c>
      <c r="BH216" s="17" t="str">
        <f t="shared" si="64"/>
        <v/>
      </c>
      <c r="BT216" s="39"/>
    </row>
    <row r="217" spans="2:72">
      <c r="B217" s="5">
        <v>46236</v>
      </c>
      <c r="C217" s="23">
        <f>IF([1]CHAMNORD!H218=0,"",[1]CHAMNORD!H218)</f>
        <v>25903.25</v>
      </c>
      <c r="D217" s="22" t="str">
        <f t="shared" si="55"/>
        <v/>
      </c>
      <c r="E217" s="24" t="str">
        <f>IF([2]CHAMNORD!H219=0,"",[2]CHAMNORD!H219)</f>
        <v/>
      </c>
      <c r="F217" s="17" t="str">
        <f t="shared" si="59"/>
        <v/>
      </c>
      <c r="R217" s="39"/>
      <c r="T217" s="5">
        <v>46236</v>
      </c>
      <c r="U217" s="23">
        <f>IF([1]CHAMNORD!I218=0,"",[1]CHAMNORD!I218)</f>
        <v>25618.79</v>
      </c>
      <c r="V217" s="22" t="str">
        <f t="shared" si="56"/>
        <v/>
      </c>
      <c r="W217" s="24" t="str">
        <f>IF([2]CHAMNORD!I219=0,"",[2]CHAMNORD!I219)</f>
        <v/>
      </c>
      <c r="X217" s="17" t="str">
        <f t="shared" si="60"/>
        <v/>
      </c>
      <c r="AJ217" s="39"/>
      <c r="AL217" s="5">
        <v>46236</v>
      </c>
      <c r="AM217" s="23">
        <f>IF([1]CHAMNORD!J218=0,"",[1]CHAMNORD!J218)</f>
        <v>1295</v>
      </c>
      <c r="AN217" s="22" t="str">
        <f t="shared" si="57"/>
        <v/>
      </c>
      <c r="AO217" s="24" t="str">
        <f>IF([2]CHAMNORD!J219=0,"",[2]CHAMNORD!J219)</f>
        <v/>
      </c>
      <c r="AP217" s="17" t="str">
        <f t="shared" si="61"/>
        <v/>
      </c>
      <c r="BB217" s="39"/>
      <c r="BD217" s="5">
        <v>46236</v>
      </c>
      <c r="BE217" s="42">
        <f t="shared" si="62"/>
        <v>20.002509652509652</v>
      </c>
      <c r="BF217" s="72" t="str">
        <f t="shared" si="58"/>
        <v/>
      </c>
      <c r="BG217" s="43" t="str">
        <f t="shared" si="63"/>
        <v/>
      </c>
      <c r="BH217" s="17" t="str">
        <f t="shared" si="64"/>
        <v/>
      </c>
      <c r="BT217" s="39"/>
    </row>
    <row r="218" spans="2:72">
      <c r="B218" s="5">
        <v>46237</v>
      </c>
      <c r="C218" s="24">
        <f>IF([1]CHAMNORD!H219=0,"",[1]CHAMNORD!H219)</f>
        <v>23704.76</v>
      </c>
      <c r="D218" s="22" t="str">
        <f t="shared" si="55"/>
        <v/>
      </c>
      <c r="E218" s="21" t="str">
        <f>IF([2]CHAMNORD!H220=0,"",[2]CHAMNORD!H220)</f>
        <v/>
      </c>
      <c r="F218" s="17" t="str">
        <f t="shared" si="59"/>
        <v/>
      </c>
      <c r="R218" s="39"/>
      <c r="T218" s="5">
        <v>46237</v>
      </c>
      <c r="U218" s="24">
        <f>IF([1]CHAMNORD!I219=0,"",[1]CHAMNORD!I219)</f>
        <v>23453.96</v>
      </c>
      <c r="V218" s="22" t="str">
        <f t="shared" si="56"/>
        <v/>
      </c>
      <c r="W218" s="21" t="str">
        <f>IF([2]CHAMNORD!I220=0,"",[2]CHAMNORD!I220)</f>
        <v/>
      </c>
      <c r="X218" s="17" t="str">
        <f t="shared" si="60"/>
        <v/>
      </c>
      <c r="AJ218" s="39"/>
      <c r="AL218" s="5">
        <v>46237</v>
      </c>
      <c r="AM218" s="24">
        <f>IF([1]CHAMNORD!J219=0,"",[1]CHAMNORD!J219)</f>
        <v>1147</v>
      </c>
      <c r="AN218" s="22" t="str">
        <f t="shared" si="57"/>
        <v/>
      </c>
      <c r="AO218" s="21" t="str">
        <f>IF([2]CHAMNORD!J220=0,"",[2]CHAMNORD!J220)</f>
        <v/>
      </c>
      <c r="AP218" s="17" t="str">
        <f t="shared" si="61"/>
        <v/>
      </c>
      <c r="BB218" s="39"/>
      <c r="BD218" s="5">
        <v>46237</v>
      </c>
      <c r="BE218" s="43">
        <f t="shared" si="62"/>
        <v>20.666748038360939</v>
      </c>
      <c r="BF218" s="72" t="str">
        <f t="shared" si="58"/>
        <v/>
      </c>
      <c r="BG218" s="41" t="str">
        <f t="shared" si="63"/>
        <v/>
      </c>
      <c r="BH218" s="17" t="str">
        <f t="shared" si="64"/>
        <v/>
      </c>
      <c r="BT218" s="39"/>
    </row>
    <row r="219" spans="2:72">
      <c r="B219" s="5">
        <v>46238</v>
      </c>
      <c r="C219" s="21">
        <f>IF([1]CHAMNORD!H220=0,"",[1]CHAMNORD!H220)</f>
        <v>18155.63</v>
      </c>
      <c r="D219" s="22" t="str">
        <f t="shared" si="55"/>
        <v/>
      </c>
      <c r="E219" s="23" t="str">
        <f>IF([2]CHAMNORD!H221=0,"",[2]CHAMNORD!H221)</f>
        <v/>
      </c>
      <c r="F219" s="17" t="str">
        <f t="shared" si="59"/>
        <v/>
      </c>
      <c r="R219" s="39"/>
      <c r="T219" s="5">
        <v>46238</v>
      </c>
      <c r="U219" s="21">
        <f>IF([1]CHAMNORD!I220=0,"",[1]CHAMNORD!I220)</f>
        <v>17967.240000000002</v>
      </c>
      <c r="V219" s="22" t="str">
        <f t="shared" si="56"/>
        <v/>
      </c>
      <c r="W219" s="23" t="str">
        <f>IF([2]CHAMNORD!I221=0,"",[2]CHAMNORD!I221)</f>
        <v/>
      </c>
      <c r="X219" s="17" t="str">
        <f t="shared" si="60"/>
        <v/>
      </c>
      <c r="AJ219" s="39"/>
      <c r="AL219" s="5">
        <v>46238</v>
      </c>
      <c r="AM219" s="21">
        <f>IF([1]CHAMNORD!J220=0,"",[1]CHAMNORD!J220)</f>
        <v>1009</v>
      </c>
      <c r="AN219" s="22" t="str">
        <f t="shared" si="57"/>
        <v/>
      </c>
      <c r="AO219" s="23" t="str">
        <f>IF([2]CHAMNORD!J221=0,"",[2]CHAMNORD!J221)</f>
        <v/>
      </c>
      <c r="AP219" s="17" t="str">
        <f t="shared" si="61"/>
        <v/>
      </c>
      <c r="BB219" s="39"/>
      <c r="BD219" s="5">
        <v>46238</v>
      </c>
      <c r="BE219" s="41">
        <f t="shared" si="62"/>
        <v>17.993686818632309</v>
      </c>
      <c r="BF219" s="72" t="str">
        <f t="shared" si="58"/>
        <v/>
      </c>
      <c r="BG219" s="42" t="str">
        <f t="shared" si="63"/>
        <v/>
      </c>
      <c r="BH219" s="17" t="str">
        <f t="shared" si="64"/>
        <v/>
      </c>
      <c r="BT219" s="39"/>
    </row>
    <row r="220" spans="2:72">
      <c r="B220" s="5">
        <v>46239</v>
      </c>
      <c r="C220" s="23">
        <f>IF([1]CHAMNORD!H221=0,"",[1]CHAMNORD!H221)</f>
        <v>17876.55</v>
      </c>
      <c r="D220" s="22" t="str">
        <f t="shared" si="55"/>
        <v/>
      </c>
      <c r="E220" s="23" t="str">
        <f>IF([2]CHAMNORD!H222=0,"",[2]CHAMNORD!H222)</f>
        <v/>
      </c>
      <c r="F220" s="17" t="str">
        <f t="shared" si="59"/>
        <v/>
      </c>
      <c r="R220" s="39"/>
      <c r="T220" s="5">
        <v>46239</v>
      </c>
      <c r="U220" s="23">
        <f>IF([1]CHAMNORD!I221=0,"",[1]CHAMNORD!I221)</f>
        <v>17625.97</v>
      </c>
      <c r="V220" s="22" t="str">
        <f t="shared" si="56"/>
        <v/>
      </c>
      <c r="W220" s="23" t="str">
        <f>IF([2]CHAMNORD!I222=0,"",[2]CHAMNORD!I222)</f>
        <v/>
      </c>
      <c r="X220" s="17" t="str">
        <f t="shared" si="60"/>
        <v/>
      </c>
      <c r="AJ220" s="39"/>
      <c r="AL220" s="5">
        <v>46239</v>
      </c>
      <c r="AM220" s="23">
        <f>IF([1]CHAMNORD!J221=0,"",[1]CHAMNORD!J221)</f>
        <v>945</v>
      </c>
      <c r="AN220" s="22" t="str">
        <f t="shared" si="57"/>
        <v/>
      </c>
      <c r="AO220" s="23" t="str">
        <f>IF([2]CHAMNORD!J222=0,"",[2]CHAMNORD!J222)</f>
        <v/>
      </c>
      <c r="AP220" s="17" t="str">
        <f t="shared" si="61"/>
        <v/>
      </c>
      <c r="BB220" s="39"/>
      <c r="BD220" s="5">
        <v>46239</v>
      </c>
      <c r="BE220" s="42">
        <f t="shared" si="62"/>
        <v>18.916984126984126</v>
      </c>
      <c r="BF220" s="72" t="str">
        <f t="shared" si="58"/>
        <v/>
      </c>
      <c r="BG220" s="42" t="str">
        <f t="shared" si="63"/>
        <v/>
      </c>
      <c r="BH220" s="17" t="str">
        <f t="shared" si="64"/>
        <v/>
      </c>
      <c r="BT220" s="39"/>
    </row>
    <row r="221" spans="2:72">
      <c r="B221" s="5">
        <v>46240</v>
      </c>
      <c r="C221" s="23">
        <f>IF([1]CHAMNORD!H222=0,"",[1]CHAMNORD!H222)</f>
        <v>20169.82</v>
      </c>
      <c r="D221" s="22" t="str">
        <f t="shared" si="55"/>
        <v/>
      </c>
      <c r="E221" s="23" t="str">
        <f>IF([2]CHAMNORD!H223=0,"",[2]CHAMNORD!H223)</f>
        <v/>
      </c>
      <c r="F221" s="17" t="str">
        <f t="shared" si="59"/>
        <v/>
      </c>
      <c r="R221" s="39"/>
      <c r="T221" s="5">
        <v>46240</v>
      </c>
      <c r="U221" s="23">
        <f>IF([1]CHAMNORD!I222=0,"",[1]CHAMNORD!I222)</f>
        <v>19918.18</v>
      </c>
      <c r="V221" s="22" t="str">
        <f t="shared" si="56"/>
        <v/>
      </c>
      <c r="W221" s="23" t="str">
        <f>IF([2]CHAMNORD!I223=0,"",[2]CHAMNORD!I223)</f>
        <v/>
      </c>
      <c r="X221" s="17" t="str">
        <f t="shared" si="60"/>
        <v/>
      </c>
      <c r="AJ221" s="39"/>
      <c r="AL221" s="5">
        <v>46240</v>
      </c>
      <c r="AM221" s="23">
        <f>IF([1]CHAMNORD!J222=0,"",[1]CHAMNORD!J222)</f>
        <v>1045</v>
      </c>
      <c r="AN221" s="22" t="str">
        <f t="shared" si="57"/>
        <v/>
      </c>
      <c r="AO221" s="23" t="str">
        <f>IF([2]CHAMNORD!J223=0,"",[2]CHAMNORD!J223)</f>
        <v/>
      </c>
      <c r="AP221" s="17" t="str">
        <f t="shared" si="61"/>
        <v/>
      </c>
      <c r="BB221" s="39"/>
      <c r="BD221" s="5">
        <v>46240</v>
      </c>
      <c r="BE221" s="42">
        <f t="shared" si="62"/>
        <v>19.301263157894738</v>
      </c>
      <c r="BF221" s="72" t="str">
        <f t="shared" si="58"/>
        <v/>
      </c>
      <c r="BG221" s="42" t="str">
        <f t="shared" si="63"/>
        <v/>
      </c>
      <c r="BH221" s="17" t="str">
        <f t="shared" si="64"/>
        <v/>
      </c>
      <c r="BT221" s="39"/>
    </row>
    <row r="222" spans="2:72">
      <c r="B222" s="5">
        <v>46241</v>
      </c>
      <c r="C222" s="23">
        <f>IF([1]CHAMNORD!H223=0,"",[1]CHAMNORD!H223)</f>
        <v>19089.21</v>
      </c>
      <c r="D222" s="22" t="str">
        <f t="shared" si="55"/>
        <v/>
      </c>
      <c r="E222" s="23" t="str">
        <f>IF([2]CHAMNORD!H224=0,"",[2]CHAMNORD!H224)</f>
        <v/>
      </c>
      <c r="F222" s="17" t="str">
        <f t="shared" si="59"/>
        <v/>
      </c>
      <c r="R222" s="39"/>
      <c r="T222" s="5">
        <v>46241</v>
      </c>
      <c r="U222" s="23">
        <f>IF([1]CHAMNORD!I223=0,"",[1]CHAMNORD!I223)</f>
        <v>18761.45</v>
      </c>
      <c r="V222" s="22" t="str">
        <f t="shared" si="56"/>
        <v/>
      </c>
      <c r="W222" s="23" t="str">
        <f>IF([2]CHAMNORD!I224=0,"",[2]CHAMNORD!I224)</f>
        <v/>
      </c>
      <c r="X222" s="17" t="str">
        <f t="shared" si="60"/>
        <v/>
      </c>
      <c r="AJ222" s="39"/>
      <c r="AL222" s="5">
        <v>46241</v>
      </c>
      <c r="AM222" s="23">
        <f>IF([1]CHAMNORD!J223=0,"",[1]CHAMNORD!J223)</f>
        <v>1034</v>
      </c>
      <c r="AN222" s="22" t="str">
        <f t="shared" si="57"/>
        <v/>
      </c>
      <c r="AO222" s="23" t="str">
        <f>IF([2]CHAMNORD!J224=0,"",[2]CHAMNORD!J224)</f>
        <v/>
      </c>
      <c r="AP222" s="17" t="str">
        <f t="shared" si="61"/>
        <v/>
      </c>
      <c r="BB222" s="39"/>
      <c r="BD222" s="5">
        <v>46241</v>
      </c>
      <c r="BE222" s="42">
        <f t="shared" si="62"/>
        <v>18.461518375241777</v>
      </c>
      <c r="BF222" s="72" t="str">
        <f t="shared" si="58"/>
        <v/>
      </c>
      <c r="BG222" s="42" t="str">
        <f t="shared" si="63"/>
        <v/>
      </c>
      <c r="BH222" s="17" t="str">
        <f t="shared" si="64"/>
        <v/>
      </c>
      <c r="BT222" s="39"/>
    </row>
    <row r="223" spans="2:72">
      <c r="B223" s="5">
        <v>46242</v>
      </c>
      <c r="C223" s="23">
        <f>IF([1]CHAMNORD!H224=0,"",[1]CHAMNORD!H224)</f>
        <v>22151.7</v>
      </c>
      <c r="D223" s="22" t="str">
        <f t="shared" si="55"/>
        <v/>
      </c>
      <c r="E223" s="23" t="str">
        <f>IF([2]CHAMNORD!H225=0,"",[2]CHAMNORD!H225)</f>
        <v/>
      </c>
      <c r="F223" s="17" t="str">
        <f t="shared" si="59"/>
        <v/>
      </c>
      <c r="R223" s="39"/>
      <c r="T223" s="5">
        <v>46242</v>
      </c>
      <c r="U223" s="23">
        <f>IF([1]CHAMNORD!I224=0,"",[1]CHAMNORD!I224)</f>
        <v>21847.67</v>
      </c>
      <c r="V223" s="22" t="str">
        <f t="shared" si="56"/>
        <v/>
      </c>
      <c r="W223" s="23" t="str">
        <f>IF([2]CHAMNORD!I225=0,"",[2]CHAMNORD!I225)</f>
        <v/>
      </c>
      <c r="X223" s="17" t="str">
        <f t="shared" si="60"/>
        <v/>
      </c>
      <c r="AJ223" s="39"/>
      <c r="AL223" s="5">
        <v>46242</v>
      </c>
      <c r="AM223" s="23">
        <f>IF([1]CHAMNORD!J224=0,"",[1]CHAMNORD!J224)</f>
        <v>1145</v>
      </c>
      <c r="AN223" s="22" t="str">
        <f t="shared" si="57"/>
        <v/>
      </c>
      <c r="AO223" s="23" t="str">
        <f>IF([2]CHAMNORD!J225=0,"",[2]CHAMNORD!J225)</f>
        <v/>
      </c>
      <c r="AP223" s="17" t="str">
        <f t="shared" si="61"/>
        <v/>
      </c>
      <c r="BB223" s="39"/>
      <c r="BD223" s="5">
        <v>46242</v>
      </c>
      <c r="BE223" s="42">
        <f t="shared" si="62"/>
        <v>19.34646288209607</v>
      </c>
      <c r="BF223" s="72" t="str">
        <f t="shared" si="58"/>
        <v/>
      </c>
      <c r="BG223" s="42" t="str">
        <f t="shared" si="63"/>
        <v/>
      </c>
      <c r="BH223" s="17" t="str">
        <f t="shared" si="64"/>
        <v/>
      </c>
      <c r="BT223" s="39"/>
    </row>
    <row r="224" spans="2:72">
      <c r="B224" s="5">
        <v>46243</v>
      </c>
      <c r="C224" s="23">
        <f>IF([1]CHAMNORD!H225=0,"",[1]CHAMNORD!H225)</f>
        <v>21739.759999999998</v>
      </c>
      <c r="D224" s="22" t="str">
        <f t="shared" si="55"/>
        <v/>
      </c>
      <c r="E224" s="24" t="str">
        <f>IF([2]CHAMNORD!H226=0,"",[2]CHAMNORD!H226)</f>
        <v/>
      </c>
      <c r="F224" s="17" t="str">
        <f t="shared" si="59"/>
        <v/>
      </c>
      <c r="R224" s="39"/>
      <c r="T224" s="5">
        <v>46243</v>
      </c>
      <c r="U224" s="23">
        <f>IF([1]CHAMNORD!I225=0,"",[1]CHAMNORD!I225)</f>
        <v>21403.91</v>
      </c>
      <c r="V224" s="22" t="str">
        <f t="shared" si="56"/>
        <v/>
      </c>
      <c r="W224" s="24" t="str">
        <f>IF([2]CHAMNORD!I226=0,"",[2]CHAMNORD!I226)</f>
        <v/>
      </c>
      <c r="X224" s="17" t="str">
        <f t="shared" si="60"/>
        <v/>
      </c>
      <c r="AJ224" s="39"/>
      <c r="AL224" s="5">
        <v>46243</v>
      </c>
      <c r="AM224" s="23">
        <f>IF([1]CHAMNORD!J225=0,"",[1]CHAMNORD!J225)</f>
        <v>1092</v>
      </c>
      <c r="AN224" s="22" t="str">
        <f t="shared" si="57"/>
        <v/>
      </c>
      <c r="AO224" s="24" t="str">
        <f>IF([2]CHAMNORD!J226=0,"",[2]CHAMNORD!J226)</f>
        <v/>
      </c>
      <c r="AP224" s="17" t="str">
        <f t="shared" si="61"/>
        <v/>
      </c>
      <c r="BB224" s="39"/>
      <c r="BD224" s="5">
        <v>46243</v>
      </c>
      <c r="BE224" s="42">
        <f t="shared" si="62"/>
        <v>19.908205128205125</v>
      </c>
      <c r="BF224" s="72" t="str">
        <f t="shared" si="58"/>
        <v/>
      </c>
      <c r="BG224" s="43" t="str">
        <f t="shared" si="63"/>
        <v/>
      </c>
      <c r="BH224" s="17" t="str">
        <f t="shared" si="64"/>
        <v/>
      </c>
      <c r="BT224" s="39"/>
    </row>
    <row r="225" spans="2:72">
      <c r="B225" s="5">
        <v>46244</v>
      </c>
      <c r="C225" s="24">
        <f>IF([1]CHAMNORD!H226=0,"",[1]CHAMNORD!H226)</f>
        <v>23695.55</v>
      </c>
      <c r="D225" s="22" t="str">
        <f t="shared" si="55"/>
        <v/>
      </c>
      <c r="E225" s="21" t="str">
        <f>IF([2]CHAMNORD!H227=0,"",[2]CHAMNORD!H227)</f>
        <v/>
      </c>
      <c r="F225" s="17" t="str">
        <f t="shared" si="59"/>
        <v/>
      </c>
      <c r="R225" s="39"/>
      <c r="T225" s="5">
        <v>46244</v>
      </c>
      <c r="U225" s="24">
        <f>IF([1]CHAMNORD!I226=0,"",[1]CHAMNORD!I226)</f>
        <v>23287.62</v>
      </c>
      <c r="V225" s="22" t="str">
        <f t="shared" si="56"/>
        <v/>
      </c>
      <c r="W225" s="21" t="str">
        <f>IF([2]CHAMNORD!I227=0,"",[2]CHAMNORD!I227)</f>
        <v/>
      </c>
      <c r="X225" s="17" t="str">
        <f t="shared" si="60"/>
        <v/>
      </c>
      <c r="AJ225" s="39"/>
      <c r="AL225" s="5">
        <v>46244</v>
      </c>
      <c r="AM225" s="24">
        <f>IF([1]CHAMNORD!J226=0,"",[1]CHAMNORD!J226)</f>
        <v>1122</v>
      </c>
      <c r="AN225" s="22" t="str">
        <f t="shared" si="57"/>
        <v/>
      </c>
      <c r="AO225" s="21" t="str">
        <f>IF([2]CHAMNORD!J227=0,"",[2]CHAMNORD!J227)</f>
        <v/>
      </c>
      <c r="AP225" s="17" t="str">
        <f t="shared" si="61"/>
        <v/>
      </c>
      <c r="BB225" s="39"/>
      <c r="BD225" s="5">
        <v>46244</v>
      </c>
      <c r="BE225" s="43">
        <f t="shared" si="62"/>
        <v>21.119028520499107</v>
      </c>
      <c r="BF225" s="72" t="str">
        <f t="shared" si="58"/>
        <v/>
      </c>
      <c r="BG225" s="41" t="str">
        <f t="shared" si="63"/>
        <v/>
      </c>
      <c r="BH225" s="17" t="str">
        <f t="shared" si="64"/>
        <v/>
      </c>
      <c r="BT225" s="39"/>
    </row>
    <row r="226" spans="2:72">
      <c r="B226" s="5">
        <v>46245</v>
      </c>
      <c r="C226" s="21">
        <f>IF([1]CHAMNORD!H227=0,"",[1]CHAMNORD!H227)</f>
        <v>18361.39</v>
      </c>
      <c r="D226" s="22" t="str">
        <f t="shared" si="55"/>
        <v/>
      </c>
      <c r="E226" s="23" t="str">
        <f>IF([2]CHAMNORD!H228=0,"",[2]CHAMNORD!H228)</f>
        <v/>
      </c>
      <c r="F226" s="17" t="str">
        <f t="shared" si="59"/>
        <v/>
      </c>
      <c r="R226" s="39"/>
      <c r="T226" s="5">
        <v>46245</v>
      </c>
      <c r="U226" s="21">
        <f>IF([1]CHAMNORD!I227=0,"",[1]CHAMNORD!I227)</f>
        <v>18089.88</v>
      </c>
      <c r="V226" s="22" t="str">
        <f t="shared" si="56"/>
        <v/>
      </c>
      <c r="W226" s="23" t="str">
        <f>IF([2]CHAMNORD!I228=0,"",[2]CHAMNORD!I228)</f>
        <v/>
      </c>
      <c r="X226" s="17" t="str">
        <f t="shared" si="60"/>
        <v/>
      </c>
      <c r="AJ226" s="39"/>
      <c r="AL226" s="5">
        <v>46245</v>
      </c>
      <c r="AM226" s="21">
        <f>IF([1]CHAMNORD!J227=0,"",[1]CHAMNORD!J227)</f>
        <v>964</v>
      </c>
      <c r="AN226" s="22" t="str">
        <f t="shared" si="57"/>
        <v/>
      </c>
      <c r="AO226" s="23" t="str">
        <f>IF([2]CHAMNORD!J228=0,"",[2]CHAMNORD!J228)</f>
        <v/>
      </c>
      <c r="AP226" s="17" t="str">
        <f t="shared" si="61"/>
        <v/>
      </c>
      <c r="BB226" s="39"/>
      <c r="BD226" s="5">
        <v>46245</v>
      </c>
      <c r="BE226" s="41">
        <f t="shared" si="62"/>
        <v>19.047085062240662</v>
      </c>
      <c r="BF226" s="72" t="str">
        <f t="shared" si="58"/>
        <v/>
      </c>
      <c r="BG226" s="42" t="str">
        <f t="shared" si="63"/>
        <v/>
      </c>
      <c r="BH226" s="17" t="str">
        <f t="shared" si="64"/>
        <v/>
      </c>
      <c r="BT226" s="39"/>
    </row>
    <row r="227" spans="2:72">
      <c r="B227" s="5">
        <v>46246</v>
      </c>
      <c r="C227" s="23">
        <f>IF([1]CHAMNORD!H228=0,"",[1]CHAMNORD!H228)</f>
        <v>16853.580000000002</v>
      </c>
      <c r="D227" s="22" t="str">
        <f t="shared" si="55"/>
        <v/>
      </c>
      <c r="E227" s="23" t="str">
        <f>IF([2]CHAMNORD!H229=0,"",[2]CHAMNORD!H229)</f>
        <v/>
      </c>
      <c r="F227" s="17" t="str">
        <f t="shared" si="59"/>
        <v/>
      </c>
      <c r="R227" s="39"/>
      <c r="T227" s="5">
        <v>46246</v>
      </c>
      <c r="U227" s="23">
        <f>IF([1]CHAMNORD!I228=0,"",[1]CHAMNORD!I228)</f>
        <v>16558.27</v>
      </c>
      <c r="V227" s="22" t="str">
        <f t="shared" si="56"/>
        <v/>
      </c>
      <c r="W227" s="23" t="str">
        <f>IF([2]CHAMNORD!I229=0,"",[2]CHAMNORD!I229)</f>
        <v/>
      </c>
      <c r="X227" s="17" t="str">
        <f t="shared" si="60"/>
        <v/>
      </c>
      <c r="AJ227" s="39"/>
      <c r="AL227" s="5">
        <v>46246</v>
      </c>
      <c r="AM227" s="23">
        <f>IF([1]CHAMNORD!J228=0,"",[1]CHAMNORD!J228)</f>
        <v>922</v>
      </c>
      <c r="AN227" s="22" t="str">
        <f t="shared" si="57"/>
        <v/>
      </c>
      <c r="AO227" s="23" t="str">
        <f>IF([2]CHAMNORD!J229=0,"",[2]CHAMNORD!J229)</f>
        <v/>
      </c>
      <c r="AP227" s="17" t="str">
        <f t="shared" si="61"/>
        <v/>
      </c>
      <c r="BB227" s="39"/>
      <c r="BD227" s="5">
        <v>46246</v>
      </c>
      <c r="BE227" s="42">
        <f t="shared" si="62"/>
        <v>18.279370932754883</v>
      </c>
      <c r="BF227" s="72" t="str">
        <f t="shared" si="58"/>
        <v/>
      </c>
      <c r="BG227" s="42" t="str">
        <f t="shared" si="63"/>
        <v/>
      </c>
      <c r="BH227" s="17" t="str">
        <f t="shared" si="64"/>
        <v/>
      </c>
      <c r="BT227" s="39"/>
    </row>
    <row r="228" spans="2:72">
      <c r="B228" s="5">
        <v>46247</v>
      </c>
      <c r="C228" s="23">
        <f>IF([1]CHAMNORD!H229=0,"",[1]CHAMNORD!H229)</f>
        <v>19255.66</v>
      </c>
      <c r="D228" s="22" t="str">
        <f t="shared" si="55"/>
        <v/>
      </c>
      <c r="E228" s="23" t="str">
        <f>IF([2]CHAMNORD!H230=0,"",[2]CHAMNORD!H230)</f>
        <v/>
      </c>
      <c r="F228" s="17" t="str">
        <f t="shared" si="59"/>
        <v/>
      </c>
      <c r="R228" s="39"/>
      <c r="T228" s="5">
        <v>46247</v>
      </c>
      <c r="U228" s="23">
        <f>IF([1]CHAMNORD!I229=0,"",[1]CHAMNORD!I229)</f>
        <v>18960.16</v>
      </c>
      <c r="V228" s="22" t="str">
        <f t="shared" si="56"/>
        <v/>
      </c>
      <c r="W228" s="23" t="str">
        <f>IF([2]CHAMNORD!I230=0,"",[2]CHAMNORD!I230)</f>
        <v/>
      </c>
      <c r="X228" s="17" t="str">
        <f t="shared" si="60"/>
        <v/>
      </c>
      <c r="AJ228" s="39"/>
      <c r="AL228" s="5">
        <v>46247</v>
      </c>
      <c r="AM228" s="23">
        <f>IF([1]CHAMNORD!J229=0,"",[1]CHAMNORD!J229)</f>
        <v>1048</v>
      </c>
      <c r="AN228" s="22" t="str">
        <f t="shared" si="57"/>
        <v/>
      </c>
      <c r="AO228" s="23" t="str">
        <f>IF([2]CHAMNORD!J230=0,"",[2]CHAMNORD!J230)</f>
        <v/>
      </c>
      <c r="AP228" s="17" t="str">
        <f t="shared" si="61"/>
        <v/>
      </c>
      <c r="BB228" s="39"/>
      <c r="BD228" s="5">
        <v>46247</v>
      </c>
      <c r="BE228" s="42">
        <f t="shared" si="62"/>
        <v>18.3737213740458</v>
      </c>
      <c r="BF228" s="72" t="str">
        <f t="shared" si="58"/>
        <v/>
      </c>
      <c r="BG228" s="42" t="str">
        <f t="shared" si="63"/>
        <v/>
      </c>
      <c r="BH228" s="17" t="str">
        <f t="shared" si="64"/>
        <v/>
      </c>
      <c r="BT228" s="39"/>
    </row>
    <row r="229" spans="2:72">
      <c r="B229" s="5">
        <v>46248</v>
      </c>
      <c r="C229" s="23">
        <f>IF([1]CHAMNORD!H230=0,"",[1]CHAMNORD!H230)</f>
        <v>22346.91</v>
      </c>
      <c r="D229" s="22" t="str">
        <f t="shared" si="55"/>
        <v/>
      </c>
      <c r="E229" s="23" t="str">
        <f>IF([2]CHAMNORD!H231=0,"",[2]CHAMNORD!H231)</f>
        <v/>
      </c>
      <c r="F229" s="17" t="str">
        <f t="shared" si="59"/>
        <v/>
      </c>
      <c r="R229" s="39"/>
      <c r="T229" s="5">
        <v>46248</v>
      </c>
      <c r="U229" s="23">
        <f>IF([1]CHAMNORD!I230=0,"",[1]CHAMNORD!I230)</f>
        <v>22002.36</v>
      </c>
      <c r="V229" s="22" t="str">
        <f t="shared" si="56"/>
        <v/>
      </c>
      <c r="W229" s="23" t="str">
        <f>IF([2]CHAMNORD!I231=0,"",[2]CHAMNORD!I231)</f>
        <v/>
      </c>
      <c r="X229" s="17" t="str">
        <f t="shared" si="60"/>
        <v/>
      </c>
      <c r="AJ229" s="39"/>
      <c r="AL229" s="5">
        <v>46248</v>
      </c>
      <c r="AM229" s="23">
        <f>IF([1]CHAMNORD!J230=0,"",[1]CHAMNORD!J230)</f>
        <v>1181</v>
      </c>
      <c r="AN229" s="22" t="str">
        <f t="shared" si="57"/>
        <v/>
      </c>
      <c r="AO229" s="23" t="str">
        <f>IF([2]CHAMNORD!J231=0,"",[2]CHAMNORD!J231)</f>
        <v/>
      </c>
      <c r="AP229" s="17" t="str">
        <f t="shared" si="61"/>
        <v/>
      </c>
      <c r="BB229" s="39"/>
      <c r="BD229" s="5">
        <v>46248</v>
      </c>
      <c r="BE229" s="42">
        <f t="shared" si="62"/>
        <v>18.922023708721422</v>
      </c>
      <c r="BF229" s="72" t="str">
        <f t="shared" si="58"/>
        <v/>
      </c>
      <c r="BG229" s="42" t="str">
        <f t="shared" si="63"/>
        <v/>
      </c>
      <c r="BH229" s="17" t="str">
        <f t="shared" si="64"/>
        <v/>
      </c>
      <c r="BT229" s="39"/>
    </row>
    <row r="230" spans="2:72">
      <c r="B230" s="5">
        <v>46249</v>
      </c>
      <c r="C230" s="23">
        <f>IF([1]CHAMNORD!H231=0,"",[1]CHAMNORD!H231)</f>
        <v>23856.29</v>
      </c>
      <c r="D230" s="22" t="str">
        <f t="shared" si="55"/>
        <v/>
      </c>
      <c r="E230" s="23" t="str">
        <f>IF([2]CHAMNORD!H232=0,"",[2]CHAMNORD!H232)</f>
        <v/>
      </c>
      <c r="F230" s="17" t="str">
        <f t="shared" si="59"/>
        <v/>
      </c>
      <c r="R230" s="39"/>
      <c r="T230" s="5">
        <v>46249</v>
      </c>
      <c r="U230" s="23">
        <f>IF([1]CHAMNORD!I231=0,"",[1]CHAMNORD!I231)</f>
        <v>23470.5</v>
      </c>
      <c r="V230" s="22" t="str">
        <f t="shared" si="56"/>
        <v/>
      </c>
      <c r="W230" s="23" t="str">
        <f>IF([2]CHAMNORD!I232=0,"",[2]CHAMNORD!I232)</f>
        <v/>
      </c>
      <c r="X230" s="17" t="str">
        <f t="shared" si="60"/>
        <v/>
      </c>
      <c r="AJ230" s="39"/>
      <c r="AL230" s="5">
        <v>46249</v>
      </c>
      <c r="AM230" s="23">
        <f>IF([1]CHAMNORD!J231=0,"",[1]CHAMNORD!J231)</f>
        <v>1196</v>
      </c>
      <c r="AN230" s="22" t="str">
        <f t="shared" si="57"/>
        <v/>
      </c>
      <c r="AO230" s="23" t="str">
        <f>IF([2]CHAMNORD!J232=0,"",[2]CHAMNORD!J232)</f>
        <v/>
      </c>
      <c r="AP230" s="17" t="str">
        <f t="shared" si="61"/>
        <v/>
      </c>
      <c r="BB230" s="39"/>
      <c r="BD230" s="5">
        <v>46249</v>
      </c>
      <c r="BE230" s="42">
        <f t="shared" si="62"/>
        <v>19.946730769230768</v>
      </c>
      <c r="BF230" s="72" t="str">
        <f t="shared" si="58"/>
        <v/>
      </c>
      <c r="BG230" s="42" t="str">
        <f t="shared" si="63"/>
        <v/>
      </c>
      <c r="BH230" s="17" t="str">
        <f t="shared" si="64"/>
        <v/>
      </c>
      <c r="BT230" s="39"/>
    </row>
    <row r="231" spans="2:72">
      <c r="B231" s="5">
        <v>46250</v>
      </c>
      <c r="C231" s="23">
        <f>IF([1]CHAMNORD!H232=0,"",[1]CHAMNORD!H232)</f>
        <v>23859.47</v>
      </c>
      <c r="D231" s="22" t="str">
        <f t="shared" si="55"/>
        <v/>
      </c>
      <c r="E231" s="24" t="str">
        <f>IF([2]CHAMNORD!H233=0,"",[2]CHAMNORD!H233)</f>
        <v/>
      </c>
      <c r="F231" s="17" t="str">
        <f t="shared" si="59"/>
        <v/>
      </c>
      <c r="R231" s="39"/>
      <c r="T231" s="5">
        <v>46250</v>
      </c>
      <c r="U231" s="23">
        <f>IF([1]CHAMNORD!I232=0,"",[1]CHAMNORD!I232)</f>
        <v>23482.44</v>
      </c>
      <c r="V231" s="22" t="str">
        <f t="shared" si="56"/>
        <v/>
      </c>
      <c r="W231" s="24" t="str">
        <f>IF([2]CHAMNORD!I233=0,"",[2]CHAMNORD!I233)</f>
        <v/>
      </c>
      <c r="X231" s="17" t="str">
        <f t="shared" si="60"/>
        <v/>
      </c>
      <c r="AJ231" s="39"/>
      <c r="AL231" s="5">
        <v>46250</v>
      </c>
      <c r="AM231" s="23">
        <f>IF([1]CHAMNORD!J232=0,"",[1]CHAMNORD!J232)</f>
        <v>1169</v>
      </c>
      <c r="AN231" s="22" t="str">
        <f t="shared" si="57"/>
        <v/>
      </c>
      <c r="AO231" s="24" t="str">
        <f>IF([2]CHAMNORD!J233=0,"",[2]CHAMNORD!J233)</f>
        <v/>
      </c>
      <c r="AP231" s="17" t="str">
        <f t="shared" si="61"/>
        <v/>
      </c>
      <c r="BB231" s="39"/>
      <c r="BD231" s="5">
        <v>46250</v>
      </c>
      <c r="BE231" s="42">
        <f t="shared" si="62"/>
        <v>20.410153977758767</v>
      </c>
      <c r="BF231" s="72" t="str">
        <f t="shared" si="58"/>
        <v/>
      </c>
      <c r="BG231" s="43" t="str">
        <f t="shared" si="63"/>
        <v/>
      </c>
      <c r="BH231" s="17" t="str">
        <f t="shared" si="64"/>
        <v/>
      </c>
      <c r="BT231" s="39"/>
    </row>
    <row r="232" spans="2:72">
      <c r="B232" s="5">
        <v>46251</v>
      </c>
      <c r="C232" s="24">
        <f>IF([1]CHAMNORD!H233=0,"",[1]CHAMNORD!H233)</f>
        <v>23442.76</v>
      </c>
      <c r="D232" s="22" t="str">
        <f t="shared" si="55"/>
        <v/>
      </c>
      <c r="E232" s="21" t="str">
        <f>IF([2]CHAMNORD!H234=0,"",[2]CHAMNORD!H234)</f>
        <v/>
      </c>
      <c r="F232" s="17" t="str">
        <f t="shared" si="59"/>
        <v/>
      </c>
      <c r="R232" s="39"/>
      <c r="T232" s="5">
        <v>46251</v>
      </c>
      <c r="U232" s="24">
        <f>IF([1]CHAMNORD!I233=0,"",[1]CHAMNORD!I233)</f>
        <v>23041.96</v>
      </c>
      <c r="V232" s="22" t="str">
        <f t="shared" si="56"/>
        <v/>
      </c>
      <c r="W232" s="21" t="str">
        <f>IF([2]CHAMNORD!I234=0,"",[2]CHAMNORD!I234)</f>
        <v/>
      </c>
      <c r="X232" s="17" t="str">
        <f t="shared" si="60"/>
        <v/>
      </c>
      <c r="AJ232" s="39"/>
      <c r="AL232" s="5">
        <v>46251</v>
      </c>
      <c r="AM232" s="24">
        <f>IF([1]CHAMNORD!J233=0,"",[1]CHAMNORD!J233)</f>
        <v>1118</v>
      </c>
      <c r="AN232" s="22" t="str">
        <f t="shared" si="57"/>
        <v/>
      </c>
      <c r="AO232" s="21" t="str">
        <f>IF([2]CHAMNORD!J234=0,"",[2]CHAMNORD!J234)</f>
        <v/>
      </c>
      <c r="AP232" s="17" t="str">
        <f t="shared" si="61"/>
        <v/>
      </c>
      <c r="BB232" s="39"/>
      <c r="BD232" s="5">
        <v>46251</v>
      </c>
      <c r="BE232" s="43">
        <f t="shared" si="62"/>
        <v>20.968479427549195</v>
      </c>
      <c r="BF232" s="72" t="str">
        <f t="shared" si="58"/>
        <v/>
      </c>
      <c r="BG232" s="41" t="str">
        <f t="shared" si="63"/>
        <v/>
      </c>
      <c r="BH232" s="17" t="str">
        <f t="shared" si="64"/>
        <v/>
      </c>
      <c r="BT232" s="39"/>
    </row>
    <row r="233" spans="2:72">
      <c r="B233" s="5">
        <v>46252</v>
      </c>
      <c r="C233" s="21">
        <f>IF([1]CHAMNORD!H234=0,"",[1]CHAMNORD!H234)</f>
        <v>18937.330000000002</v>
      </c>
      <c r="D233" s="22" t="str">
        <f t="shared" si="55"/>
        <v/>
      </c>
      <c r="E233" s="23" t="str">
        <f>IF([2]CHAMNORD!H235=0,"",[2]CHAMNORD!H235)</f>
        <v/>
      </c>
      <c r="F233" s="17" t="str">
        <f t="shared" si="59"/>
        <v/>
      </c>
      <c r="R233" s="39"/>
      <c r="T233" s="5">
        <v>46252</v>
      </c>
      <c r="U233" s="21">
        <f>IF([1]CHAMNORD!I234=0,"",[1]CHAMNORD!I234)</f>
        <v>18666.080000000002</v>
      </c>
      <c r="V233" s="22" t="str">
        <f t="shared" si="56"/>
        <v/>
      </c>
      <c r="W233" s="23" t="str">
        <f>IF([2]CHAMNORD!I235=0,"",[2]CHAMNORD!I235)</f>
        <v/>
      </c>
      <c r="X233" s="17" t="str">
        <f t="shared" si="60"/>
        <v/>
      </c>
      <c r="AJ233" s="39"/>
      <c r="AL233" s="5">
        <v>46252</v>
      </c>
      <c r="AM233" s="21">
        <f>IF([1]CHAMNORD!J234=0,"",[1]CHAMNORD!J234)</f>
        <v>1039</v>
      </c>
      <c r="AN233" s="22" t="str">
        <f t="shared" si="57"/>
        <v/>
      </c>
      <c r="AO233" s="23" t="str">
        <f>IF([2]CHAMNORD!J235=0,"",[2]CHAMNORD!J235)</f>
        <v/>
      </c>
      <c r="AP233" s="17" t="str">
        <f t="shared" si="61"/>
        <v/>
      </c>
      <c r="BB233" s="39"/>
      <c r="BD233" s="5">
        <v>46252</v>
      </c>
      <c r="BE233" s="41">
        <f t="shared" si="62"/>
        <v>18.226496631376325</v>
      </c>
      <c r="BF233" s="72" t="str">
        <f t="shared" si="58"/>
        <v/>
      </c>
      <c r="BG233" s="42" t="str">
        <f t="shared" si="63"/>
        <v/>
      </c>
      <c r="BH233" s="17" t="str">
        <f t="shared" si="64"/>
        <v/>
      </c>
      <c r="BT233" s="39"/>
    </row>
    <row r="234" spans="2:72">
      <c r="B234" s="5">
        <v>46253</v>
      </c>
      <c r="C234" s="23">
        <f>IF([1]CHAMNORD!H235=0,"",[1]CHAMNORD!H235)</f>
        <v>17734.599999999999</v>
      </c>
      <c r="D234" s="22" t="str">
        <f t="shared" si="55"/>
        <v/>
      </c>
      <c r="E234" s="23" t="str">
        <f>IF([2]CHAMNORD!H236=0,"",[2]CHAMNORD!H236)</f>
        <v/>
      </c>
      <c r="F234" s="17" t="str">
        <f t="shared" si="59"/>
        <v/>
      </c>
      <c r="R234" s="39"/>
      <c r="T234" s="5">
        <v>46253</v>
      </c>
      <c r="U234" s="23">
        <f>IF([1]CHAMNORD!I235=0,"",[1]CHAMNORD!I235)</f>
        <v>17447.990000000002</v>
      </c>
      <c r="V234" s="22" t="str">
        <f t="shared" si="56"/>
        <v/>
      </c>
      <c r="W234" s="23" t="str">
        <f>IF([2]CHAMNORD!I236=0,"",[2]CHAMNORD!I236)</f>
        <v/>
      </c>
      <c r="X234" s="17" t="str">
        <f t="shared" si="60"/>
        <v/>
      </c>
      <c r="AJ234" s="39"/>
      <c r="AL234" s="5">
        <v>46253</v>
      </c>
      <c r="AM234" s="23">
        <f>IF([1]CHAMNORD!J235=0,"",[1]CHAMNORD!J235)</f>
        <v>996</v>
      </c>
      <c r="AN234" s="22" t="str">
        <f t="shared" si="57"/>
        <v/>
      </c>
      <c r="AO234" s="23" t="str">
        <f>IF([2]CHAMNORD!J236=0,"",[2]CHAMNORD!J236)</f>
        <v/>
      </c>
      <c r="AP234" s="17" t="str">
        <f t="shared" si="61"/>
        <v/>
      </c>
      <c r="BB234" s="39"/>
      <c r="BD234" s="5">
        <v>46253</v>
      </c>
      <c r="BE234" s="42">
        <f t="shared" si="62"/>
        <v>17.80582329317269</v>
      </c>
      <c r="BF234" s="72" t="str">
        <f t="shared" si="58"/>
        <v/>
      </c>
      <c r="BG234" s="42" t="str">
        <f t="shared" si="63"/>
        <v/>
      </c>
      <c r="BH234" s="17" t="str">
        <f t="shared" si="64"/>
        <v/>
      </c>
      <c r="BT234" s="39"/>
    </row>
    <row r="235" spans="2:72">
      <c r="B235" s="5">
        <v>46254</v>
      </c>
      <c r="C235" s="23">
        <f>IF([1]CHAMNORD!H236=0,"",[1]CHAMNORD!H236)</f>
        <v>21251.5</v>
      </c>
      <c r="D235" s="22" t="str">
        <f t="shared" ref="D235:D298" si="65">IF(E234="","",C235)</f>
        <v/>
      </c>
      <c r="E235" s="23" t="str">
        <f>IF([2]CHAMNORD!H237=0,"",[2]CHAMNORD!H237)</f>
        <v/>
      </c>
      <c r="F235" s="17" t="str">
        <f t="shared" si="59"/>
        <v/>
      </c>
      <c r="R235" s="39"/>
      <c r="T235" s="5">
        <v>46254</v>
      </c>
      <c r="U235" s="23">
        <f>IF([1]CHAMNORD!I236=0,"",[1]CHAMNORD!I236)</f>
        <v>20919.63</v>
      </c>
      <c r="V235" s="22" t="str">
        <f t="shared" ref="V235:V298" si="66">IF(W234="","",U235)</f>
        <v/>
      </c>
      <c r="W235" s="23" t="str">
        <f>IF([2]CHAMNORD!I237=0,"",[2]CHAMNORD!I237)</f>
        <v/>
      </c>
      <c r="X235" s="17" t="str">
        <f t="shared" si="60"/>
        <v/>
      </c>
      <c r="AJ235" s="39"/>
      <c r="AL235" s="5">
        <v>46254</v>
      </c>
      <c r="AM235" s="23">
        <f>IF([1]CHAMNORD!J236=0,"",[1]CHAMNORD!J236)</f>
        <v>1113</v>
      </c>
      <c r="AN235" s="22" t="str">
        <f t="shared" ref="AN235:AN298" si="67">IF(AO234="","",AM235)</f>
        <v/>
      </c>
      <c r="AO235" s="23" t="str">
        <f>IF([2]CHAMNORD!J237=0,"",[2]CHAMNORD!J237)</f>
        <v/>
      </c>
      <c r="AP235" s="17" t="str">
        <f t="shared" si="61"/>
        <v/>
      </c>
      <c r="BB235" s="39"/>
      <c r="BD235" s="5">
        <v>46254</v>
      </c>
      <c r="BE235" s="42">
        <f t="shared" si="62"/>
        <v>19.093890386343215</v>
      </c>
      <c r="BF235" s="72" t="str">
        <f t="shared" ref="BF235:BF298" si="68">IF(BG234="","",BE235)</f>
        <v/>
      </c>
      <c r="BG235" s="42" t="str">
        <f t="shared" si="63"/>
        <v/>
      </c>
      <c r="BH235" s="17" t="str">
        <f t="shared" si="64"/>
        <v/>
      </c>
      <c r="BT235" s="39"/>
    </row>
    <row r="236" spans="2:72">
      <c r="B236" s="5">
        <v>46255</v>
      </c>
      <c r="C236" s="23">
        <f>IF([1]CHAMNORD!H237=0,"",[1]CHAMNORD!H237)</f>
        <v>21441.67</v>
      </c>
      <c r="D236" s="22" t="str">
        <f t="shared" si="65"/>
        <v/>
      </c>
      <c r="E236" s="23" t="str">
        <f>IF([2]CHAMNORD!H238=0,"",[2]CHAMNORD!H238)</f>
        <v/>
      </c>
      <c r="F236" s="17" t="str">
        <f t="shared" si="59"/>
        <v/>
      </c>
      <c r="R236" s="39"/>
      <c r="T236" s="5">
        <v>46255</v>
      </c>
      <c r="U236" s="23">
        <f>IF([1]CHAMNORD!I237=0,"",[1]CHAMNORD!I237)</f>
        <v>21148.79</v>
      </c>
      <c r="V236" s="22" t="str">
        <f t="shared" si="66"/>
        <v/>
      </c>
      <c r="W236" s="23" t="str">
        <f>IF([2]CHAMNORD!I238=0,"",[2]CHAMNORD!I238)</f>
        <v/>
      </c>
      <c r="X236" s="17" t="str">
        <f t="shared" si="60"/>
        <v/>
      </c>
      <c r="AJ236" s="39"/>
      <c r="AL236" s="5">
        <v>46255</v>
      </c>
      <c r="AM236" s="23">
        <f>IF([1]CHAMNORD!J237=0,"",[1]CHAMNORD!J237)</f>
        <v>1100</v>
      </c>
      <c r="AN236" s="22" t="str">
        <f t="shared" si="67"/>
        <v/>
      </c>
      <c r="AO236" s="23" t="str">
        <f>IF([2]CHAMNORD!J238=0,"",[2]CHAMNORD!J238)</f>
        <v/>
      </c>
      <c r="AP236" s="17" t="str">
        <f t="shared" si="61"/>
        <v/>
      </c>
      <c r="BB236" s="39"/>
      <c r="BD236" s="5">
        <v>46255</v>
      </c>
      <c r="BE236" s="42">
        <f t="shared" si="62"/>
        <v>19.492427272727269</v>
      </c>
      <c r="BF236" s="72" t="str">
        <f t="shared" si="68"/>
        <v/>
      </c>
      <c r="BG236" s="42" t="str">
        <f t="shared" si="63"/>
        <v/>
      </c>
      <c r="BH236" s="17" t="str">
        <f t="shared" si="64"/>
        <v/>
      </c>
      <c r="BT236" s="39"/>
    </row>
    <row r="237" spans="2:72">
      <c r="B237" s="5">
        <v>46256</v>
      </c>
      <c r="C237" s="23">
        <f>IF([1]CHAMNORD!H238=0,"",[1]CHAMNORD!H238)</f>
        <v>23052.25</v>
      </c>
      <c r="D237" s="22" t="str">
        <f t="shared" si="65"/>
        <v/>
      </c>
      <c r="E237" s="23" t="str">
        <f>IF([2]CHAMNORD!H239=0,"",[2]CHAMNORD!H239)</f>
        <v/>
      </c>
      <c r="F237" s="17" t="str">
        <f t="shared" si="59"/>
        <v/>
      </c>
      <c r="R237" s="39"/>
      <c r="T237" s="5">
        <v>46256</v>
      </c>
      <c r="U237" s="23">
        <f>IF([1]CHAMNORD!I238=0,"",[1]CHAMNORD!I238)</f>
        <v>22730.06</v>
      </c>
      <c r="V237" s="22" t="str">
        <f t="shared" si="66"/>
        <v/>
      </c>
      <c r="W237" s="23" t="str">
        <f>IF([2]CHAMNORD!I239=0,"",[2]CHAMNORD!I239)</f>
        <v/>
      </c>
      <c r="X237" s="17" t="str">
        <f t="shared" si="60"/>
        <v/>
      </c>
      <c r="AJ237" s="39"/>
      <c r="AL237" s="5">
        <v>46256</v>
      </c>
      <c r="AM237" s="23">
        <f>IF([1]CHAMNORD!J238=0,"",[1]CHAMNORD!J238)</f>
        <v>1255</v>
      </c>
      <c r="AN237" s="22" t="str">
        <f t="shared" si="67"/>
        <v/>
      </c>
      <c r="AO237" s="23" t="str">
        <f>IF([2]CHAMNORD!J239=0,"",[2]CHAMNORD!J239)</f>
        <v/>
      </c>
      <c r="AP237" s="17" t="str">
        <f t="shared" si="61"/>
        <v/>
      </c>
      <c r="BB237" s="39"/>
      <c r="BD237" s="5">
        <v>46256</v>
      </c>
      <c r="BE237" s="42">
        <f t="shared" si="62"/>
        <v>18.368326693227093</v>
      </c>
      <c r="BF237" s="72" t="str">
        <f t="shared" si="68"/>
        <v/>
      </c>
      <c r="BG237" s="42" t="str">
        <f t="shared" si="63"/>
        <v/>
      </c>
      <c r="BH237" s="17" t="str">
        <f t="shared" si="64"/>
        <v/>
      </c>
      <c r="BT237" s="39"/>
    </row>
    <row r="238" spans="2:72">
      <c r="B238" s="5">
        <v>46257</v>
      </c>
      <c r="C238" s="23">
        <f>IF([1]CHAMNORD!H239=0,"",[1]CHAMNORD!H239)</f>
        <v>22738.84</v>
      </c>
      <c r="D238" s="22" t="str">
        <f t="shared" si="65"/>
        <v/>
      </c>
      <c r="E238" s="24" t="str">
        <f>IF([2]CHAMNORD!H240=0,"",[2]CHAMNORD!H240)</f>
        <v/>
      </c>
      <c r="F238" s="17" t="str">
        <f t="shared" si="59"/>
        <v/>
      </c>
      <c r="R238" s="39"/>
      <c r="T238" s="5">
        <v>46257</v>
      </c>
      <c r="U238" s="23">
        <f>IF([1]CHAMNORD!I239=0,"",[1]CHAMNORD!I239)</f>
        <v>22380.26</v>
      </c>
      <c r="V238" s="22" t="str">
        <f t="shared" si="66"/>
        <v/>
      </c>
      <c r="W238" s="24" t="str">
        <f>IF([2]CHAMNORD!I240=0,"",[2]CHAMNORD!I240)</f>
        <v/>
      </c>
      <c r="X238" s="17" t="str">
        <f t="shared" si="60"/>
        <v/>
      </c>
      <c r="AJ238" s="39"/>
      <c r="AL238" s="5">
        <v>46257</v>
      </c>
      <c r="AM238" s="23">
        <f>IF([1]CHAMNORD!J239=0,"",[1]CHAMNORD!J239)</f>
        <v>1166</v>
      </c>
      <c r="AN238" s="22" t="str">
        <f t="shared" si="67"/>
        <v/>
      </c>
      <c r="AO238" s="24" t="str">
        <f>IF([2]CHAMNORD!J240=0,"",[2]CHAMNORD!J240)</f>
        <v/>
      </c>
      <c r="AP238" s="17" t="str">
        <f t="shared" si="61"/>
        <v/>
      </c>
      <c r="BB238" s="39"/>
      <c r="BD238" s="5">
        <v>46257</v>
      </c>
      <c r="BE238" s="42">
        <f t="shared" si="62"/>
        <v>19.501578044596911</v>
      </c>
      <c r="BF238" s="72" t="str">
        <f t="shared" si="68"/>
        <v/>
      </c>
      <c r="BG238" s="43" t="str">
        <f t="shared" si="63"/>
        <v/>
      </c>
      <c r="BH238" s="17" t="str">
        <f t="shared" si="64"/>
        <v/>
      </c>
      <c r="BT238" s="39"/>
    </row>
    <row r="239" spans="2:72">
      <c r="B239" s="5">
        <v>46258</v>
      </c>
      <c r="C239" s="24">
        <f>IF([1]CHAMNORD!H240=0,"",[1]CHAMNORD!H240)</f>
        <v>22559.99</v>
      </c>
      <c r="D239" s="22" t="str">
        <f t="shared" si="65"/>
        <v/>
      </c>
      <c r="E239" s="21" t="str">
        <f>IF([2]CHAMNORD!H241=0,"",[2]CHAMNORD!H241)</f>
        <v/>
      </c>
      <c r="F239" s="17" t="str">
        <f t="shared" si="59"/>
        <v/>
      </c>
      <c r="R239" s="39"/>
      <c r="T239" s="5">
        <v>46258</v>
      </c>
      <c r="U239" s="24">
        <f>IF([1]CHAMNORD!I240=0,"",[1]CHAMNORD!I240)</f>
        <v>22309.24</v>
      </c>
      <c r="V239" s="22" t="str">
        <f t="shared" si="66"/>
        <v/>
      </c>
      <c r="W239" s="21" t="str">
        <f>IF([2]CHAMNORD!I241=0,"",[2]CHAMNORD!I241)</f>
        <v/>
      </c>
      <c r="X239" s="17" t="str">
        <f t="shared" si="60"/>
        <v/>
      </c>
      <c r="AJ239" s="39"/>
      <c r="AL239" s="5">
        <v>46258</v>
      </c>
      <c r="AM239" s="24">
        <f>IF([1]CHAMNORD!J240=0,"",[1]CHAMNORD!J240)</f>
        <v>1083</v>
      </c>
      <c r="AN239" s="22" t="str">
        <f t="shared" si="67"/>
        <v/>
      </c>
      <c r="AO239" s="21" t="str">
        <f>IF([2]CHAMNORD!J241=0,"",[2]CHAMNORD!J241)</f>
        <v/>
      </c>
      <c r="AP239" s="17" t="str">
        <f t="shared" si="61"/>
        <v/>
      </c>
      <c r="BB239" s="39"/>
      <c r="BD239" s="5">
        <v>46258</v>
      </c>
      <c r="BE239" s="43">
        <f t="shared" si="62"/>
        <v>20.831015697137584</v>
      </c>
      <c r="BF239" s="72" t="str">
        <f t="shared" si="68"/>
        <v/>
      </c>
      <c r="BG239" s="41" t="str">
        <f t="shared" si="63"/>
        <v/>
      </c>
      <c r="BH239" s="17" t="str">
        <f t="shared" si="64"/>
        <v/>
      </c>
      <c r="BT239" s="39"/>
    </row>
    <row r="240" spans="2:72">
      <c r="B240" s="5">
        <v>46259</v>
      </c>
      <c r="C240" s="21">
        <f>IF([1]CHAMNORD!H241=0,"",[1]CHAMNORD!H241)</f>
        <v>17734.77</v>
      </c>
      <c r="D240" s="22" t="str">
        <f t="shared" si="65"/>
        <v/>
      </c>
      <c r="E240" s="23" t="str">
        <f>IF([2]CHAMNORD!H242=0,"",[2]CHAMNORD!H242)</f>
        <v/>
      </c>
      <c r="F240" s="17" t="str">
        <f t="shared" si="59"/>
        <v/>
      </c>
      <c r="R240" s="39"/>
      <c r="T240" s="5">
        <v>46259</v>
      </c>
      <c r="U240" s="21">
        <f>IF([1]CHAMNORD!I241=0,"",[1]CHAMNORD!I241)</f>
        <v>17492.32</v>
      </c>
      <c r="V240" s="22" t="str">
        <f t="shared" si="66"/>
        <v/>
      </c>
      <c r="W240" s="23" t="str">
        <f>IF([2]CHAMNORD!I242=0,"",[2]CHAMNORD!I242)</f>
        <v/>
      </c>
      <c r="X240" s="17" t="str">
        <f t="shared" si="60"/>
        <v/>
      </c>
      <c r="AJ240" s="39"/>
      <c r="AL240" s="5">
        <v>46259</v>
      </c>
      <c r="AM240" s="21">
        <f>IF([1]CHAMNORD!J241=0,"",[1]CHAMNORD!J241)</f>
        <v>1011</v>
      </c>
      <c r="AN240" s="22" t="str">
        <f t="shared" si="67"/>
        <v/>
      </c>
      <c r="AO240" s="23" t="str">
        <f>IF([2]CHAMNORD!J242=0,"",[2]CHAMNORD!J242)</f>
        <v/>
      </c>
      <c r="AP240" s="17" t="str">
        <f t="shared" si="61"/>
        <v/>
      </c>
      <c r="BB240" s="39"/>
      <c r="BD240" s="5">
        <v>46259</v>
      </c>
      <c r="BE240" s="41">
        <f t="shared" si="62"/>
        <v>17.541810089020771</v>
      </c>
      <c r="BF240" s="72" t="str">
        <f t="shared" si="68"/>
        <v/>
      </c>
      <c r="BG240" s="42" t="str">
        <f t="shared" si="63"/>
        <v/>
      </c>
      <c r="BH240" s="17" t="str">
        <f t="shared" si="64"/>
        <v/>
      </c>
      <c r="BT240" s="39"/>
    </row>
    <row r="241" spans="2:72">
      <c r="B241" s="5">
        <v>46260</v>
      </c>
      <c r="C241" s="23">
        <f>IF([1]CHAMNORD!H242=0,"",[1]CHAMNORD!H242)</f>
        <v>18006.98</v>
      </c>
      <c r="D241" s="22" t="str">
        <f t="shared" si="65"/>
        <v/>
      </c>
      <c r="E241" s="23" t="str">
        <f>IF([2]CHAMNORD!H243=0,"",[2]CHAMNORD!H243)</f>
        <v/>
      </c>
      <c r="F241" s="17" t="str">
        <f t="shared" si="59"/>
        <v/>
      </c>
      <c r="R241" s="39"/>
      <c r="T241" s="5">
        <v>46260</v>
      </c>
      <c r="U241" s="23">
        <f>IF([1]CHAMNORD!I242=0,"",[1]CHAMNORD!I242)</f>
        <v>17773.95</v>
      </c>
      <c r="V241" s="22" t="str">
        <f t="shared" si="66"/>
        <v/>
      </c>
      <c r="W241" s="23" t="str">
        <f>IF([2]CHAMNORD!I243=0,"",[2]CHAMNORD!I243)</f>
        <v/>
      </c>
      <c r="X241" s="17" t="str">
        <f t="shared" si="60"/>
        <v/>
      </c>
      <c r="AJ241" s="39"/>
      <c r="AL241" s="5">
        <v>46260</v>
      </c>
      <c r="AM241" s="23">
        <f>IF([1]CHAMNORD!J242=0,"",[1]CHAMNORD!J242)</f>
        <v>1009</v>
      </c>
      <c r="AN241" s="22" t="str">
        <f t="shared" si="67"/>
        <v/>
      </c>
      <c r="AO241" s="23" t="str">
        <f>IF([2]CHAMNORD!J243=0,"",[2]CHAMNORD!J243)</f>
        <v/>
      </c>
      <c r="AP241" s="17" t="str">
        <f t="shared" si="61"/>
        <v/>
      </c>
      <c r="BB241" s="39"/>
      <c r="BD241" s="5">
        <v>46260</v>
      </c>
      <c r="BE241" s="42">
        <f t="shared" si="62"/>
        <v>17.846362735381565</v>
      </c>
      <c r="BF241" s="72" t="str">
        <f t="shared" si="68"/>
        <v/>
      </c>
      <c r="BG241" s="42" t="str">
        <f t="shared" si="63"/>
        <v/>
      </c>
      <c r="BH241" s="17" t="str">
        <f t="shared" si="64"/>
        <v/>
      </c>
      <c r="BT241" s="39"/>
    </row>
    <row r="242" spans="2:72">
      <c r="B242" s="5">
        <v>46261</v>
      </c>
      <c r="C242" s="23">
        <f>IF([1]CHAMNORD!H243=0,"",[1]CHAMNORD!H243)</f>
        <v>21359.23</v>
      </c>
      <c r="D242" s="22" t="str">
        <f t="shared" si="65"/>
        <v/>
      </c>
      <c r="E242" s="23" t="str">
        <f>IF([2]CHAMNORD!H244=0,"",[2]CHAMNORD!H244)</f>
        <v/>
      </c>
      <c r="F242" s="17" t="str">
        <f t="shared" si="59"/>
        <v/>
      </c>
      <c r="R242" s="39"/>
      <c r="T242" s="5">
        <v>46261</v>
      </c>
      <c r="U242" s="23">
        <f>IF([1]CHAMNORD!I243=0,"",[1]CHAMNORD!I243)</f>
        <v>21082.560000000001</v>
      </c>
      <c r="V242" s="22" t="str">
        <f t="shared" si="66"/>
        <v/>
      </c>
      <c r="W242" s="23" t="str">
        <f>IF([2]CHAMNORD!I244=0,"",[2]CHAMNORD!I244)</f>
        <v/>
      </c>
      <c r="X242" s="17" t="str">
        <f t="shared" si="60"/>
        <v/>
      </c>
      <c r="AJ242" s="39"/>
      <c r="AL242" s="5">
        <v>46261</v>
      </c>
      <c r="AM242" s="23">
        <f>IF([1]CHAMNORD!J243=0,"",[1]CHAMNORD!J243)</f>
        <v>1179</v>
      </c>
      <c r="AN242" s="22" t="str">
        <f t="shared" si="67"/>
        <v/>
      </c>
      <c r="AO242" s="23" t="str">
        <f>IF([2]CHAMNORD!J244=0,"",[2]CHAMNORD!J244)</f>
        <v/>
      </c>
      <c r="AP242" s="17" t="str">
        <f t="shared" si="61"/>
        <v/>
      </c>
      <c r="BB242" s="39"/>
      <c r="BD242" s="5">
        <v>46261</v>
      </c>
      <c r="BE242" s="42">
        <f t="shared" si="62"/>
        <v>18.116395250212044</v>
      </c>
      <c r="BF242" s="72" t="str">
        <f t="shared" si="68"/>
        <v/>
      </c>
      <c r="BG242" s="42" t="str">
        <f t="shared" si="63"/>
        <v/>
      </c>
      <c r="BH242" s="17" t="str">
        <f t="shared" si="64"/>
        <v/>
      </c>
      <c r="BT242" s="39"/>
    </row>
    <row r="243" spans="2:72">
      <c r="B243" s="5">
        <v>46262</v>
      </c>
      <c r="C243" s="23">
        <f>IF([1]CHAMNORD!H244=0,"",[1]CHAMNORD!H244)</f>
        <v>21443.87</v>
      </c>
      <c r="D243" s="22" t="str">
        <f t="shared" si="65"/>
        <v/>
      </c>
      <c r="E243" s="23" t="str">
        <f>IF([2]CHAMNORD!H245=0,"",[2]CHAMNORD!H245)</f>
        <v/>
      </c>
      <c r="F243" s="17" t="str">
        <f t="shared" si="59"/>
        <v/>
      </c>
      <c r="R243" s="39"/>
      <c r="T243" s="5">
        <v>46262</v>
      </c>
      <c r="U243" s="23">
        <f>IF([1]CHAMNORD!I244=0,"",[1]CHAMNORD!I244)</f>
        <v>21165.77</v>
      </c>
      <c r="V243" s="22" t="str">
        <f t="shared" si="66"/>
        <v/>
      </c>
      <c r="W243" s="23" t="str">
        <f>IF([2]CHAMNORD!I245=0,"",[2]CHAMNORD!I245)</f>
        <v/>
      </c>
      <c r="X243" s="17" t="str">
        <f t="shared" si="60"/>
        <v/>
      </c>
      <c r="AJ243" s="39"/>
      <c r="AL243" s="5">
        <v>46262</v>
      </c>
      <c r="AM243" s="23">
        <f>IF([1]CHAMNORD!J244=0,"",[1]CHAMNORD!J244)</f>
        <v>1151</v>
      </c>
      <c r="AN243" s="22" t="str">
        <f t="shared" si="67"/>
        <v/>
      </c>
      <c r="AO243" s="23" t="str">
        <f>IF([2]CHAMNORD!J245=0,"",[2]CHAMNORD!J245)</f>
        <v/>
      </c>
      <c r="AP243" s="17" t="str">
        <f t="shared" si="61"/>
        <v/>
      </c>
      <c r="BB243" s="39"/>
      <c r="BD243" s="5">
        <v>46262</v>
      </c>
      <c r="BE243" s="42">
        <f t="shared" si="62"/>
        <v>18.630642919200696</v>
      </c>
      <c r="BF243" s="72" t="str">
        <f t="shared" si="68"/>
        <v/>
      </c>
      <c r="BG243" s="42" t="str">
        <f t="shared" si="63"/>
        <v/>
      </c>
      <c r="BH243" s="17" t="str">
        <f t="shared" si="64"/>
        <v/>
      </c>
      <c r="BT243" s="39"/>
    </row>
    <row r="244" spans="2:72">
      <c r="B244" s="5">
        <v>46263</v>
      </c>
      <c r="C244" s="23">
        <f>IF([1]CHAMNORD!H245=0,"",[1]CHAMNORD!H245)</f>
        <v>25173.94</v>
      </c>
      <c r="D244" s="22" t="str">
        <f t="shared" si="65"/>
        <v/>
      </c>
      <c r="E244" s="23" t="str">
        <f>IF([2]CHAMNORD!H246=0,"",[2]CHAMNORD!H246)</f>
        <v/>
      </c>
      <c r="F244" s="17" t="str">
        <f t="shared" si="59"/>
        <v/>
      </c>
      <c r="R244" s="39"/>
      <c r="T244" s="5">
        <v>46263</v>
      </c>
      <c r="U244" s="23">
        <f>IF([1]CHAMNORD!I245=0,"",[1]CHAMNORD!I245)</f>
        <v>24847.54</v>
      </c>
      <c r="V244" s="22" t="str">
        <f t="shared" si="66"/>
        <v/>
      </c>
      <c r="W244" s="23" t="str">
        <f>IF([2]CHAMNORD!I246=0,"",[2]CHAMNORD!I246)</f>
        <v/>
      </c>
      <c r="X244" s="17" t="str">
        <f t="shared" si="60"/>
        <v/>
      </c>
      <c r="AJ244" s="39"/>
      <c r="AL244" s="5">
        <v>46263</v>
      </c>
      <c r="AM244" s="23">
        <f>IF([1]CHAMNORD!J245=0,"",[1]CHAMNORD!J245)</f>
        <v>1307</v>
      </c>
      <c r="AN244" s="22" t="str">
        <f t="shared" si="67"/>
        <v/>
      </c>
      <c r="AO244" s="23" t="str">
        <f>IF([2]CHAMNORD!J246=0,"",[2]CHAMNORD!J246)</f>
        <v/>
      </c>
      <c r="AP244" s="17" t="str">
        <f t="shared" si="61"/>
        <v/>
      </c>
      <c r="BB244" s="39"/>
      <c r="BD244" s="5">
        <v>46263</v>
      </c>
      <c r="BE244" s="42">
        <f t="shared" si="62"/>
        <v>19.260856924254014</v>
      </c>
      <c r="BF244" s="72" t="str">
        <f t="shared" si="68"/>
        <v/>
      </c>
      <c r="BG244" s="42" t="str">
        <f t="shared" si="63"/>
        <v/>
      </c>
      <c r="BH244" s="17" t="str">
        <f t="shared" si="64"/>
        <v/>
      </c>
      <c r="BT244" s="39"/>
    </row>
    <row r="245" spans="2:72">
      <c r="B245" s="5">
        <v>46264</v>
      </c>
      <c r="C245" s="23">
        <f>IF([1]CHAMNORD!H246=0,"",[1]CHAMNORD!H246)</f>
        <v>24469.64</v>
      </c>
      <c r="D245" s="22" t="str">
        <f t="shared" si="65"/>
        <v/>
      </c>
      <c r="E245" s="24" t="str">
        <f>IF([2]CHAMNORD!H247=0,"",[2]CHAMNORD!H247)</f>
        <v/>
      </c>
      <c r="F245" s="17" t="str">
        <f t="shared" si="59"/>
        <v/>
      </c>
      <c r="R245" s="39"/>
      <c r="T245" s="5">
        <v>46264</v>
      </c>
      <c r="U245" s="23">
        <f>IF([1]CHAMNORD!I246=0,"",[1]CHAMNORD!I246)</f>
        <v>24185.55</v>
      </c>
      <c r="V245" s="22" t="str">
        <f t="shared" si="66"/>
        <v/>
      </c>
      <c r="W245" s="24" t="str">
        <f>IF([2]CHAMNORD!I247=0,"",[2]CHAMNORD!I247)</f>
        <v/>
      </c>
      <c r="X245" s="17" t="str">
        <f t="shared" si="60"/>
        <v/>
      </c>
      <c r="AJ245" s="39"/>
      <c r="AL245" s="5">
        <v>46264</v>
      </c>
      <c r="AM245" s="23">
        <f>IF([1]CHAMNORD!J246=0,"",[1]CHAMNORD!J246)</f>
        <v>1248</v>
      </c>
      <c r="AN245" s="22" t="str">
        <f t="shared" si="67"/>
        <v/>
      </c>
      <c r="AO245" s="24" t="str">
        <f>IF([2]CHAMNORD!J247=0,"",[2]CHAMNORD!J247)</f>
        <v/>
      </c>
      <c r="AP245" s="17" t="str">
        <f t="shared" si="61"/>
        <v/>
      </c>
      <c r="BB245" s="39"/>
      <c r="BD245" s="5">
        <v>46264</v>
      </c>
      <c r="BE245" s="42">
        <f t="shared" si="62"/>
        <v>19.607083333333332</v>
      </c>
      <c r="BF245" s="72" t="str">
        <f t="shared" si="68"/>
        <v/>
      </c>
      <c r="BG245" s="43" t="str">
        <f t="shared" si="63"/>
        <v/>
      </c>
      <c r="BH245" s="17" t="str">
        <f t="shared" si="64"/>
        <v/>
      </c>
      <c r="BT245" s="39"/>
    </row>
    <row r="246" spans="2:72">
      <c r="B246" s="5">
        <v>46265</v>
      </c>
      <c r="C246" s="24">
        <f>IF([1]CHAMNORD!H247=0,"",[1]CHAMNORD!H247)</f>
        <v>25760.19</v>
      </c>
      <c r="D246" s="22" t="str">
        <f t="shared" si="65"/>
        <v/>
      </c>
      <c r="E246" s="21" t="str">
        <f>IF([2]CHAMNORD!H248=0,"",[2]CHAMNORD!H248)</f>
        <v/>
      </c>
      <c r="F246" s="17" t="str">
        <f t="shared" si="59"/>
        <v/>
      </c>
      <c r="R246" s="39"/>
      <c r="T246" s="5">
        <v>46265</v>
      </c>
      <c r="U246" s="24">
        <f>IF([1]CHAMNORD!I247=0,"",[1]CHAMNORD!I247)</f>
        <v>25472.43</v>
      </c>
      <c r="V246" s="22" t="str">
        <f t="shared" si="66"/>
        <v/>
      </c>
      <c r="W246" s="21" t="str">
        <f>IF([2]CHAMNORD!I248=0,"",[2]CHAMNORD!I248)</f>
        <v/>
      </c>
      <c r="X246" s="17" t="str">
        <f t="shared" si="60"/>
        <v/>
      </c>
      <c r="AJ246" s="39"/>
      <c r="AL246" s="5">
        <v>46265</v>
      </c>
      <c r="AM246" s="24">
        <f>IF([1]CHAMNORD!J247=0,"",[1]CHAMNORD!J247)</f>
        <v>1185</v>
      </c>
      <c r="AN246" s="22" t="str">
        <f t="shared" si="67"/>
        <v/>
      </c>
      <c r="AO246" s="21" t="str">
        <f>IF([2]CHAMNORD!J248=0,"",[2]CHAMNORD!J248)</f>
        <v/>
      </c>
      <c r="AP246" s="17" t="str">
        <f t="shared" si="61"/>
        <v/>
      </c>
      <c r="BB246" s="39"/>
      <c r="BD246" s="5">
        <v>46265</v>
      </c>
      <c r="BE246" s="43">
        <f t="shared" si="62"/>
        <v>21.738556962025314</v>
      </c>
      <c r="BF246" s="72" t="str">
        <f t="shared" si="68"/>
        <v/>
      </c>
      <c r="BG246" s="41" t="str">
        <f t="shared" si="63"/>
        <v/>
      </c>
      <c r="BH246" s="17" t="str">
        <f t="shared" si="64"/>
        <v/>
      </c>
      <c r="BT246" s="39"/>
    </row>
    <row r="247" spans="2:72">
      <c r="B247" s="5">
        <v>46266</v>
      </c>
      <c r="C247" s="21">
        <f>IF([1]CHAMNORD!H248=0,"",[1]CHAMNORD!H248)</f>
        <v>16766.48</v>
      </c>
      <c r="D247" s="22" t="str">
        <f t="shared" si="65"/>
        <v/>
      </c>
      <c r="E247" s="23" t="str">
        <f>IF([2]CHAMNORD!H249=0,"",[2]CHAMNORD!H249)</f>
        <v/>
      </c>
      <c r="F247" s="17" t="str">
        <f t="shared" si="59"/>
        <v/>
      </c>
      <c r="R247" s="39"/>
      <c r="T247" s="5">
        <v>46266</v>
      </c>
      <c r="U247" s="21">
        <f>IF([1]CHAMNORD!I248=0,"",[1]CHAMNORD!I248)</f>
        <v>16611.75</v>
      </c>
      <c r="V247" s="22" t="str">
        <f t="shared" si="66"/>
        <v/>
      </c>
      <c r="W247" s="23" t="str">
        <f>IF([2]CHAMNORD!I249=0,"",[2]CHAMNORD!I249)</f>
        <v/>
      </c>
      <c r="X247" s="17" t="str">
        <f t="shared" si="60"/>
        <v/>
      </c>
      <c r="AJ247" s="39"/>
      <c r="AL247" s="5">
        <v>46266</v>
      </c>
      <c r="AM247" s="21">
        <f>IF([1]CHAMNORD!J248=0,"",[1]CHAMNORD!J248)</f>
        <v>978</v>
      </c>
      <c r="AN247" s="22" t="str">
        <f t="shared" si="67"/>
        <v/>
      </c>
      <c r="AO247" s="23" t="str">
        <f>IF([2]CHAMNORD!J249=0,"",[2]CHAMNORD!J249)</f>
        <v/>
      </c>
      <c r="AP247" s="17" t="str">
        <f t="shared" si="61"/>
        <v/>
      </c>
      <c r="BB247" s="39"/>
      <c r="BD247" s="5">
        <v>46266</v>
      </c>
      <c r="BE247" s="41">
        <f t="shared" si="62"/>
        <v>17.143640081799589</v>
      </c>
      <c r="BF247" s="72" t="str">
        <f t="shared" si="68"/>
        <v/>
      </c>
      <c r="BG247" s="42" t="str">
        <f t="shared" si="63"/>
        <v/>
      </c>
      <c r="BH247" s="17" t="str">
        <f t="shared" si="64"/>
        <v/>
      </c>
      <c r="BT247" s="39"/>
    </row>
    <row r="248" spans="2:72">
      <c r="B248" s="5">
        <v>46267</v>
      </c>
      <c r="C248" s="23">
        <f>IF([1]CHAMNORD!H249=0,"",[1]CHAMNORD!H249)</f>
        <v>16342.49</v>
      </c>
      <c r="D248" s="22" t="str">
        <f t="shared" si="65"/>
        <v/>
      </c>
      <c r="E248" s="23" t="str">
        <f>IF([2]CHAMNORD!H250=0,"",[2]CHAMNORD!H250)</f>
        <v/>
      </c>
      <c r="F248" s="17" t="str">
        <f t="shared" si="59"/>
        <v/>
      </c>
      <c r="R248" s="39"/>
      <c r="T248" s="5">
        <v>46267</v>
      </c>
      <c r="U248" s="23">
        <f>IF([1]CHAMNORD!I249=0,"",[1]CHAMNORD!I249)</f>
        <v>16013.23</v>
      </c>
      <c r="V248" s="22" t="str">
        <f t="shared" si="66"/>
        <v/>
      </c>
      <c r="W248" s="23" t="str">
        <f>IF([2]CHAMNORD!I250=0,"",[2]CHAMNORD!I250)</f>
        <v/>
      </c>
      <c r="X248" s="17" t="str">
        <f t="shared" si="60"/>
        <v/>
      </c>
      <c r="AJ248" s="39"/>
      <c r="AL248" s="5">
        <v>46267</v>
      </c>
      <c r="AM248" s="23">
        <f>IF([1]CHAMNORD!J249=0,"",[1]CHAMNORD!J249)</f>
        <v>974</v>
      </c>
      <c r="AN248" s="22" t="str">
        <f t="shared" si="67"/>
        <v/>
      </c>
      <c r="AO248" s="23" t="str">
        <f>IF([2]CHAMNORD!J250=0,"",[2]CHAMNORD!J250)</f>
        <v/>
      </c>
      <c r="AP248" s="17" t="str">
        <f t="shared" si="61"/>
        <v/>
      </c>
      <c r="BB248" s="39"/>
      <c r="BD248" s="5">
        <v>46267</v>
      </c>
      <c r="BE248" s="42">
        <f t="shared" si="62"/>
        <v>16.778737166324436</v>
      </c>
      <c r="BF248" s="72" t="str">
        <f t="shared" si="68"/>
        <v/>
      </c>
      <c r="BG248" s="42" t="str">
        <f t="shared" si="63"/>
        <v/>
      </c>
      <c r="BH248" s="17" t="str">
        <f t="shared" si="64"/>
        <v/>
      </c>
      <c r="BT248" s="39"/>
    </row>
    <row r="249" spans="2:72">
      <c r="B249" s="5">
        <v>46268</v>
      </c>
      <c r="C249" s="23">
        <f>IF([1]CHAMNORD!H250=0,"",[1]CHAMNORD!H250)</f>
        <v>19514.61</v>
      </c>
      <c r="D249" s="22" t="str">
        <f t="shared" si="65"/>
        <v/>
      </c>
      <c r="E249" s="23" t="str">
        <f>IF([2]CHAMNORD!H251=0,"",[2]CHAMNORD!H251)</f>
        <v/>
      </c>
      <c r="F249" s="17" t="str">
        <f t="shared" si="59"/>
        <v/>
      </c>
      <c r="R249" s="39"/>
      <c r="T249" s="5">
        <v>46268</v>
      </c>
      <c r="U249" s="23">
        <f>IF([1]CHAMNORD!I250=0,"",[1]CHAMNORD!I250)</f>
        <v>19046.95</v>
      </c>
      <c r="V249" s="22" t="str">
        <f t="shared" si="66"/>
        <v/>
      </c>
      <c r="W249" s="23" t="str">
        <f>IF([2]CHAMNORD!I251=0,"",[2]CHAMNORD!I251)</f>
        <v/>
      </c>
      <c r="X249" s="17" t="str">
        <f t="shared" si="60"/>
        <v/>
      </c>
      <c r="AJ249" s="39"/>
      <c r="AL249" s="5">
        <v>46268</v>
      </c>
      <c r="AM249" s="23">
        <f>IF([1]CHAMNORD!J250=0,"",[1]CHAMNORD!J250)</f>
        <v>1122</v>
      </c>
      <c r="AN249" s="22" t="str">
        <f t="shared" si="67"/>
        <v/>
      </c>
      <c r="AO249" s="23" t="str">
        <f>IF([2]CHAMNORD!J251=0,"",[2]CHAMNORD!J251)</f>
        <v/>
      </c>
      <c r="AP249" s="17" t="str">
        <f t="shared" si="61"/>
        <v/>
      </c>
      <c r="BB249" s="39"/>
      <c r="BD249" s="5">
        <v>46268</v>
      </c>
      <c r="BE249" s="42">
        <f t="shared" si="62"/>
        <v>17.39270053475936</v>
      </c>
      <c r="BF249" s="72" t="str">
        <f t="shared" si="68"/>
        <v/>
      </c>
      <c r="BG249" s="42" t="str">
        <f t="shared" si="63"/>
        <v/>
      </c>
      <c r="BH249" s="17" t="str">
        <f t="shared" si="64"/>
        <v/>
      </c>
      <c r="BT249" s="39"/>
    </row>
    <row r="250" spans="2:72">
      <c r="B250" s="5">
        <v>46269</v>
      </c>
      <c r="C250" s="23">
        <f>IF([1]CHAMNORD!H251=0,"",[1]CHAMNORD!H251)</f>
        <v>18031.759999999998</v>
      </c>
      <c r="D250" s="22" t="str">
        <f t="shared" si="65"/>
        <v/>
      </c>
      <c r="E250" s="23" t="str">
        <f>IF([2]CHAMNORD!H252=0,"",[2]CHAMNORD!H252)</f>
        <v/>
      </c>
      <c r="F250" s="17" t="str">
        <f t="shared" si="59"/>
        <v/>
      </c>
      <c r="R250" s="39"/>
      <c r="T250" s="5">
        <v>46269</v>
      </c>
      <c r="U250" s="23">
        <f>IF([1]CHAMNORD!I251=0,"",[1]CHAMNORD!I251)</f>
        <v>17548.689999999999</v>
      </c>
      <c r="V250" s="22" t="str">
        <f t="shared" si="66"/>
        <v/>
      </c>
      <c r="W250" s="23" t="str">
        <f>IF([2]CHAMNORD!I252=0,"",[2]CHAMNORD!I252)</f>
        <v/>
      </c>
      <c r="X250" s="17" t="str">
        <f t="shared" si="60"/>
        <v/>
      </c>
      <c r="AJ250" s="39"/>
      <c r="AL250" s="5">
        <v>46269</v>
      </c>
      <c r="AM250" s="23">
        <f>IF([1]CHAMNORD!J251=0,"",[1]CHAMNORD!J251)</f>
        <v>1042</v>
      </c>
      <c r="AN250" s="22" t="str">
        <f t="shared" si="67"/>
        <v/>
      </c>
      <c r="AO250" s="23" t="str">
        <f>IF([2]CHAMNORD!J252=0,"",[2]CHAMNORD!J252)</f>
        <v/>
      </c>
      <c r="AP250" s="17" t="str">
        <f t="shared" si="61"/>
        <v/>
      </c>
      <c r="BB250" s="39"/>
      <c r="BD250" s="5">
        <v>46269</v>
      </c>
      <c r="BE250" s="42">
        <f t="shared" si="62"/>
        <v>17.304952015355084</v>
      </c>
      <c r="BF250" s="72" t="str">
        <f t="shared" si="68"/>
        <v/>
      </c>
      <c r="BG250" s="42" t="str">
        <f t="shared" si="63"/>
        <v/>
      </c>
      <c r="BH250" s="17" t="str">
        <f t="shared" si="64"/>
        <v/>
      </c>
      <c r="BT250" s="39"/>
    </row>
    <row r="251" spans="2:72">
      <c r="B251" s="5">
        <v>46270</v>
      </c>
      <c r="C251" s="23">
        <f>IF([1]CHAMNORD!H252=0,"",[1]CHAMNORD!H252)</f>
        <v>26002</v>
      </c>
      <c r="D251" s="22" t="str">
        <f t="shared" si="65"/>
        <v/>
      </c>
      <c r="E251" s="23" t="str">
        <f>IF([2]CHAMNORD!H253=0,"",[2]CHAMNORD!H253)</f>
        <v/>
      </c>
      <c r="F251" s="17" t="str">
        <f t="shared" si="59"/>
        <v/>
      </c>
      <c r="R251" s="39"/>
      <c r="T251" s="5">
        <v>46270</v>
      </c>
      <c r="U251" s="23">
        <f>IF([1]CHAMNORD!I252=0,"",[1]CHAMNORD!I252)</f>
        <v>25278.13</v>
      </c>
      <c r="V251" s="22" t="str">
        <f t="shared" si="66"/>
        <v/>
      </c>
      <c r="W251" s="23" t="str">
        <f>IF([2]CHAMNORD!I253=0,"",[2]CHAMNORD!I253)</f>
        <v/>
      </c>
      <c r="X251" s="17" t="str">
        <f t="shared" si="60"/>
        <v/>
      </c>
      <c r="AJ251" s="39"/>
      <c r="AL251" s="5">
        <v>46270</v>
      </c>
      <c r="AM251" s="23">
        <f>IF([1]CHAMNORD!J252=0,"",[1]CHAMNORD!J252)</f>
        <v>1353</v>
      </c>
      <c r="AN251" s="22" t="str">
        <f t="shared" si="67"/>
        <v/>
      </c>
      <c r="AO251" s="23" t="str">
        <f>IF([2]CHAMNORD!J253=0,"",[2]CHAMNORD!J253)</f>
        <v/>
      </c>
      <c r="AP251" s="17" t="str">
        <f t="shared" si="61"/>
        <v/>
      </c>
      <c r="BB251" s="39"/>
      <c r="BD251" s="5">
        <v>46270</v>
      </c>
      <c r="BE251" s="42">
        <f t="shared" si="62"/>
        <v>19.218033998521804</v>
      </c>
      <c r="BF251" s="72" t="str">
        <f t="shared" si="68"/>
        <v/>
      </c>
      <c r="BG251" s="42" t="str">
        <f t="shared" si="63"/>
        <v/>
      </c>
      <c r="BH251" s="17" t="str">
        <f t="shared" si="64"/>
        <v/>
      </c>
      <c r="BT251" s="39"/>
    </row>
    <row r="252" spans="2:72">
      <c r="B252" s="5">
        <v>46271</v>
      </c>
      <c r="C252" s="23">
        <f>IF([1]CHAMNORD!H253=0,"",[1]CHAMNORD!H253)</f>
        <v>25376.18</v>
      </c>
      <c r="D252" s="22" t="str">
        <f t="shared" si="65"/>
        <v/>
      </c>
      <c r="E252" s="24" t="str">
        <f>IF([2]CHAMNORD!H254=0,"",[2]CHAMNORD!H254)</f>
        <v/>
      </c>
      <c r="F252" s="17" t="str">
        <f t="shared" si="59"/>
        <v/>
      </c>
      <c r="R252" s="39"/>
      <c r="T252" s="5">
        <v>46271</v>
      </c>
      <c r="U252" s="23">
        <f>IF([1]CHAMNORD!I253=0,"",[1]CHAMNORD!I253)</f>
        <v>24662.05</v>
      </c>
      <c r="V252" s="22" t="str">
        <f t="shared" si="66"/>
        <v/>
      </c>
      <c r="W252" s="24" t="str">
        <f>IF([2]CHAMNORD!I254=0,"",[2]CHAMNORD!I254)</f>
        <v/>
      </c>
      <c r="X252" s="17" t="str">
        <f t="shared" si="60"/>
        <v/>
      </c>
      <c r="AJ252" s="39"/>
      <c r="AL252" s="5">
        <v>46271</v>
      </c>
      <c r="AM252" s="23">
        <f>IF([1]CHAMNORD!J253=0,"",[1]CHAMNORD!J253)</f>
        <v>1294</v>
      </c>
      <c r="AN252" s="22" t="str">
        <f t="shared" si="67"/>
        <v/>
      </c>
      <c r="AO252" s="24" t="str">
        <f>IF([2]CHAMNORD!J254=0,"",[2]CHAMNORD!J254)</f>
        <v/>
      </c>
      <c r="AP252" s="17" t="str">
        <f t="shared" si="61"/>
        <v/>
      </c>
      <c r="BB252" s="39"/>
      <c r="BD252" s="5">
        <v>46271</v>
      </c>
      <c r="BE252" s="42">
        <f t="shared" si="62"/>
        <v>19.610649149922722</v>
      </c>
      <c r="BF252" s="72" t="str">
        <f t="shared" si="68"/>
        <v/>
      </c>
      <c r="BG252" s="43" t="str">
        <f t="shared" si="63"/>
        <v/>
      </c>
      <c r="BH252" s="17" t="str">
        <f t="shared" si="64"/>
        <v/>
      </c>
      <c r="BT252" s="39"/>
    </row>
    <row r="253" spans="2:72">
      <c r="B253" s="5">
        <v>46272</v>
      </c>
      <c r="C253" s="24">
        <f>IF([1]CHAMNORD!H254=0,"",[1]CHAMNORD!H254)</f>
        <v>24267.47</v>
      </c>
      <c r="D253" s="22" t="str">
        <f t="shared" si="65"/>
        <v/>
      </c>
      <c r="E253" s="21" t="str">
        <f>IF([2]CHAMNORD!H255=0,"",[2]CHAMNORD!H255)</f>
        <v/>
      </c>
      <c r="F253" s="17" t="str">
        <f t="shared" si="59"/>
        <v/>
      </c>
      <c r="R253" s="39"/>
      <c r="T253" s="5">
        <v>46272</v>
      </c>
      <c r="U253" s="24">
        <f>IF([1]CHAMNORD!I254=0,"",[1]CHAMNORD!I254)</f>
        <v>23652.86</v>
      </c>
      <c r="V253" s="22" t="str">
        <f t="shared" si="66"/>
        <v/>
      </c>
      <c r="W253" s="21" t="str">
        <f>IF([2]CHAMNORD!I255=0,"",[2]CHAMNORD!I255)</f>
        <v/>
      </c>
      <c r="X253" s="17" t="str">
        <f t="shared" si="60"/>
        <v/>
      </c>
      <c r="AJ253" s="39"/>
      <c r="AL253" s="5">
        <v>46272</v>
      </c>
      <c r="AM253" s="24">
        <f>IF([1]CHAMNORD!J254=0,"",[1]CHAMNORD!J254)</f>
        <v>1191</v>
      </c>
      <c r="AN253" s="22" t="str">
        <f t="shared" si="67"/>
        <v/>
      </c>
      <c r="AO253" s="21" t="str">
        <f>IF([2]CHAMNORD!J255=0,"",[2]CHAMNORD!J255)</f>
        <v/>
      </c>
      <c r="AP253" s="17" t="str">
        <f t="shared" si="61"/>
        <v/>
      </c>
      <c r="BB253" s="39"/>
      <c r="BD253" s="5">
        <v>46272</v>
      </c>
      <c r="BE253" s="43">
        <f t="shared" si="62"/>
        <v>20.375709487825358</v>
      </c>
      <c r="BF253" s="72" t="str">
        <f t="shared" si="68"/>
        <v/>
      </c>
      <c r="BG253" s="41" t="str">
        <f t="shared" si="63"/>
        <v/>
      </c>
      <c r="BH253" s="17" t="str">
        <f t="shared" si="64"/>
        <v/>
      </c>
      <c r="BT253" s="39"/>
    </row>
    <row r="254" spans="2:72">
      <c r="B254" s="5">
        <v>46273</v>
      </c>
      <c r="C254" s="21">
        <f>IF([1]CHAMNORD!H255=0,"",[1]CHAMNORD!H255)</f>
        <v>14370.31</v>
      </c>
      <c r="D254" s="22" t="str">
        <f t="shared" si="65"/>
        <v/>
      </c>
      <c r="E254" s="23" t="str">
        <f>IF([2]CHAMNORD!H256=0,"",[2]CHAMNORD!H256)</f>
        <v/>
      </c>
      <c r="F254" s="17" t="str">
        <f t="shared" si="59"/>
        <v/>
      </c>
      <c r="R254" s="39"/>
      <c r="T254" s="5">
        <v>46273</v>
      </c>
      <c r="U254" s="21">
        <f>IF([1]CHAMNORD!I255=0,"",[1]CHAMNORD!I255)</f>
        <v>14207</v>
      </c>
      <c r="V254" s="22" t="str">
        <f t="shared" si="66"/>
        <v/>
      </c>
      <c r="W254" s="23" t="str">
        <f>IF([2]CHAMNORD!I256=0,"",[2]CHAMNORD!I256)</f>
        <v/>
      </c>
      <c r="X254" s="17" t="str">
        <f t="shared" si="60"/>
        <v/>
      </c>
      <c r="AJ254" s="39"/>
      <c r="AL254" s="5">
        <v>46273</v>
      </c>
      <c r="AM254" s="21">
        <f>IF([1]CHAMNORD!J255=0,"",[1]CHAMNORD!J255)</f>
        <v>880</v>
      </c>
      <c r="AN254" s="22" t="str">
        <f t="shared" si="67"/>
        <v/>
      </c>
      <c r="AO254" s="23" t="str">
        <f>IF([2]CHAMNORD!J256=0,"",[2]CHAMNORD!J256)</f>
        <v/>
      </c>
      <c r="AP254" s="17" t="str">
        <f t="shared" si="61"/>
        <v/>
      </c>
      <c r="BB254" s="39"/>
      <c r="BD254" s="5">
        <v>46273</v>
      </c>
      <c r="BE254" s="41">
        <f t="shared" si="62"/>
        <v>16.329897727272726</v>
      </c>
      <c r="BF254" s="72" t="str">
        <f t="shared" si="68"/>
        <v/>
      </c>
      <c r="BG254" s="42" t="str">
        <f t="shared" si="63"/>
        <v/>
      </c>
      <c r="BH254" s="17" t="str">
        <f t="shared" si="64"/>
        <v/>
      </c>
      <c r="BT254" s="39"/>
    </row>
    <row r="255" spans="2:72">
      <c r="B255" s="5">
        <v>46274</v>
      </c>
      <c r="C255" s="23">
        <f>IF([1]CHAMNORD!H256=0,"",[1]CHAMNORD!H256)</f>
        <v>16328.24</v>
      </c>
      <c r="D255" s="22" t="str">
        <f t="shared" si="65"/>
        <v/>
      </c>
      <c r="E255" s="23" t="str">
        <f>IF([2]CHAMNORD!H257=0,"",[2]CHAMNORD!H257)</f>
        <v/>
      </c>
      <c r="F255" s="17" t="str">
        <f t="shared" si="59"/>
        <v/>
      </c>
      <c r="R255" s="39"/>
      <c r="T255" s="5">
        <v>46274</v>
      </c>
      <c r="U255" s="23">
        <f>IF([1]CHAMNORD!I256=0,"",[1]CHAMNORD!I256)</f>
        <v>16146.06</v>
      </c>
      <c r="V255" s="22" t="str">
        <f t="shared" si="66"/>
        <v/>
      </c>
      <c r="W255" s="23" t="str">
        <f>IF([2]CHAMNORD!I257=0,"",[2]CHAMNORD!I257)</f>
        <v/>
      </c>
      <c r="X255" s="17" t="str">
        <f t="shared" si="60"/>
        <v/>
      </c>
      <c r="AJ255" s="39"/>
      <c r="AL255" s="5">
        <v>46274</v>
      </c>
      <c r="AM255" s="23">
        <f>IF([1]CHAMNORD!J256=0,"",[1]CHAMNORD!J256)</f>
        <v>981</v>
      </c>
      <c r="AN255" s="22" t="str">
        <f t="shared" si="67"/>
        <v/>
      </c>
      <c r="AO255" s="23" t="str">
        <f>IF([2]CHAMNORD!J257=0,"",[2]CHAMNORD!J257)</f>
        <v/>
      </c>
      <c r="AP255" s="17" t="str">
        <f t="shared" si="61"/>
        <v/>
      </c>
      <c r="BB255" s="39"/>
      <c r="BD255" s="5">
        <v>46274</v>
      </c>
      <c r="BE255" s="42">
        <f t="shared" si="62"/>
        <v>16.644485219164117</v>
      </c>
      <c r="BF255" s="72" t="str">
        <f t="shared" si="68"/>
        <v/>
      </c>
      <c r="BG255" s="42" t="str">
        <f t="shared" si="63"/>
        <v/>
      </c>
      <c r="BH255" s="17" t="str">
        <f t="shared" si="64"/>
        <v/>
      </c>
      <c r="BT255" s="39"/>
    </row>
    <row r="256" spans="2:72">
      <c r="B256" s="5">
        <v>46275</v>
      </c>
      <c r="C256" s="23">
        <f>IF([1]CHAMNORD!H257=0,"",[1]CHAMNORD!H257)</f>
        <v>10193.15</v>
      </c>
      <c r="D256" s="22" t="str">
        <f t="shared" si="65"/>
        <v/>
      </c>
      <c r="E256" s="23" t="str">
        <f>IF([2]CHAMNORD!H258=0,"",[2]CHAMNORD!H258)</f>
        <v/>
      </c>
      <c r="F256" s="17" t="str">
        <f t="shared" si="59"/>
        <v/>
      </c>
      <c r="R256" s="39"/>
      <c r="T256" s="5">
        <v>46275</v>
      </c>
      <c r="U256" s="23">
        <f>IF([1]CHAMNORD!I257=0,"",[1]CHAMNORD!I257)</f>
        <v>10103.86</v>
      </c>
      <c r="V256" s="22" t="str">
        <f t="shared" si="66"/>
        <v/>
      </c>
      <c r="W256" s="23" t="str">
        <f>IF([2]CHAMNORD!I258=0,"",[2]CHAMNORD!I258)</f>
        <v/>
      </c>
      <c r="X256" s="17" t="str">
        <f t="shared" si="60"/>
        <v/>
      </c>
      <c r="AJ256" s="39"/>
      <c r="AL256" s="5">
        <v>46275</v>
      </c>
      <c r="AM256" s="23">
        <f>IF([1]CHAMNORD!J257=0,"",[1]CHAMNORD!J257)</f>
        <v>582</v>
      </c>
      <c r="AN256" s="22" t="str">
        <f t="shared" si="67"/>
        <v/>
      </c>
      <c r="AO256" s="23" t="str">
        <f>IF([2]CHAMNORD!J258=0,"",[2]CHAMNORD!J258)</f>
        <v/>
      </c>
      <c r="AP256" s="17" t="str">
        <f t="shared" si="61"/>
        <v/>
      </c>
      <c r="BB256" s="39"/>
      <c r="BD256" s="5">
        <v>46275</v>
      </c>
      <c r="BE256" s="42">
        <f t="shared" si="62"/>
        <v>17.514003436426115</v>
      </c>
      <c r="BF256" s="72" t="str">
        <f t="shared" si="68"/>
        <v/>
      </c>
      <c r="BG256" s="42" t="str">
        <f t="shared" si="63"/>
        <v/>
      </c>
      <c r="BH256" s="17" t="str">
        <f t="shared" si="64"/>
        <v/>
      </c>
      <c r="BT256" s="39"/>
    </row>
    <row r="257" spans="2:72">
      <c r="B257" s="5">
        <v>46276</v>
      </c>
      <c r="C257" s="23">
        <f>IF([1]CHAMNORD!H258=0,"",[1]CHAMNORD!H258)</f>
        <v>17993.71</v>
      </c>
      <c r="D257" s="22" t="str">
        <f t="shared" si="65"/>
        <v/>
      </c>
      <c r="E257" s="23" t="str">
        <f>IF([2]CHAMNORD!H259=0,"",[2]CHAMNORD!H259)</f>
        <v/>
      </c>
      <c r="F257" s="17" t="str">
        <f t="shared" si="59"/>
        <v/>
      </c>
      <c r="R257" s="39"/>
      <c r="T257" s="5">
        <v>46276</v>
      </c>
      <c r="U257" s="23">
        <f>IF([1]CHAMNORD!I258=0,"",[1]CHAMNORD!I258)</f>
        <v>17774.53</v>
      </c>
      <c r="V257" s="22" t="str">
        <f t="shared" si="66"/>
        <v/>
      </c>
      <c r="W257" s="23" t="str">
        <f>IF([2]CHAMNORD!I259=0,"",[2]CHAMNORD!I259)</f>
        <v/>
      </c>
      <c r="X257" s="17" t="str">
        <f t="shared" si="60"/>
        <v/>
      </c>
      <c r="AJ257" s="39"/>
      <c r="AL257" s="5">
        <v>46276</v>
      </c>
      <c r="AM257" s="23">
        <f>IF([1]CHAMNORD!J258=0,"",[1]CHAMNORD!J258)</f>
        <v>1087</v>
      </c>
      <c r="AN257" s="22" t="str">
        <f t="shared" si="67"/>
        <v/>
      </c>
      <c r="AO257" s="23" t="str">
        <f>IF([2]CHAMNORD!J259=0,"",[2]CHAMNORD!J259)</f>
        <v/>
      </c>
      <c r="AP257" s="17" t="str">
        <f t="shared" si="61"/>
        <v/>
      </c>
      <c r="BB257" s="39"/>
      <c r="BD257" s="5">
        <v>46276</v>
      </c>
      <c r="BE257" s="42">
        <f t="shared" si="62"/>
        <v>16.55355105795768</v>
      </c>
      <c r="BF257" s="72" t="str">
        <f t="shared" si="68"/>
        <v/>
      </c>
      <c r="BG257" s="42" t="str">
        <f t="shared" si="63"/>
        <v/>
      </c>
      <c r="BH257" s="17" t="str">
        <f t="shared" si="64"/>
        <v/>
      </c>
      <c r="BT257" s="39"/>
    </row>
    <row r="258" spans="2:72">
      <c r="B258" s="5">
        <v>46277</v>
      </c>
      <c r="C258" s="23">
        <f>IF([1]CHAMNORD!H259=0,"",[1]CHAMNORD!H259)</f>
        <v>23306.9</v>
      </c>
      <c r="D258" s="22" t="str">
        <f t="shared" si="65"/>
        <v/>
      </c>
      <c r="E258" s="23" t="str">
        <f>IF([2]CHAMNORD!H260=0,"",[2]CHAMNORD!H260)</f>
        <v/>
      </c>
      <c r="F258" s="17" t="str">
        <f t="shared" si="59"/>
        <v/>
      </c>
      <c r="R258" s="39"/>
      <c r="T258" s="5">
        <v>46277</v>
      </c>
      <c r="U258" s="23">
        <f>IF([1]CHAMNORD!I259=0,"",[1]CHAMNORD!I259)</f>
        <v>23018.75</v>
      </c>
      <c r="V258" s="22" t="str">
        <f t="shared" si="66"/>
        <v/>
      </c>
      <c r="W258" s="23" t="str">
        <f>IF([2]CHAMNORD!I260=0,"",[2]CHAMNORD!I260)</f>
        <v/>
      </c>
      <c r="X258" s="17" t="str">
        <f t="shared" si="60"/>
        <v/>
      </c>
      <c r="AJ258" s="39"/>
      <c r="AL258" s="5">
        <v>46277</v>
      </c>
      <c r="AM258" s="23">
        <f>IF([1]CHAMNORD!J259=0,"",[1]CHAMNORD!J259)</f>
        <v>1266</v>
      </c>
      <c r="AN258" s="22" t="str">
        <f t="shared" si="67"/>
        <v/>
      </c>
      <c r="AO258" s="23" t="str">
        <f>IF([2]CHAMNORD!J260=0,"",[2]CHAMNORD!J260)</f>
        <v/>
      </c>
      <c r="AP258" s="17" t="str">
        <f t="shared" si="61"/>
        <v/>
      </c>
      <c r="BB258" s="39"/>
      <c r="BD258" s="5">
        <v>46277</v>
      </c>
      <c r="BE258" s="42">
        <f t="shared" si="62"/>
        <v>18.409873617693524</v>
      </c>
      <c r="BF258" s="72" t="str">
        <f t="shared" si="68"/>
        <v/>
      </c>
      <c r="BG258" s="42" t="str">
        <f t="shared" si="63"/>
        <v/>
      </c>
      <c r="BH258" s="17" t="str">
        <f t="shared" si="64"/>
        <v/>
      </c>
      <c r="BT258" s="39"/>
    </row>
    <row r="259" spans="2:72">
      <c r="B259" s="5">
        <v>46278</v>
      </c>
      <c r="C259" s="23">
        <f>IF([1]CHAMNORD!H260=0,"",[1]CHAMNORD!H260)</f>
        <v>24440.66</v>
      </c>
      <c r="D259" s="22" t="str">
        <f t="shared" si="65"/>
        <v/>
      </c>
      <c r="E259" s="24" t="str">
        <f>IF([2]CHAMNORD!H261=0,"",[2]CHAMNORD!H261)</f>
        <v/>
      </c>
      <c r="F259" s="17" t="str">
        <f t="shared" si="59"/>
        <v/>
      </c>
      <c r="R259" s="39"/>
      <c r="T259" s="5">
        <v>46278</v>
      </c>
      <c r="U259" s="23">
        <f>IF([1]CHAMNORD!I260=0,"",[1]CHAMNORD!I260)</f>
        <v>24055.13</v>
      </c>
      <c r="V259" s="22" t="str">
        <f t="shared" si="66"/>
        <v/>
      </c>
      <c r="W259" s="24" t="str">
        <f>IF([2]CHAMNORD!I261=0,"",[2]CHAMNORD!I261)</f>
        <v/>
      </c>
      <c r="X259" s="17" t="str">
        <f t="shared" si="60"/>
        <v/>
      </c>
      <c r="AJ259" s="39"/>
      <c r="AL259" s="5">
        <v>46278</v>
      </c>
      <c r="AM259" s="23">
        <f>IF([1]CHAMNORD!J260=0,"",[1]CHAMNORD!J260)</f>
        <v>1293</v>
      </c>
      <c r="AN259" s="22" t="str">
        <f t="shared" si="67"/>
        <v/>
      </c>
      <c r="AO259" s="24" t="str">
        <f>IF([2]CHAMNORD!J261=0,"",[2]CHAMNORD!J261)</f>
        <v/>
      </c>
      <c r="AP259" s="17" t="str">
        <f t="shared" si="61"/>
        <v/>
      </c>
      <c r="BB259" s="39"/>
      <c r="BD259" s="5">
        <v>46278</v>
      </c>
      <c r="BE259" s="42">
        <f t="shared" si="62"/>
        <v>18.90228924980665</v>
      </c>
      <c r="BF259" s="72" t="str">
        <f t="shared" si="68"/>
        <v/>
      </c>
      <c r="BG259" s="43" t="str">
        <f t="shared" si="63"/>
        <v/>
      </c>
      <c r="BH259" s="17" t="str">
        <f t="shared" si="64"/>
        <v/>
      </c>
      <c r="BT259" s="39"/>
    </row>
    <row r="260" spans="2:72">
      <c r="B260" s="5">
        <v>46279</v>
      </c>
      <c r="C260" s="24">
        <f>IF([1]CHAMNORD!H261=0,"",[1]CHAMNORD!H261)</f>
        <v>21535.67</v>
      </c>
      <c r="D260" s="22" t="str">
        <f t="shared" si="65"/>
        <v/>
      </c>
      <c r="E260" s="21" t="str">
        <f>IF([2]CHAMNORD!H262=0,"",[2]CHAMNORD!H262)</f>
        <v/>
      </c>
      <c r="F260" s="17" t="str">
        <f t="shared" ref="F260:F323" si="69">IF(E260="","",(E260/C261)-1)</f>
        <v/>
      </c>
      <c r="R260" s="39"/>
      <c r="T260" s="5">
        <v>46279</v>
      </c>
      <c r="U260" s="24">
        <f>IF([1]CHAMNORD!I261=0,"",[1]CHAMNORD!I261)</f>
        <v>21251.77</v>
      </c>
      <c r="V260" s="22" t="str">
        <f t="shared" si="66"/>
        <v/>
      </c>
      <c r="W260" s="21" t="str">
        <f>IF([2]CHAMNORD!I262=0,"",[2]CHAMNORD!I262)</f>
        <v/>
      </c>
      <c r="X260" s="17" t="str">
        <f t="shared" ref="X260:X323" si="70">IF(W260="","",(W260/U261)-1)</f>
        <v/>
      </c>
      <c r="AJ260" s="39"/>
      <c r="AL260" s="5">
        <v>46279</v>
      </c>
      <c r="AM260" s="24">
        <f>IF([1]CHAMNORD!J261=0,"",[1]CHAMNORD!J261)</f>
        <v>1048</v>
      </c>
      <c r="AN260" s="22" t="str">
        <f t="shared" si="67"/>
        <v/>
      </c>
      <c r="AO260" s="21" t="str">
        <f>IF([2]CHAMNORD!J262=0,"",[2]CHAMNORD!J262)</f>
        <v/>
      </c>
      <c r="AP260" s="17" t="str">
        <f t="shared" ref="AP260:AP323" si="71">IF(AO260="","",(AO260/AM261)-1)</f>
        <v/>
      </c>
      <c r="BB260" s="39"/>
      <c r="BD260" s="5">
        <v>46279</v>
      </c>
      <c r="BE260" s="43">
        <f t="shared" ref="BE260:BE323" si="72">IFERROR(C260/AM260,"")</f>
        <v>20.549303435114503</v>
      </c>
      <c r="BF260" s="72" t="str">
        <f t="shared" si="68"/>
        <v/>
      </c>
      <c r="BG260" s="41" t="str">
        <f t="shared" ref="BG260:BG323" si="73">IFERROR(E260/AO260,"")</f>
        <v/>
      </c>
      <c r="BH260" s="17" t="str">
        <f t="shared" ref="BH260:BH323" si="74">IF(BG260="","",(BG260/BE261)-1)</f>
        <v/>
      </c>
      <c r="BT260" s="39"/>
    </row>
    <row r="261" spans="2:72">
      <c r="B261" s="5">
        <v>46280</v>
      </c>
      <c r="C261" s="21">
        <f>IF([1]CHAMNORD!H262=0,"",[1]CHAMNORD!H262)</f>
        <v>12385.64</v>
      </c>
      <c r="D261" s="22" t="str">
        <f t="shared" si="65"/>
        <v/>
      </c>
      <c r="E261" s="23" t="str">
        <f>IF([2]CHAMNORD!H263=0,"",[2]CHAMNORD!H263)</f>
        <v/>
      </c>
      <c r="F261" s="17" t="str">
        <f t="shared" si="69"/>
        <v/>
      </c>
      <c r="R261" s="39"/>
      <c r="T261" s="5">
        <v>46280</v>
      </c>
      <c r="U261" s="21">
        <f>IF([1]CHAMNORD!I262=0,"",[1]CHAMNORD!I262)</f>
        <v>12228.51</v>
      </c>
      <c r="V261" s="22" t="str">
        <f t="shared" si="66"/>
        <v/>
      </c>
      <c r="W261" s="23" t="str">
        <f>IF([2]CHAMNORD!I263=0,"",[2]CHAMNORD!I263)</f>
        <v/>
      </c>
      <c r="X261" s="17" t="str">
        <f t="shared" si="70"/>
        <v/>
      </c>
      <c r="AJ261" s="39"/>
      <c r="AL261" s="5">
        <v>46280</v>
      </c>
      <c r="AM261" s="21">
        <f>IF([1]CHAMNORD!J262=0,"",[1]CHAMNORD!J262)</f>
        <v>778</v>
      </c>
      <c r="AN261" s="22" t="str">
        <f t="shared" si="67"/>
        <v/>
      </c>
      <c r="AO261" s="23" t="str">
        <f>IF([2]CHAMNORD!J263=0,"",[2]CHAMNORD!J263)</f>
        <v/>
      </c>
      <c r="AP261" s="17" t="str">
        <f t="shared" si="71"/>
        <v/>
      </c>
      <c r="BB261" s="39"/>
      <c r="BD261" s="5">
        <v>46280</v>
      </c>
      <c r="BE261" s="41">
        <f t="shared" si="72"/>
        <v>15.919845758354755</v>
      </c>
      <c r="BF261" s="72" t="str">
        <f t="shared" si="68"/>
        <v/>
      </c>
      <c r="BG261" s="42" t="str">
        <f t="shared" si="73"/>
        <v/>
      </c>
      <c r="BH261" s="17" t="str">
        <f t="shared" si="74"/>
        <v/>
      </c>
      <c r="BT261" s="39"/>
    </row>
    <row r="262" spans="2:72">
      <c r="B262" s="5">
        <v>46281</v>
      </c>
      <c r="C262" s="23">
        <f>IF([1]CHAMNORD!H263=0,"",[1]CHAMNORD!H263)</f>
        <v>14757.85</v>
      </c>
      <c r="D262" s="22" t="str">
        <f t="shared" si="65"/>
        <v/>
      </c>
      <c r="E262" s="23" t="str">
        <f>IF([2]CHAMNORD!H264=0,"",[2]CHAMNORD!H264)</f>
        <v/>
      </c>
      <c r="F262" s="17" t="str">
        <f t="shared" si="69"/>
        <v/>
      </c>
      <c r="R262" s="39"/>
      <c r="T262" s="5">
        <v>46281</v>
      </c>
      <c r="U262" s="23">
        <f>IF([1]CHAMNORD!I263=0,"",[1]CHAMNORD!I263)</f>
        <v>14600.96</v>
      </c>
      <c r="V262" s="22" t="str">
        <f t="shared" si="66"/>
        <v/>
      </c>
      <c r="W262" s="23" t="str">
        <f>IF([2]CHAMNORD!I264=0,"",[2]CHAMNORD!I264)</f>
        <v/>
      </c>
      <c r="X262" s="17" t="str">
        <f t="shared" si="70"/>
        <v/>
      </c>
      <c r="AJ262" s="39"/>
      <c r="AL262" s="5">
        <v>46281</v>
      </c>
      <c r="AM262" s="23">
        <f>IF([1]CHAMNORD!J263=0,"",[1]CHAMNORD!J263)</f>
        <v>901</v>
      </c>
      <c r="AN262" s="22" t="str">
        <f t="shared" si="67"/>
        <v/>
      </c>
      <c r="AO262" s="23" t="str">
        <f>IF([2]CHAMNORD!J264=0,"",[2]CHAMNORD!J264)</f>
        <v/>
      </c>
      <c r="AP262" s="17" t="str">
        <f t="shared" si="71"/>
        <v/>
      </c>
      <c r="BB262" s="39"/>
      <c r="BD262" s="5">
        <v>46281</v>
      </c>
      <c r="BE262" s="42">
        <f t="shared" si="72"/>
        <v>16.379411764705882</v>
      </c>
      <c r="BF262" s="72" t="str">
        <f t="shared" si="68"/>
        <v/>
      </c>
      <c r="BG262" s="42" t="str">
        <f t="shared" si="73"/>
        <v/>
      </c>
      <c r="BH262" s="17" t="str">
        <f t="shared" si="74"/>
        <v/>
      </c>
      <c r="BT262" s="39"/>
    </row>
    <row r="263" spans="2:72">
      <c r="B263" s="5">
        <v>46282</v>
      </c>
      <c r="C263" s="23">
        <f>IF([1]CHAMNORD!H264=0,"",[1]CHAMNORD!H264)</f>
        <v>17816.919999999998</v>
      </c>
      <c r="D263" s="22" t="str">
        <f t="shared" si="65"/>
        <v/>
      </c>
      <c r="E263" s="23" t="str">
        <f>IF([2]CHAMNORD!H265=0,"",[2]CHAMNORD!H265)</f>
        <v/>
      </c>
      <c r="F263" s="17" t="str">
        <f t="shared" si="69"/>
        <v/>
      </c>
      <c r="R263" s="39"/>
      <c r="T263" s="5">
        <v>46282</v>
      </c>
      <c r="U263" s="23">
        <f>IF([1]CHAMNORD!I264=0,"",[1]CHAMNORD!I264)</f>
        <v>17534.740000000002</v>
      </c>
      <c r="V263" s="22" t="str">
        <f t="shared" si="66"/>
        <v/>
      </c>
      <c r="W263" s="23" t="str">
        <f>IF([2]CHAMNORD!I265=0,"",[2]CHAMNORD!I265)</f>
        <v/>
      </c>
      <c r="X263" s="17" t="str">
        <f t="shared" si="70"/>
        <v/>
      </c>
      <c r="AJ263" s="39"/>
      <c r="AL263" s="5">
        <v>46282</v>
      </c>
      <c r="AM263" s="23">
        <f>IF([1]CHAMNORD!J264=0,"",[1]CHAMNORD!J264)</f>
        <v>1041</v>
      </c>
      <c r="AN263" s="22" t="str">
        <f t="shared" si="67"/>
        <v/>
      </c>
      <c r="AO263" s="23" t="str">
        <f>IF([2]CHAMNORD!J265=0,"",[2]CHAMNORD!J265)</f>
        <v/>
      </c>
      <c r="AP263" s="17" t="str">
        <f t="shared" si="71"/>
        <v/>
      </c>
      <c r="BB263" s="39"/>
      <c r="BD263" s="5">
        <v>46282</v>
      </c>
      <c r="BE263" s="42">
        <f t="shared" si="72"/>
        <v>17.11519692603266</v>
      </c>
      <c r="BF263" s="72" t="str">
        <f t="shared" si="68"/>
        <v/>
      </c>
      <c r="BG263" s="42" t="str">
        <f t="shared" si="73"/>
        <v/>
      </c>
      <c r="BH263" s="17" t="str">
        <f t="shared" si="74"/>
        <v/>
      </c>
      <c r="BT263" s="39"/>
    </row>
    <row r="264" spans="2:72">
      <c r="B264" s="5">
        <v>46283</v>
      </c>
      <c r="C264" s="23">
        <f>IF([1]CHAMNORD!H265=0,"",[1]CHAMNORD!H265)</f>
        <v>15965.95</v>
      </c>
      <c r="D264" s="22" t="str">
        <f t="shared" si="65"/>
        <v/>
      </c>
      <c r="E264" s="23" t="str">
        <f>IF([2]CHAMNORD!H266=0,"",[2]CHAMNORD!H266)</f>
        <v/>
      </c>
      <c r="F264" s="17" t="str">
        <f t="shared" si="69"/>
        <v/>
      </c>
      <c r="R264" s="39"/>
      <c r="T264" s="5">
        <v>46283</v>
      </c>
      <c r="U264" s="23">
        <f>IF([1]CHAMNORD!I265=0,"",[1]CHAMNORD!I265)</f>
        <v>15770.03</v>
      </c>
      <c r="V264" s="22" t="str">
        <f t="shared" si="66"/>
        <v/>
      </c>
      <c r="W264" s="23" t="str">
        <f>IF([2]CHAMNORD!I266=0,"",[2]CHAMNORD!I266)</f>
        <v/>
      </c>
      <c r="X264" s="17" t="str">
        <f t="shared" si="70"/>
        <v/>
      </c>
      <c r="AJ264" s="39"/>
      <c r="AL264" s="5">
        <v>46283</v>
      </c>
      <c r="AM264" s="23">
        <f>IF([1]CHAMNORD!J265=0,"",[1]CHAMNORD!J265)</f>
        <v>981</v>
      </c>
      <c r="AN264" s="22" t="str">
        <f t="shared" si="67"/>
        <v/>
      </c>
      <c r="AO264" s="23" t="str">
        <f>IF([2]CHAMNORD!J266=0,"",[2]CHAMNORD!J266)</f>
        <v/>
      </c>
      <c r="AP264" s="17" t="str">
        <f t="shared" si="71"/>
        <v/>
      </c>
      <c r="BB264" s="39"/>
      <c r="BD264" s="5">
        <v>46283</v>
      </c>
      <c r="BE264" s="42">
        <f t="shared" si="72"/>
        <v>16.275178389398572</v>
      </c>
      <c r="BF264" s="72" t="str">
        <f t="shared" si="68"/>
        <v/>
      </c>
      <c r="BG264" s="42" t="str">
        <f t="shared" si="73"/>
        <v/>
      </c>
      <c r="BH264" s="17" t="str">
        <f t="shared" si="74"/>
        <v/>
      </c>
      <c r="BT264" s="39"/>
    </row>
    <row r="265" spans="2:72">
      <c r="B265" s="5">
        <v>46284</v>
      </c>
      <c r="C265" s="23">
        <f>IF([1]CHAMNORD!H266=0,"",[1]CHAMNORD!H266)</f>
        <v>21284.79</v>
      </c>
      <c r="D265" s="22" t="str">
        <f t="shared" si="65"/>
        <v/>
      </c>
      <c r="E265" s="23" t="str">
        <f>IF([2]CHAMNORD!H267=0,"",[2]CHAMNORD!H267)</f>
        <v/>
      </c>
      <c r="F265" s="17" t="str">
        <f t="shared" si="69"/>
        <v/>
      </c>
      <c r="R265" s="39"/>
      <c r="T265" s="5">
        <v>46284</v>
      </c>
      <c r="U265" s="23">
        <f>IF([1]CHAMNORD!I266=0,"",[1]CHAMNORD!I266)</f>
        <v>21060.240000000002</v>
      </c>
      <c r="V265" s="22" t="str">
        <f t="shared" si="66"/>
        <v/>
      </c>
      <c r="W265" s="23" t="str">
        <f>IF([2]CHAMNORD!I267=0,"",[2]CHAMNORD!I267)</f>
        <v/>
      </c>
      <c r="X265" s="17" t="str">
        <f t="shared" si="70"/>
        <v/>
      </c>
      <c r="AJ265" s="39"/>
      <c r="AL265" s="5">
        <v>46284</v>
      </c>
      <c r="AM265" s="23">
        <f>IF([1]CHAMNORD!J266=0,"",[1]CHAMNORD!J266)</f>
        <v>1188</v>
      </c>
      <c r="AN265" s="22" t="str">
        <f t="shared" si="67"/>
        <v/>
      </c>
      <c r="AO265" s="23" t="str">
        <f>IF([2]CHAMNORD!J267=0,"",[2]CHAMNORD!J267)</f>
        <v/>
      </c>
      <c r="AP265" s="17" t="str">
        <f t="shared" si="71"/>
        <v/>
      </c>
      <c r="BB265" s="39"/>
      <c r="BD265" s="5">
        <v>46284</v>
      </c>
      <c r="BE265" s="42">
        <f t="shared" si="72"/>
        <v>17.916489898989898</v>
      </c>
      <c r="BF265" s="72" t="str">
        <f t="shared" si="68"/>
        <v/>
      </c>
      <c r="BG265" s="42" t="str">
        <f t="shared" si="73"/>
        <v/>
      </c>
      <c r="BH265" s="17" t="str">
        <f t="shared" si="74"/>
        <v/>
      </c>
      <c r="BT265" s="39"/>
    </row>
    <row r="266" spans="2:72">
      <c r="B266" s="5">
        <v>46285</v>
      </c>
      <c r="C266" s="23">
        <f>IF([1]CHAMNORD!H267=0,"",[1]CHAMNORD!H267)</f>
        <v>21492.95</v>
      </c>
      <c r="D266" s="22" t="str">
        <f t="shared" si="65"/>
        <v/>
      </c>
      <c r="E266" s="24" t="str">
        <f>IF([2]CHAMNORD!H268=0,"",[2]CHAMNORD!H268)</f>
        <v/>
      </c>
      <c r="F266" s="17" t="str">
        <f t="shared" si="69"/>
        <v/>
      </c>
      <c r="R266" s="39"/>
      <c r="T266" s="5">
        <v>46285</v>
      </c>
      <c r="U266" s="23">
        <f>IF([1]CHAMNORD!I267=0,"",[1]CHAMNORD!I267)</f>
        <v>21158.1</v>
      </c>
      <c r="V266" s="22" t="str">
        <f t="shared" si="66"/>
        <v/>
      </c>
      <c r="W266" s="24" t="str">
        <f>IF([2]CHAMNORD!I268=0,"",[2]CHAMNORD!I268)</f>
        <v/>
      </c>
      <c r="X266" s="17" t="str">
        <f t="shared" si="70"/>
        <v/>
      </c>
      <c r="AJ266" s="39"/>
      <c r="AL266" s="5">
        <v>46285</v>
      </c>
      <c r="AM266" s="23">
        <f>IF([1]CHAMNORD!J267=0,"",[1]CHAMNORD!J267)</f>
        <v>1137</v>
      </c>
      <c r="AN266" s="22" t="str">
        <f t="shared" si="67"/>
        <v/>
      </c>
      <c r="AO266" s="24" t="str">
        <f>IF([2]CHAMNORD!J268=0,"",[2]CHAMNORD!J268)</f>
        <v/>
      </c>
      <c r="AP266" s="17" t="str">
        <f t="shared" si="71"/>
        <v/>
      </c>
      <c r="BB266" s="39"/>
      <c r="BD266" s="5">
        <v>46285</v>
      </c>
      <c r="BE266" s="42">
        <f t="shared" si="72"/>
        <v>18.903210202286719</v>
      </c>
      <c r="BF266" s="72" t="str">
        <f t="shared" si="68"/>
        <v/>
      </c>
      <c r="BG266" s="43" t="str">
        <f t="shared" si="73"/>
        <v/>
      </c>
      <c r="BH266" s="17" t="str">
        <f t="shared" si="74"/>
        <v/>
      </c>
      <c r="BT266" s="39"/>
    </row>
    <row r="267" spans="2:72">
      <c r="B267" s="5">
        <v>46286</v>
      </c>
      <c r="C267" s="24">
        <f>IF([1]CHAMNORD!H268=0,"",[1]CHAMNORD!H268)</f>
        <v>21958.560000000001</v>
      </c>
      <c r="D267" s="22" t="str">
        <f t="shared" si="65"/>
        <v/>
      </c>
      <c r="E267" s="21" t="str">
        <f>IF([2]CHAMNORD!H269=0,"",[2]CHAMNORD!H269)</f>
        <v/>
      </c>
      <c r="F267" s="17" t="str">
        <f t="shared" si="69"/>
        <v/>
      </c>
      <c r="R267" s="39"/>
      <c r="T267" s="5">
        <v>46286</v>
      </c>
      <c r="U267" s="24">
        <f>IF([1]CHAMNORD!I268=0,"",[1]CHAMNORD!I268)</f>
        <v>21655.57</v>
      </c>
      <c r="V267" s="22" t="str">
        <f t="shared" si="66"/>
        <v/>
      </c>
      <c r="W267" s="21" t="str">
        <f>IF([2]CHAMNORD!I269=0,"",[2]CHAMNORD!I269)</f>
        <v/>
      </c>
      <c r="X267" s="17" t="str">
        <f t="shared" si="70"/>
        <v/>
      </c>
      <c r="AJ267" s="39"/>
      <c r="AL267" s="5">
        <v>46286</v>
      </c>
      <c r="AM267" s="24">
        <f>IF([1]CHAMNORD!J268=0,"",[1]CHAMNORD!J268)</f>
        <v>1033</v>
      </c>
      <c r="AN267" s="22" t="str">
        <f t="shared" si="67"/>
        <v/>
      </c>
      <c r="AO267" s="21" t="str">
        <f>IF([2]CHAMNORD!J269=0,"",[2]CHAMNORD!J269)</f>
        <v/>
      </c>
      <c r="AP267" s="17" t="str">
        <f t="shared" si="71"/>
        <v/>
      </c>
      <c r="BB267" s="39"/>
      <c r="BD267" s="5">
        <v>46286</v>
      </c>
      <c r="BE267" s="43">
        <f t="shared" si="72"/>
        <v>21.257076476282673</v>
      </c>
      <c r="BF267" s="72" t="str">
        <f t="shared" si="68"/>
        <v/>
      </c>
      <c r="BG267" s="41" t="str">
        <f t="shared" si="73"/>
        <v/>
      </c>
      <c r="BH267" s="17" t="str">
        <f t="shared" si="74"/>
        <v/>
      </c>
      <c r="BT267" s="39"/>
    </row>
    <row r="268" spans="2:72">
      <c r="B268" s="5">
        <v>46287</v>
      </c>
      <c r="C268" s="21">
        <f>IF([1]CHAMNORD!H269=0,"",[1]CHAMNORD!H269)</f>
        <v>12522.22</v>
      </c>
      <c r="D268" s="22" t="str">
        <f t="shared" si="65"/>
        <v/>
      </c>
      <c r="E268" s="23" t="str">
        <f>IF([2]CHAMNORD!H270=0,"",[2]CHAMNORD!H270)</f>
        <v/>
      </c>
      <c r="F268" s="17" t="str">
        <f t="shared" si="69"/>
        <v/>
      </c>
      <c r="R268" s="39"/>
      <c r="T268" s="5">
        <v>46287</v>
      </c>
      <c r="U268" s="21">
        <f>IF([1]CHAMNORD!I269=0,"",[1]CHAMNORD!I269)</f>
        <v>12393.23</v>
      </c>
      <c r="V268" s="22" t="str">
        <f t="shared" si="66"/>
        <v/>
      </c>
      <c r="W268" s="23" t="str">
        <f>IF([2]CHAMNORD!I270=0,"",[2]CHAMNORD!I270)</f>
        <v/>
      </c>
      <c r="X268" s="17" t="str">
        <f t="shared" si="70"/>
        <v/>
      </c>
      <c r="AJ268" s="39"/>
      <c r="AL268" s="5">
        <v>46287</v>
      </c>
      <c r="AM268" s="21">
        <f>IF([1]CHAMNORD!J269=0,"",[1]CHAMNORD!J269)</f>
        <v>798</v>
      </c>
      <c r="AN268" s="22" t="str">
        <f t="shared" si="67"/>
        <v/>
      </c>
      <c r="AO268" s="23" t="str">
        <f>IF([2]CHAMNORD!J270=0,"",[2]CHAMNORD!J270)</f>
        <v/>
      </c>
      <c r="AP268" s="17" t="str">
        <f t="shared" si="71"/>
        <v/>
      </c>
      <c r="BB268" s="39"/>
      <c r="BD268" s="5">
        <v>46287</v>
      </c>
      <c r="BE268" s="41">
        <f t="shared" si="72"/>
        <v>15.692005012531327</v>
      </c>
      <c r="BF268" s="72" t="str">
        <f t="shared" si="68"/>
        <v/>
      </c>
      <c r="BG268" s="42" t="str">
        <f t="shared" si="73"/>
        <v/>
      </c>
      <c r="BH268" s="17" t="str">
        <f t="shared" si="74"/>
        <v/>
      </c>
      <c r="BT268" s="39"/>
    </row>
    <row r="269" spans="2:72">
      <c r="B269" s="5">
        <v>46288</v>
      </c>
      <c r="C269" s="23">
        <f>IF([1]CHAMNORD!H270=0,"",[1]CHAMNORD!H270)</f>
        <v>13268.33</v>
      </c>
      <c r="D269" s="22" t="str">
        <f t="shared" si="65"/>
        <v/>
      </c>
      <c r="E269" s="23" t="str">
        <f>IF([2]CHAMNORD!H271=0,"",[2]CHAMNORD!H271)</f>
        <v/>
      </c>
      <c r="F269" s="17" t="str">
        <f t="shared" si="69"/>
        <v/>
      </c>
      <c r="R269" s="39"/>
      <c r="T269" s="5">
        <v>46288</v>
      </c>
      <c r="U269" s="23">
        <f>IF([1]CHAMNORD!I270=0,"",[1]CHAMNORD!I270)</f>
        <v>13054.31</v>
      </c>
      <c r="V269" s="22" t="str">
        <f t="shared" si="66"/>
        <v/>
      </c>
      <c r="W269" s="23" t="str">
        <f>IF([2]CHAMNORD!I271=0,"",[2]CHAMNORD!I271)</f>
        <v/>
      </c>
      <c r="X269" s="17" t="str">
        <f t="shared" si="70"/>
        <v/>
      </c>
      <c r="AJ269" s="39"/>
      <c r="AL269" s="5">
        <v>46288</v>
      </c>
      <c r="AM269" s="23">
        <f>IF([1]CHAMNORD!J270=0,"",[1]CHAMNORD!J270)</f>
        <v>833</v>
      </c>
      <c r="AN269" s="22" t="str">
        <f t="shared" si="67"/>
        <v/>
      </c>
      <c r="AO269" s="23" t="str">
        <f>IF([2]CHAMNORD!J271=0,"",[2]CHAMNORD!J271)</f>
        <v/>
      </c>
      <c r="AP269" s="17" t="str">
        <f t="shared" si="71"/>
        <v/>
      </c>
      <c r="BB269" s="39"/>
      <c r="BD269" s="5">
        <v>46288</v>
      </c>
      <c r="BE269" s="42">
        <f t="shared" si="72"/>
        <v>15.928367346938776</v>
      </c>
      <c r="BF269" s="72" t="str">
        <f t="shared" si="68"/>
        <v/>
      </c>
      <c r="BG269" s="42" t="str">
        <f t="shared" si="73"/>
        <v/>
      </c>
      <c r="BH269" s="17" t="str">
        <f t="shared" si="74"/>
        <v/>
      </c>
      <c r="BT269" s="39"/>
    </row>
    <row r="270" spans="2:72">
      <c r="B270" s="5">
        <v>46289</v>
      </c>
      <c r="C270" s="23">
        <f>IF([1]CHAMNORD!H271=0,"",[1]CHAMNORD!H271)</f>
        <v>18314.98</v>
      </c>
      <c r="D270" s="22" t="str">
        <f t="shared" si="65"/>
        <v/>
      </c>
      <c r="E270" s="23" t="str">
        <f>IF([2]CHAMNORD!H272=0,"",[2]CHAMNORD!H272)</f>
        <v/>
      </c>
      <c r="F270" s="17" t="str">
        <f t="shared" si="69"/>
        <v/>
      </c>
      <c r="R270" s="39"/>
      <c r="T270" s="5">
        <v>46289</v>
      </c>
      <c r="U270" s="23">
        <f>IF([1]CHAMNORD!I271=0,"",[1]CHAMNORD!I271)</f>
        <v>17988.57</v>
      </c>
      <c r="V270" s="22" t="str">
        <f t="shared" si="66"/>
        <v/>
      </c>
      <c r="W270" s="23" t="str">
        <f>IF([2]CHAMNORD!I272=0,"",[2]CHAMNORD!I272)</f>
        <v/>
      </c>
      <c r="X270" s="17" t="str">
        <f t="shared" si="70"/>
        <v/>
      </c>
      <c r="AJ270" s="39"/>
      <c r="AL270" s="5">
        <v>46289</v>
      </c>
      <c r="AM270" s="23">
        <f>IF([1]CHAMNORD!J271=0,"",[1]CHAMNORD!J271)</f>
        <v>1058</v>
      </c>
      <c r="AN270" s="22" t="str">
        <f t="shared" si="67"/>
        <v/>
      </c>
      <c r="AO270" s="23" t="str">
        <f>IF([2]CHAMNORD!J272=0,"",[2]CHAMNORD!J272)</f>
        <v/>
      </c>
      <c r="AP270" s="17" t="str">
        <f t="shared" si="71"/>
        <v/>
      </c>
      <c r="BB270" s="39"/>
      <c r="BD270" s="5">
        <v>46289</v>
      </c>
      <c r="BE270" s="42">
        <f t="shared" si="72"/>
        <v>17.31094517958412</v>
      </c>
      <c r="BF270" s="72" t="str">
        <f t="shared" si="68"/>
        <v/>
      </c>
      <c r="BG270" s="42" t="str">
        <f t="shared" si="73"/>
        <v/>
      </c>
      <c r="BH270" s="17" t="str">
        <f t="shared" si="74"/>
        <v/>
      </c>
      <c r="BT270" s="39"/>
    </row>
    <row r="271" spans="2:72">
      <c r="B271" s="5">
        <v>46290</v>
      </c>
      <c r="C271" s="23">
        <f>IF([1]CHAMNORD!H272=0,"",[1]CHAMNORD!H272)</f>
        <v>15263.76</v>
      </c>
      <c r="D271" s="22" t="str">
        <f t="shared" si="65"/>
        <v/>
      </c>
      <c r="E271" s="23" t="str">
        <f>IF([2]CHAMNORD!H273=0,"",[2]CHAMNORD!H273)</f>
        <v/>
      </c>
      <c r="F271" s="17" t="str">
        <f t="shared" si="69"/>
        <v/>
      </c>
      <c r="R271" s="39"/>
      <c r="T271" s="5">
        <v>46290</v>
      </c>
      <c r="U271" s="23">
        <f>IF([1]CHAMNORD!I272=0,"",[1]CHAMNORD!I272)</f>
        <v>14979.03</v>
      </c>
      <c r="V271" s="22" t="str">
        <f t="shared" si="66"/>
        <v/>
      </c>
      <c r="W271" s="23" t="str">
        <f>IF([2]CHAMNORD!I273=0,"",[2]CHAMNORD!I273)</f>
        <v/>
      </c>
      <c r="X271" s="17" t="str">
        <f t="shared" si="70"/>
        <v/>
      </c>
      <c r="AJ271" s="39"/>
      <c r="AL271" s="5">
        <v>46290</v>
      </c>
      <c r="AM271" s="23">
        <f>IF([1]CHAMNORD!J272=0,"",[1]CHAMNORD!J272)</f>
        <v>942</v>
      </c>
      <c r="AN271" s="22" t="str">
        <f t="shared" si="67"/>
        <v/>
      </c>
      <c r="AO271" s="23" t="str">
        <f>IF([2]CHAMNORD!J273=0,"",[2]CHAMNORD!J273)</f>
        <v/>
      </c>
      <c r="AP271" s="17" t="str">
        <f t="shared" si="71"/>
        <v/>
      </c>
      <c r="BB271" s="39"/>
      <c r="BD271" s="5">
        <v>46290</v>
      </c>
      <c r="BE271" s="42">
        <f t="shared" si="72"/>
        <v>16.20356687898089</v>
      </c>
      <c r="BF271" s="72" t="str">
        <f t="shared" si="68"/>
        <v/>
      </c>
      <c r="BG271" s="42" t="str">
        <f t="shared" si="73"/>
        <v/>
      </c>
      <c r="BH271" s="17" t="str">
        <f t="shared" si="74"/>
        <v/>
      </c>
      <c r="BT271" s="39"/>
    </row>
    <row r="272" spans="2:72">
      <c r="B272" s="5">
        <v>46291</v>
      </c>
      <c r="C272" s="23">
        <f>IF([1]CHAMNORD!H273=0,"",[1]CHAMNORD!H273)</f>
        <v>22727.49</v>
      </c>
      <c r="D272" s="22" t="str">
        <f t="shared" si="65"/>
        <v/>
      </c>
      <c r="E272" s="23" t="str">
        <f>IF([2]CHAMNORD!H274=0,"",[2]CHAMNORD!H274)</f>
        <v/>
      </c>
      <c r="F272" s="17" t="str">
        <f t="shared" si="69"/>
        <v/>
      </c>
      <c r="R272" s="39"/>
      <c r="T272" s="5">
        <v>46291</v>
      </c>
      <c r="U272" s="23">
        <f>IF([1]CHAMNORD!I273=0,"",[1]CHAMNORD!I273)</f>
        <v>22324.38</v>
      </c>
      <c r="V272" s="22" t="str">
        <f t="shared" si="66"/>
        <v/>
      </c>
      <c r="W272" s="23" t="str">
        <f>IF([2]CHAMNORD!I274=0,"",[2]CHAMNORD!I274)</f>
        <v/>
      </c>
      <c r="X272" s="17" t="str">
        <f t="shared" si="70"/>
        <v/>
      </c>
      <c r="AJ272" s="39"/>
      <c r="AL272" s="5">
        <v>46291</v>
      </c>
      <c r="AM272" s="23">
        <f>IF([1]CHAMNORD!J273=0,"",[1]CHAMNORD!J273)</f>
        <v>1217</v>
      </c>
      <c r="AN272" s="22" t="str">
        <f t="shared" si="67"/>
        <v/>
      </c>
      <c r="AO272" s="23" t="str">
        <f>IF([2]CHAMNORD!J274=0,"",[2]CHAMNORD!J274)</f>
        <v/>
      </c>
      <c r="AP272" s="17" t="str">
        <f t="shared" si="71"/>
        <v/>
      </c>
      <c r="BB272" s="39"/>
      <c r="BD272" s="5">
        <v>46291</v>
      </c>
      <c r="BE272" s="42">
        <f t="shared" si="72"/>
        <v>18.675012325390306</v>
      </c>
      <c r="BF272" s="72" t="str">
        <f t="shared" si="68"/>
        <v/>
      </c>
      <c r="BG272" s="42" t="str">
        <f t="shared" si="73"/>
        <v/>
      </c>
      <c r="BH272" s="17" t="str">
        <f t="shared" si="74"/>
        <v/>
      </c>
      <c r="BT272" s="39"/>
    </row>
    <row r="273" spans="2:72">
      <c r="B273" s="5">
        <v>46292</v>
      </c>
      <c r="C273" s="23">
        <f>IF([1]CHAMNORD!H274=0,"",[1]CHAMNORD!H274)</f>
        <v>23463.49</v>
      </c>
      <c r="D273" s="22" t="str">
        <f t="shared" si="65"/>
        <v/>
      </c>
      <c r="E273" s="24" t="str">
        <f>IF([2]CHAMNORD!H275=0,"",[2]CHAMNORD!H275)</f>
        <v/>
      </c>
      <c r="F273" s="17" t="str">
        <f t="shared" si="69"/>
        <v/>
      </c>
      <c r="R273" s="39"/>
      <c r="T273" s="5">
        <v>46292</v>
      </c>
      <c r="U273" s="23">
        <f>IF([1]CHAMNORD!I274=0,"",[1]CHAMNORD!I274)</f>
        <v>22953.43</v>
      </c>
      <c r="V273" s="22" t="str">
        <f t="shared" si="66"/>
        <v/>
      </c>
      <c r="W273" s="24" t="str">
        <f>IF([2]CHAMNORD!I275=0,"",[2]CHAMNORD!I275)</f>
        <v/>
      </c>
      <c r="X273" s="17" t="str">
        <f t="shared" si="70"/>
        <v/>
      </c>
      <c r="AJ273" s="39"/>
      <c r="AL273" s="5">
        <v>46292</v>
      </c>
      <c r="AM273" s="23">
        <f>IF([1]CHAMNORD!J274=0,"",[1]CHAMNORD!J274)</f>
        <v>1254</v>
      </c>
      <c r="AN273" s="22" t="str">
        <f t="shared" si="67"/>
        <v/>
      </c>
      <c r="AO273" s="24" t="str">
        <f>IF([2]CHAMNORD!J275=0,"",[2]CHAMNORD!J275)</f>
        <v/>
      </c>
      <c r="AP273" s="17" t="str">
        <f t="shared" si="71"/>
        <v/>
      </c>
      <c r="BB273" s="39"/>
      <c r="BD273" s="5">
        <v>46292</v>
      </c>
      <c r="BE273" s="42">
        <f t="shared" si="72"/>
        <v>18.710917065390753</v>
      </c>
      <c r="BF273" s="72" t="str">
        <f t="shared" si="68"/>
        <v/>
      </c>
      <c r="BG273" s="43" t="str">
        <f t="shared" si="73"/>
        <v/>
      </c>
      <c r="BH273" s="17" t="str">
        <f t="shared" si="74"/>
        <v/>
      </c>
      <c r="BT273" s="39"/>
    </row>
    <row r="274" spans="2:72">
      <c r="B274" s="5">
        <v>46293</v>
      </c>
      <c r="C274" s="24">
        <f>IF([1]CHAMNORD!H275=0,"",[1]CHAMNORD!H275)</f>
        <v>23519.18</v>
      </c>
      <c r="D274" s="22" t="str">
        <f t="shared" si="65"/>
        <v/>
      </c>
      <c r="E274" s="21" t="str">
        <f>IF([2]CHAMNORD!H276=0,"",[2]CHAMNORD!H276)</f>
        <v/>
      </c>
      <c r="F274" s="17" t="str">
        <f t="shared" si="69"/>
        <v/>
      </c>
      <c r="R274" s="39"/>
      <c r="T274" s="5">
        <v>46293</v>
      </c>
      <c r="U274" s="24">
        <f>IF([1]CHAMNORD!I275=0,"",[1]CHAMNORD!I275)</f>
        <v>23062</v>
      </c>
      <c r="V274" s="22" t="str">
        <f t="shared" si="66"/>
        <v/>
      </c>
      <c r="W274" s="21" t="str">
        <f>IF([2]CHAMNORD!I276=0,"",[2]CHAMNORD!I276)</f>
        <v/>
      </c>
      <c r="X274" s="17" t="str">
        <f t="shared" si="70"/>
        <v/>
      </c>
      <c r="AJ274" s="39"/>
      <c r="AL274" s="5">
        <v>46293</v>
      </c>
      <c r="AM274" s="24">
        <f>IF([1]CHAMNORD!J275=0,"",[1]CHAMNORD!J275)</f>
        <v>1102</v>
      </c>
      <c r="AN274" s="22" t="str">
        <f t="shared" si="67"/>
        <v/>
      </c>
      <c r="AO274" s="21" t="str">
        <f>IF([2]CHAMNORD!J276=0,"",[2]CHAMNORD!J276)</f>
        <v/>
      </c>
      <c r="AP274" s="17" t="str">
        <f t="shared" si="71"/>
        <v/>
      </c>
      <c r="BB274" s="39"/>
      <c r="BD274" s="5">
        <v>46293</v>
      </c>
      <c r="BE274" s="43">
        <f t="shared" si="72"/>
        <v>21.342268602540834</v>
      </c>
      <c r="BF274" s="72" t="str">
        <f t="shared" si="68"/>
        <v/>
      </c>
      <c r="BG274" s="41" t="str">
        <f t="shared" si="73"/>
        <v/>
      </c>
      <c r="BH274" s="17" t="str">
        <f t="shared" si="74"/>
        <v/>
      </c>
      <c r="BT274" s="39"/>
    </row>
    <row r="275" spans="2:72">
      <c r="B275" s="5">
        <v>46294</v>
      </c>
      <c r="C275" s="21">
        <f>IF([1]CHAMNORD!H276=0,"",[1]CHAMNORD!H276)</f>
        <v>13497.17</v>
      </c>
      <c r="D275" s="22" t="str">
        <f t="shared" si="65"/>
        <v/>
      </c>
      <c r="E275" s="23" t="str">
        <f>IF([2]CHAMNORD!H277=0,"",[2]CHAMNORD!H277)</f>
        <v/>
      </c>
      <c r="F275" s="17" t="str">
        <f t="shared" si="69"/>
        <v/>
      </c>
      <c r="R275" s="39"/>
      <c r="T275" s="5">
        <v>46294</v>
      </c>
      <c r="U275" s="21">
        <f>IF([1]CHAMNORD!I276=0,"",[1]CHAMNORD!I276)</f>
        <v>13224.74</v>
      </c>
      <c r="V275" s="22" t="str">
        <f t="shared" si="66"/>
        <v/>
      </c>
      <c r="W275" s="23" t="str">
        <f>IF([2]CHAMNORD!I277=0,"",[2]CHAMNORD!I277)</f>
        <v/>
      </c>
      <c r="X275" s="17" t="str">
        <f t="shared" si="70"/>
        <v/>
      </c>
      <c r="AJ275" s="39"/>
      <c r="AL275" s="5">
        <v>46294</v>
      </c>
      <c r="AM275" s="21">
        <f>IF([1]CHAMNORD!J276=0,"",[1]CHAMNORD!J276)</f>
        <v>843</v>
      </c>
      <c r="AN275" s="22" t="str">
        <f t="shared" si="67"/>
        <v/>
      </c>
      <c r="AO275" s="23" t="str">
        <f>IF([2]CHAMNORD!J277=0,"",[2]CHAMNORD!J277)</f>
        <v/>
      </c>
      <c r="AP275" s="17" t="str">
        <f t="shared" si="71"/>
        <v/>
      </c>
      <c r="BB275" s="39"/>
      <c r="BD275" s="5">
        <v>46294</v>
      </c>
      <c r="BE275" s="41">
        <f t="shared" si="72"/>
        <v>16.010877817319098</v>
      </c>
      <c r="BF275" s="72" t="str">
        <f t="shared" si="68"/>
        <v/>
      </c>
      <c r="BG275" s="42" t="str">
        <f t="shared" si="73"/>
        <v/>
      </c>
      <c r="BH275" s="17" t="str">
        <f t="shared" si="74"/>
        <v/>
      </c>
      <c r="BT275" s="39"/>
    </row>
    <row r="276" spans="2:72">
      <c r="B276" s="5">
        <v>46295</v>
      </c>
      <c r="C276" s="23">
        <f>IF([1]CHAMNORD!H277=0,"",[1]CHAMNORD!H277)</f>
        <v>13503.54</v>
      </c>
      <c r="D276" s="22" t="str">
        <f t="shared" si="65"/>
        <v/>
      </c>
      <c r="E276" s="23" t="str">
        <f>IF([2]CHAMNORD!H278=0,"",[2]CHAMNORD!H278)</f>
        <v/>
      </c>
      <c r="F276" s="17" t="str">
        <f t="shared" si="69"/>
        <v/>
      </c>
      <c r="R276" s="39"/>
      <c r="T276" s="5">
        <v>46295</v>
      </c>
      <c r="U276" s="23">
        <f>IF([1]CHAMNORD!I277=0,"",[1]CHAMNORD!I277)</f>
        <v>13278.36</v>
      </c>
      <c r="V276" s="22" t="str">
        <f t="shared" si="66"/>
        <v/>
      </c>
      <c r="W276" s="23" t="str">
        <f>IF([2]CHAMNORD!I278=0,"",[2]CHAMNORD!I278)</f>
        <v/>
      </c>
      <c r="X276" s="17" t="str">
        <f t="shared" si="70"/>
        <v/>
      </c>
      <c r="AJ276" s="39"/>
      <c r="AL276" s="5">
        <v>46295</v>
      </c>
      <c r="AM276" s="23">
        <f>IF([1]CHAMNORD!J277=0,"",[1]CHAMNORD!J277)</f>
        <v>816</v>
      </c>
      <c r="AN276" s="22" t="str">
        <f t="shared" si="67"/>
        <v/>
      </c>
      <c r="AO276" s="23" t="str">
        <f>IF([2]CHAMNORD!J278=0,"",[2]CHAMNORD!J278)</f>
        <v/>
      </c>
      <c r="AP276" s="17" t="str">
        <f t="shared" si="71"/>
        <v/>
      </c>
      <c r="BB276" s="39"/>
      <c r="BD276" s="5">
        <v>46295</v>
      </c>
      <c r="BE276" s="42">
        <f t="shared" si="72"/>
        <v>16.548455882352943</v>
      </c>
      <c r="BF276" s="72" t="str">
        <f t="shared" si="68"/>
        <v/>
      </c>
      <c r="BG276" s="42" t="str">
        <f t="shared" si="73"/>
        <v/>
      </c>
      <c r="BH276" s="17" t="str">
        <f t="shared" si="74"/>
        <v/>
      </c>
      <c r="BT276" s="39"/>
    </row>
    <row r="277" spans="2:72">
      <c r="B277" s="5">
        <v>46296</v>
      </c>
      <c r="C277" s="23">
        <f>IF([1]CHAMNORD!H278=0,"",[1]CHAMNORD!H278)</f>
        <v>17507.490000000002</v>
      </c>
      <c r="D277" s="22" t="str">
        <f t="shared" si="65"/>
        <v/>
      </c>
      <c r="E277" s="23" t="str">
        <f>IF([2]CHAMNORD!H279=0,"",[2]CHAMNORD!H279)</f>
        <v/>
      </c>
      <c r="F277" s="17" t="str">
        <f t="shared" si="69"/>
        <v/>
      </c>
      <c r="R277" s="39"/>
      <c r="T277" s="5">
        <v>46296</v>
      </c>
      <c r="U277" s="23">
        <f>IF([1]CHAMNORD!I278=0,"",[1]CHAMNORD!I278)</f>
        <v>17152.650000000001</v>
      </c>
      <c r="V277" s="22" t="str">
        <f t="shared" si="66"/>
        <v/>
      </c>
      <c r="W277" s="23" t="str">
        <f>IF([2]CHAMNORD!I279=0,"",[2]CHAMNORD!I279)</f>
        <v/>
      </c>
      <c r="X277" s="17" t="str">
        <f t="shared" si="70"/>
        <v/>
      </c>
      <c r="AJ277" s="39"/>
      <c r="AL277" s="5">
        <v>46296</v>
      </c>
      <c r="AM277" s="23">
        <f>IF([1]CHAMNORD!J278=0,"",[1]CHAMNORD!J278)</f>
        <v>1009</v>
      </c>
      <c r="AN277" s="22" t="str">
        <f t="shared" si="67"/>
        <v/>
      </c>
      <c r="AO277" s="23" t="str">
        <f>IF([2]CHAMNORD!J279=0,"",[2]CHAMNORD!J279)</f>
        <v/>
      </c>
      <c r="AP277" s="17" t="str">
        <f t="shared" si="71"/>
        <v/>
      </c>
      <c r="BB277" s="39"/>
      <c r="BD277" s="5">
        <v>46296</v>
      </c>
      <c r="BE277" s="42">
        <f t="shared" si="72"/>
        <v>17.351328047571855</v>
      </c>
      <c r="BF277" s="72" t="str">
        <f t="shared" si="68"/>
        <v/>
      </c>
      <c r="BG277" s="42" t="str">
        <f t="shared" si="73"/>
        <v/>
      </c>
      <c r="BH277" s="17" t="str">
        <f t="shared" si="74"/>
        <v/>
      </c>
      <c r="BT277" s="39"/>
    </row>
    <row r="278" spans="2:72">
      <c r="B278" s="5">
        <v>46297</v>
      </c>
      <c r="C278" s="23">
        <f>IF([1]CHAMNORD!H279=0,"",[1]CHAMNORD!H279)</f>
        <v>16756.04</v>
      </c>
      <c r="D278" s="22" t="str">
        <f t="shared" si="65"/>
        <v/>
      </c>
      <c r="E278" s="23" t="str">
        <f>IF([2]CHAMNORD!H280=0,"",[2]CHAMNORD!H280)</f>
        <v/>
      </c>
      <c r="F278" s="17" t="str">
        <f t="shared" si="69"/>
        <v/>
      </c>
      <c r="R278" s="39"/>
      <c r="T278" s="5">
        <v>46297</v>
      </c>
      <c r="U278" s="23">
        <f>IF([1]CHAMNORD!I279=0,"",[1]CHAMNORD!I279)</f>
        <v>16444.5</v>
      </c>
      <c r="V278" s="22" t="str">
        <f t="shared" si="66"/>
        <v/>
      </c>
      <c r="W278" s="23" t="str">
        <f>IF([2]CHAMNORD!I280=0,"",[2]CHAMNORD!I280)</f>
        <v/>
      </c>
      <c r="X278" s="17" t="str">
        <f t="shared" si="70"/>
        <v/>
      </c>
      <c r="AJ278" s="39"/>
      <c r="AL278" s="5">
        <v>46297</v>
      </c>
      <c r="AM278" s="23">
        <f>IF([1]CHAMNORD!J279=0,"",[1]CHAMNORD!J279)</f>
        <v>1004</v>
      </c>
      <c r="AN278" s="22" t="str">
        <f t="shared" si="67"/>
        <v/>
      </c>
      <c r="AO278" s="23" t="str">
        <f>IF([2]CHAMNORD!J280=0,"",[2]CHAMNORD!J280)</f>
        <v/>
      </c>
      <c r="AP278" s="17" t="str">
        <f t="shared" si="71"/>
        <v/>
      </c>
      <c r="BB278" s="39"/>
      <c r="BD278" s="5">
        <v>46297</v>
      </c>
      <c r="BE278" s="42">
        <f t="shared" si="72"/>
        <v>16.689282868525897</v>
      </c>
      <c r="BF278" s="72" t="str">
        <f t="shared" si="68"/>
        <v/>
      </c>
      <c r="BG278" s="42" t="str">
        <f t="shared" si="73"/>
        <v/>
      </c>
      <c r="BH278" s="17" t="str">
        <f t="shared" si="74"/>
        <v/>
      </c>
      <c r="BT278" s="39"/>
    </row>
    <row r="279" spans="2:72">
      <c r="B279" s="5">
        <v>46298</v>
      </c>
      <c r="C279" s="23">
        <f>IF([1]CHAMNORD!H280=0,"",[1]CHAMNORD!H280)</f>
        <v>22638.65</v>
      </c>
      <c r="D279" s="22" t="str">
        <f t="shared" si="65"/>
        <v/>
      </c>
      <c r="E279" s="23" t="str">
        <f>IF([2]CHAMNORD!H281=0,"",[2]CHAMNORD!H281)</f>
        <v/>
      </c>
      <c r="F279" s="17" t="str">
        <f t="shared" si="69"/>
        <v/>
      </c>
      <c r="R279" s="39"/>
      <c r="T279" s="5">
        <v>46298</v>
      </c>
      <c r="U279" s="23">
        <f>IF([1]CHAMNORD!I280=0,"",[1]CHAMNORD!I280)</f>
        <v>22218.82</v>
      </c>
      <c r="V279" s="22" t="str">
        <f t="shared" si="66"/>
        <v/>
      </c>
      <c r="W279" s="23" t="str">
        <f>IF([2]CHAMNORD!I281=0,"",[2]CHAMNORD!I281)</f>
        <v/>
      </c>
      <c r="X279" s="17" t="str">
        <f t="shared" si="70"/>
        <v/>
      </c>
      <c r="AJ279" s="39"/>
      <c r="AL279" s="5">
        <v>46298</v>
      </c>
      <c r="AM279" s="23">
        <f>IF([1]CHAMNORD!J280=0,"",[1]CHAMNORD!J280)</f>
        <v>1353</v>
      </c>
      <c r="AN279" s="22" t="str">
        <f t="shared" si="67"/>
        <v/>
      </c>
      <c r="AO279" s="23" t="str">
        <f>IF([2]CHAMNORD!J281=0,"",[2]CHAMNORD!J281)</f>
        <v/>
      </c>
      <c r="AP279" s="17" t="str">
        <f t="shared" si="71"/>
        <v/>
      </c>
      <c r="BB279" s="39"/>
      <c r="BD279" s="5">
        <v>46298</v>
      </c>
      <c r="BE279" s="42">
        <f t="shared" si="72"/>
        <v>16.732187730968221</v>
      </c>
      <c r="BF279" s="72" t="str">
        <f t="shared" si="68"/>
        <v/>
      </c>
      <c r="BG279" s="42" t="str">
        <f t="shared" si="73"/>
        <v/>
      </c>
      <c r="BH279" s="17" t="str">
        <f t="shared" si="74"/>
        <v/>
      </c>
      <c r="BT279" s="39"/>
    </row>
    <row r="280" spans="2:72">
      <c r="B280" s="5">
        <v>46299</v>
      </c>
      <c r="C280" s="23">
        <f>IF([1]CHAMNORD!H281=0,"",[1]CHAMNORD!H281)</f>
        <v>22008.04</v>
      </c>
      <c r="D280" s="22" t="str">
        <f t="shared" si="65"/>
        <v/>
      </c>
      <c r="E280" s="24" t="str">
        <f>IF([2]CHAMNORD!H282=0,"",[2]CHAMNORD!H282)</f>
        <v/>
      </c>
      <c r="F280" s="17" t="str">
        <f t="shared" si="69"/>
        <v/>
      </c>
      <c r="R280" s="39"/>
      <c r="T280" s="5">
        <v>46299</v>
      </c>
      <c r="U280" s="23">
        <f>IF([1]CHAMNORD!I281=0,"",[1]CHAMNORD!I281)</f>
        <v>21571.77</v>
      </c>
      <c r="V280" s="22" t="str">
        <f t="shared" si="66"/>
        <v/>
      </c>
      <c r="W280" s="24" t="str">
        <f>IF([2]CHAMNORD!I282=0,"",[2]CHAMNORD!I282)</f>
        <v/>
      </c>
      <c r="X280" s="17" t="str">
        <f t="shared" si="70"/>
        <v/>
      </c>
      <c r="AJ280" s="39"/>
      <c r="AL280" s="5">
        <v>46299</v>
      </c>
      <c r="AM280" s="23">
        <f>IF([1]CHAMNORD!J281=0,"",[1]CHAMNORD!J281)</f>
        <v>1124</v>
      </c>
      <c r="AN280" s="22" t="str">
        <f t="shared" si="67"/>
        <v/>
      </c>
      <c r="AO280" s="24" t="str">
        <f>IF([2]CHAMNORD!J282=0,"",[2]CHAMNORD!J282)</f>
        <v/>
      </c>
      <c r="AP280" s="17" t="str">
        <f t="shared" si="71"/>
        <v/>
      </c>
      <c r="BB280" s="39"/>
      <c r="BD280" s="5">
        <v>46299</v>
      </c>
      <c r="BE280" s="42">
        <f t="shared" si="72"/>
        <v>19.580106761565837</v>
      </c>
      <c r="BF280" s="72" t="str">
        <f t="shared" si="68"/>
        <v/>
      </c>
      <c r="BG280" s="43" t="str">
        <f t="shared" si="73"/>
        <v/>
      </c>
      <c r="BH280" s="17" t="str">
        <f t="shared" si="74"/>
        <v/>
      </c>
      <c r="BT280" s="39"/>
    </row>
    <row r="281" spans="2:72">
      <c r="B281" s="5">
        <v>46300</v>
      </c>
      <c r="C281" s="24">
        <f>IF([1]CHAMNORD!H282=0,"",[1]CHAMNORD!H282)</f>
        <v>22514.94</v>
      </c>
      <c r="D281" s="22" t="str">
        <f t="shared" si="65"/>
        <v/>
      </c>
      <c r="E281" s="21" t="str">
        <f>IF([2]CHAMNORD!H283=0,"",[2]CHAMNORD!H283)</f>
        <v/>
      </c>
      <c r="F281" s="17" t="str">
        <f t="shared" si="69"/>
        <v/>
      </c>
      <c r="R281" s="39"/>
      <c r="T281" s="5">
        <v>46300</v>
      </c>
      <c r="U281" s="24">
        <f>IF([1]CHAMNORD!I282=0,"",[1]CHAMNORD!I282)</f>
        <v>22127.48</v>
      </c>
      <c r="V281" s="22" t="str">
        <f t="shared" si="66"/>
        <v/>
      </c>
      <c r="W281" s="21" t="str">
        <f>IF([2]CHAMNORD!I283=0,"",[2]CHAMNORD!I283)</f>
        <v/>
      </c>
      <c r="X281" s="17" t="str">
        <f t="shared" si="70"/>
        <v/>
      </c>
      <c r="AJ281" s="39"/>
      <c r="AL281" s="5">
        <v>46300</v>
      </c>
      <c r="AM281" s="24">
        <f>IF([1]CHAMNORD!J282=0,"",[1]CHAMNORD!J282)</f>
        <v>1098</v>
      </c>
      <c r="AN281" s="22" t="str">
        <f t="shared" si="67"/>
        <v/>
      </c>
      <c r="AO281" s="21" t="str">
        <f>IF([2]CHAMNORD!J283=0,"",[2]CHAMNORD!J283)</f>
        <v/>
      </c>
      <c r="AP281" s="17" t="str">
        <f t="shared" si="71"/>
        <v/>
      </c>
      <c r="BB281" s="39"/>
      <c r="BD281" s="5">
        <v>46300</v>
      </c>
      <c r="BE281" s="43">
        <f t="shared" si="72"/>
        <v>20.505409836065574</v>
      </c>
      <c r="BF281" s="72" t="str">
        <f t="shared" si="68"/>
        <v/>
      </c>
      <c r="BG281" s="41" t="str">
        <f t="shared" si="73"/>
        <v/>
      </c>
      <c r="BH281" s="17" t="str">
        <f t="shared" si="74"/>
        <v/>
      </c>
      <c r="BT281" s="39"/>
    </row>
    <row r="282" spans="2:72">
      <c r="B282" s="5">
        <v>46301</v>
      </c>
      <c r="C282" s="21">
        <f>IF([1]CHAMNORD!H283=0,"",[1]CHAMNORD!H283)</f>
        <v>16551.46</v>
      </c>
      <c r="D282" s="22" t="str">
        <f t="shared" si="65"/>
        <v/>
      </c>
      <c r="E282" s="23" t="str">
        <f>IF([2]CHAMNORD!H284=0,"",[2]CHAMNORD!H284)</f>
        <v/>
      </c>
      <c r="F282" s="17" t="str">
        <f t="shared" si="69"/>
        <v/>
      </c>
      <c r="R282" s="39"/>
      <c r="T282" s="5">
        <v>46301</v>
      </c>
      <c r="U282" s="21">
        <f>IF([1]CHAMNORD!I283=0,"",[1]CHAMNORD!I283)</f>
        <v>16370.12</v>
      </c>
      <c r="V282" s="22" t="str">
        <f t="shared" si="66"/>
        <v/>
      </c>
      <c r="W282" s="23" t="str">
        <f>IF([2]CHAMNORD!I284=0,"",[2]CHAMNORD!I284)</f>
        <v/>
      </c>
      <c r="X282" s="17" t="str">
        <f t="shared" si="70"/>
        <v/>
      </c>
      <c r="AJ282" s="39"/>
      <c r="AL282" s="5">
        <v>46301</v>
      </c>
      <c r="AM282" s="21">
        <f>IF([1]CHAMNORD!J283=0,"",[1]CHAMNORD!J283)</f>
        <v>977</v>
      </c>
      <c r="AN282" s="22" t="str">
        <f t="shared" si="67"/>
        <v/>
      </c>
      <c r="AO282" s="23" t="str">
        <f>IF([2]CHAMNORD!J284=0,"",[2]CHAMNORD!J284)</f>
        <v/>
      </c>
      <c r="AP282" s="17" t="str">
        <f t="shared" si="71"/>
        <v/>
      </c>
      <c r="BB282" s="39"/>
      <c r="BD282" s="5">
        <v>46301</v>
      </c>
      <c r="BE282" s="41">
        <f t="shared" si="72"/>
        <v>16.941105424769702</v>
      </c>
      <c r="BF282" s="72" t="str">
        <f t="shared" si="68"/>
        <v/>
      </c>
      <c r="BG282" s="42" t="str">
        <f t="shared" si="73"/>
        <v/>
      </c>
      <c r="BH282" s="17" t="str">
        <f t="shared" si="74"/>
        <v/>
      </c>
      <c r="BT282" s="39"/>
    </row>
    <row r="283" spans="2:72">
      <c r="B283" s="5">
        <v>46302</v>
      </c>
      <c r="C283" s="23">
        <f>IF([1]CHAMNORD!H284=0,"",[1]CHAMNORD!H284)</f>
        <v>15566.07</v>
      </c>
      <c r="D283" s="22" t="str">
        <f t="shared" si="65"/>
        <v/>
      </c>
      <c r="E283" s="23" t="str">
        <f>IF([2]CHAMNORD!H285=0,"",[2]CHAMNORD!H285)</f>
        <v/>
      </c>
      <c r="F283" s="17" t="str">
        <f t="shared" si="69"/>
        <v/>
      </c>
      <c r="R283" s="39"/>
      <c r="T283" s="5">
        <v>46302</v>
      </c>
      <c r="U283" s="23">
        <f>IF([1]CHAMNORD!I284=0,"",[1]CHAMNORD!I284)</f>
        <v>15414.83</v>
      </c>
      <c r="V283" s="22" t="str">
        <f t="shared" si="66"/>
        <v/>
      </c>
      <c r="W283" s="23" t="str">
        <f>IF([2]CHAMNORD!I285=0,"",[2]CHAMNORD!I285)</f>
        <v/>
      </c>
      <c r="X283" s="17" t="str">
        <f t="shared" si="70"/>
        <v/>
      </c>
      <c r="AJ283" s="39"/>
      <c r="AL283" s="5">
        <v>46302</v>
      </c>
      <c r="AM283" s="23">
        <f>IF([1]CHAMNORD!J284=0,"",[1]CHAMNORD!J284)</f>
        <v>963</v>
      </c>
      <c r="AN283" s="22" t="str">
        <f t="shared" si="67"/>
        <v/>
      </c>
      <c r="AO283" s="23" t="str">
        <f>IF([2]CHAMNORD!J285=0,"",[2]CHAMNORD!J285)</f>
        <v/>
      </c>
      <c r="AP283" s="17" t="str">
        <f t="shared" si="71"/>
        <v/>
      </c>
      <c r="BB283" s="39"/>
      <c r="BD283" s="5">
        <v>46302</v>
      </c>
      <c r="BE283" s="42">
        <f t="shared" si="72"/>
        <v>16.164143302180683</v>
      </c>
      <c r="BF283" s="72" t="str">
        <f t="shared" si="68"/>
        <v/>
      </c>
      <c r="BG283" s="42" t="str">
        <f t="shared" si="73"/>
        <v/>
      </c>
      <c r="BH283" s="17" t="str">
        <f t="shared" si="74"/>
        <v/>
      </c>
      <c r="BT283" s="39"/>
    </row>
    <row r="284" spans="2:72">
      <c r="B284" s="5">
        <v>46303</v>
      </c>
      <c r="C284" s="23">
        <f>IF([1]CHAMNORD!H285=0,"",[1]CHAMNORD!H285)</f>
        <v>17862.330000000002</v>
      </c>
      <c r="D284" s="22" t="str">
        <f t="shared" si="65"/>
        <v/>
      </c>
      <c r="E284" s="23" t="str">
        <f>IF([2]CHAMNORD!H286=0,"",[2]CHAMNORD!H286)</f>
        <v/>
      </c>
      <c r="F284" s="17" t="str">
        <f t="shared" si="69"/>
        <v/>
      </c>
      <c r="R284" s="39"/>
      <c r="T284" s="5">
        <v>46303</v>
      </c>
      <c r="U284" s="23">
        <f>IF([1]CHAMNORD!I285=0,"",[1]CHAMNORD!I285)</f>
        <v>17571.490000000002</v>
      </c>
      <c r="V284" s="22" t="str">
        <f t="shared" si="66"/>
        <v/>
      </c>
      <c r="W284" s="23" t="str">
        <f>IF([2]CHAMNORD!I286=0,"",[2]CHAMNORD!I286)</f>
        <v/>
      </c>
      <c r="X284" s="17" t="str">
        <f t="shared" si="70"/>
        <v/>
      </c>
      <c r="AJ284" s="39"/>
      <c r="AL284" s="5">
        <v>46303</v>
      </c>
      <c r="AM284" s="23">
        <f>IF([1]CHAMNORD!J285=0,"",[1]CHAMNORD!J285)</f>
        <v>967</v>
      </c>
      <c r="AN284" s="22" t="str">
        <f t="shared" si="67"/>
        <v/>
      </c>
      <c r="AO284" s="23" t="str">
        <f>IF([2]CHAMNORD!J286=0,"",[2]CHAMNORD!J286)</f>
        <v/>
      </c>
      <c r="AP284" s="17" t="str">
        <f t="shared" si="71"/>
        <v/>
      </c>
      <c r="BB284" s="39"/>
      <c r="BD284" s="5">
        <v>46303</v>
      </c>
      <c r="BE284" s="42">
        <f t="shared" si="72"/>
        <v>18.471902792140643</v>
      </c>
      <c r="BF284" s="72" t="str">
        <f t="shared" si="68"/>
        <v/>
      </c>
      <c r="BG284" s="42" t="str">
        <f t="shared" si="73"/>
        <v/>
      </c>
      <c r="BH284" s="17" t="str">
        <f t="shared" si="74"/>
        <v/>
      </c>
      <c r="BT284" s="39"/>
    </row>
    <row r="285" spans="2:72">
      <c r="B285" s="5">
        <v>46304</v>
      </c>
      <c r="C285" s="23">
        <f>IF([1]CHAMNORD!H286=0,"",[1]CHAMNORD!H286)</f>
        <v>17245.61</v>
      </c>
      <c r="D285" s="22" t="str">
        <f t="shared" si="65"/>
        <v/>
      </c>
      <c r="E285" s="23" t="str">
        <f>IF([2]CHAMNORD!H287=0,"",[2]CHAMNORD!H287)</f>
        <v/>
      </c>
      <c r="F285" s="17" t="str">
        <f t="shared" si="69"/>
        <v/>
      </c>
      <c r="R285" s="39"/>
      <c r="T285" s="5">
        <v>46304</v>
      </c>
      <c r="U285" s="23">
        <f>IF([1]CHAMNORD!I286=0,"",[1]CHAMNORD!I286)</f>
        <v>16991.939999999999</v>
      </c>
      <c r="V285" s="22" t="str">
        <f t="shared" si="66"/>
        <v/>
      </c>
      <c r="W285" s="23" t="str">
        <f>IF([2]CHAMNORD!I287=0,"",[2]CHAMNORD!I287)</f>
        <v/>
      </c>
      <c r="X285" s="17" t="str">
        <f t="shared" si="70"/>
        <v/>
      </c>
      <c r="AJ285" s="39"/>
      <c r="AL285" s="5">
        <v>46304</v>
      </c>
      <c r="AM285" s="23">
        <f>IF([1]CHAMNORD!J286=0,"",[1]CHAMNORD!J286)</f>
        <v>1004</v>
      </c>
      <c r="AN285" s="22" t="str">
        <f t="shared" si="67"/>
        <v/>
      </c>
      <c r="AO285" s="23" t="str">
        <f>IF([2]CHAMNORD!J287=0,"",[2]CHAMNORD!J287)</f>
        <v/>
      </c>
      <c r="AP285" s="17" t="str">
        <f t="shared" si="71"/>
        <v/>
      </c>
      <c r="BB285" s="39"/>
      <c r="BD285" s="5">
        <v>46304</v>
      </c>
      <c r="BE285" s="42">
        <f t="shared" si="72"/>
        <v>17.176902390438247</v>
      </c>
      <c r="BF285" s="72" t="str">
        <f t="shared" si="68"/>
        <v/>
      </c>
      <c r="BG285" s="42" t="str">
        <f t="shared" si="73"/>
        <v/>
      </c>
      <c r="BH285" s="17" t="str">
        <f t="shared" si="74"/>
        <v/>
      </c>
      <c r="BT285" s="39"/>
    </row>
    <row r="286" spans="2:72">
      <c r="B286" s="5">
        <v>46305</v>
      </c>
      <c r="C286" s="23">
        <f>IF([1]CHAMNORD!H287=0,"",[1]CHAMNORD!H287)</f>
        <v>26243.81</v>
      </c>
      <c r="D286" s="22" t="str">
        <f t="shared" si="65"/>
        <v/>
      </c>
      <c r="E286" s="23" t="str">
        <f>IF([2]CHAMNORD!H288=0,"",[2]CHAMNORD!H288)</f>
        <v/>
      </c>
      <c r="F286" s="17" t="str">
        <f t="shared" si="69"/>
        <v/>
      </c>
      <c r="R286" s="39"/>
      <c r="T286" s="5">
        <v>46305</v>
      </c>
      <c r="U286" s="23">
        <f>IF([1]CHAMNORD!I287=0,"",[1]CHAMNORD!I287)</f>
        <v>25919.07</v>
      </c>
      <c r="V286" s="22" t="str">
        <f t="shared" si="66"/>
        <v/>
      </c>
      <c r="W286" s="23" t="str">
        <f>IF([2]CHAMNORD!I288=0,"",[2]CHAMNORD!I288)</f>
        <v/>
      </c>
      <c r="X286" s="17" t="str">
        <f t="shared" si="70"/>
        <v/>
      </c>
      <c r="AJ286" s="39"/>
      <c r="AL286" s="5">
        <v>46305</v>
      </c>
      <c r="AM286" s="23">
        <f>IF([1]CHAMNORD!J287=0,"",[1]CHAMNORD!J287)</f>
        <v>1340</v>
      </c>
      <c r="AN286" s="22" t="str">
        <f t="shared" si="67"/>
        <v/>
      </c>
      <c r="AO286" s="23" t="str">
        <f>IF([2]CHAMNORD!J288=0,"",[2]CHAMNORD!J288)</f>
        <v/>
      </c>
      <c r="AP286" s="17" t="str">
        <f t="shared" si="71"/>
        <v/>
      </c>
      <c r="BB286" s="39"/>
      <c r="BD286" s="5">
        <v>46305</v>
      </c>
      <c r="BE286" s="42">
        <f t="shared" si="72"/>
        <v>19.584932835820897</v>
      </c>
      <c r="BF286" s="72" t="str">
        <f t="shared" si="68"/>
        <v/>
      </c>
      <c r="BG286" s="42" t="str">
        <f t="shared" si="73"/>
        <v/>
      </c>
      <c r="BH286" s="17" t="str">
        <f t="shared" si="74"/>
        <v/>
      </c>
      <c r="BT286" s="39"/>
    </row>
    <row r="287" spans="2:72">
      <c r="B287" s="5">
        <v>46306</v>
      </c>
      <c r="C287" s="23">
        <f>IF([1]CHAMNORD!H288=0,"",[1]CHAMNORD!H288)</f>
        <v>26391.62</v>
      </c>
      <c r="D287" s="22" t="str">
        <f t="shared" si="65"/>
        <v/>
      </c>
      <c r="E287" s="24" t="str">
        <f>IF([2]CHAMNORD!H289=0,"",[2]CHAMNORD!H289)</f>
        <v/>
      </c>
      <c r="F287" s="17" t="str">
        <f t="shared" si="69"/>
        <v/>
      </c>
      <c r="R287" s="39"/>
      <c r="T287" s="5">
        <v>46306</v>
      </c>
      <c r="U287" s="23">
        <f>IF([1]CHAMNORD!I288=0,"",[1]CHAMNORD!I288)</f>
        <v>26037.56</v>
      </c>
      <c r="V287" s="22" t="str">
        <f t="shared" si="66"/>
        <v/>
      </c>
      <c r="W287" s="24" t="str">
        <f>IF([2]CHAMNORD!I289=0,"",[2]CHAMNORD!I289)</f>
        <v/>
      </c>
      <c r="X287" s="17" t="str">
        <f t="shared" si="70"/>
        <v/>
      </c>
      <c r="AJ287" s="39"/>
      <c r="AL287" s="5">
        <v>46306</v>
      </c>
      <c r="AM287" s="23">
        <f>IF([1]CHAMNORD!J288=0,"",[1]CHAMNORD!J288)</f>
        <v>1343</v>
      </c>
      <c r="AN287" s="22" t="str">
        <f t="shared" si="67"/>
        <v/>
      </c>
      <c r="AO287" s="24" t="str">
        <f>IF([2]CHAMNORD!J289=0,"",[2]CHAMNORD!J289)</f>
        <v/>
      </c>
      <c r="AP287" s="17" t="str">
        <f t="shared" si="71"/>
        <v/>
      </c>
      <c r="BB287" s="39"/>
      <c r="BD287" s="5">
        <v>46306</v>
      </c>
      <c r="BE287" s="42">
        <f t="shared" si="72"/>
        <v>19.651243484735666</v>
      </c>
      <c r="BF287" s="72" t="str">
        <f t="shared" si="68"/>
        <v/>
      </c>
      <c r="BG287" s="43" t="str">
        <f t="shared" si="73"/>
        <v/>
      </c>
      <c r="BH287" s="17" t="str">
        <f t="shared" si="74"/>
        <v/>
      </c>
      <c r="BT287" s="39"/>
    </row>
    <row r="288" spans="2:72">
      <c r="B288" s="5">
        <v>46307</v>
      </c>
      <c r="C288" s="24">
        <f>IF([1]CHAMNORD!H289=0,"",[1]CHAMNORD!H289)</f>
        <v>25158.52</v>
      </c>
      <c r="D288" s="22" t="str">
        <f t="shared" si="65"/>
        <v/>
      </c>
      <c r="E288" s="21" t="str">
        <f>IF([2]CHAMNORD!H290=0,"",[2]CHAMNORD!H290)</f>
        <v/>
      </c>
      <c r="F288" s="17" t="str">
        <f t="shared" si="69"/>
        <v/>
      </c>
      <c r="R288" s="39"/>
      <c r="T288" s="5">
        <v>46307</v>
      </c>
      <c r="U288" s="24">
        <f>IF([1]CHAMNORD!I289=0,"",[1]CHAMNORD!I289)</f>
        <v>24776.67</v>
      </c>
      <c r="V288" s="22" t="str">
        <f t="shared" si="66"/>
        <v/>
      </c>
      <c r="W288" s="21" t="str">
        <f>IF([2]CHAMNORD!I290=0,"",[2]CHAMNORD!I290)</f>
        <v/>
      </c>
      <c r="X288" s="17" t="str">
        <f t="shared" si="70"/>
        <v/>
      </c>
      <c r="AJ288" s="39"/>
      <c r="AL288" s="5">
        <v>46307</v>
      </c>
      <c r="AM288" s="24">
        <f>IF([1]CHAMNORD!J289=0,"",[1]CHAMNORD!J289)</f>
        <v>1169</v>
      </c>
      <c r="AN288" s="22" t="str">
        <f t="shared" si="67"/>
        <v/>
      </c>
      <c r="AO288" s="21" t="str">
        <f>IF([2]CHAMNORD!J290=0,"",[2]CHAMNORD!J290)</f>
        <v/>
      </c>
      <c r="AP288" s="17" t="str">
        <f t="shared" si="71"/>
        <v/>
      </c>
      <c r="BB288" s="39"/>
      <c r="BD288" s="5">
        <v>46307</v>
      </c>
      <c r="BE288" s="43">
        <f t="shared" si="72"/>
        <v>21.521402908468776</v>
      </c>
      <c r="BF288" s="72" t="str">
        <f t="shared" si="68"/>
        <v/>
      </c>
      <c r="BG288" s="41" t="str">
        <f t="shared" si="73"/>
        <v/>
      </c>
      <c r="BH288" s="17" t="str">
        <f t="shared" si="74"/>
        <v/>
      </c>
      <c r="BT288" s="39"/>
    </row>
    <row r="289" spans="2:72">
      <c r="B289" s="5">
        <v>46308</v>
      </c>
      <c r="C289" s="21">
        <f>IF([1]CHAMNORD!H290=0,"",[1]CHAMNORD!H290)</f>
        <v>14180.68</v>
      </c>
      <c r="D289" s="22" t="str">
        <f t="shared" si="65"/>
        <v/>
      </c>
      <c r="E289" s="23" t="str">
        <f>IF([2]CHAMNORD!H291=0,"",[2]CHAMNORD!H291)</f>
        <v/>
      </c>
      <c r="F289" s="17" t="str">
        <f t="shared" si="69"/>
        <v/>
      </c>
      <c r="R289" s="39"/>
      <c r="T289" s="5">
        <v>46308</v>
      </c>
      <c r="U289" s="21">
        <f>IF([1]CHAMNORD!I290=0,"",[1]CHAMNORD!I290)</f>
        <v>14030.93</v>
      </c>
      <c r="V289" s="22" t="str">
        <f t="shared" si="66"/>
        <v/>
      </c>
      <c r="W289" s="23" t="str">
        <f>IF([2]CHAMNORD!I291=0,"",[2]CHAMNORD!I291)</f>
        <v/>
      </c>
      <c r="X289" s="17" t="str">
        <f t="shared" si="70"/>
        <v/>
      </c>
      <c r="AJ289" s="39"/>
      <c r="AL289" s="5">
        <v>46308</v>
      </c>
      <c r="AM289" s="21">
        <f>IF([1]CHAMNORD!J290=0,"",[1]CHAMNORD!J290)</f>
        <v>828</v>
      </c>
      <c r="AN289" s="22" t="str">
        <f t="shared" si="67"/>
        <v/>
      </c>
      <c r="AO289" s="23" t="str">
        <f>IF([2]CHAMNORD!J291=0,"",[2]CHAMNORD!J291)</f>
        <v/>
      </c>
      <c r="AP289" s="17" t="str">
        <f t="shared" si="71"/>
        <v/>
      </c>
      <c r="BB289" s="39"/>
      <c r="BD289" s="5">
        <v>46308</v>
      </c>
      <c r="BE289" s="41">
        <f t="shared" si="72"/>
        <v>17.126425120772947</v>
      </c>
      <c r="BF289" s="72" t="str">
        <f t="shared" si="68"/>
        <v/>
      </c>
      <c r="BG289" s="42" t="str">
        <f t="shared" si="73"/>
        <v/>
      </c>
      <c r="BH289" s="17" t="str">
        <f t="shared" si="74"/>
        <v/>
      </c>
      <c r="BT289" s="39"/>
    </row>
    <row r="290" spans="2:72">
      <c r="B290" s="5">
        <v>46309</v>
      </c>
      <c r="C290" s="23">
        <f>IF([1]CHAMNORD!H291=0,"",[1]CHAMNORD!H291)</f>
        <v>15640.97</v>
      </c>
      <c r="D290" s="22" t="str">
        <f t="shared" si="65"/>
        <v/>
      </c>
      <c r="E290" s="23" t="str">
        <f>IF([2]CHAMNORD!H292=0,"",[2]CHAMNORD!H292)</f>
        <v/>
      </c>
      <c r="F290" s="17" t="str">
        <f t="shared" si="69"/>
        <v/>
      </c>
      <c r="R290" s="39"/>
      <c r="T290" s="5">
        <v>46309</v>
      </c>
      <c r="U290" s="23">
        <f>IF([1]CHAMNORD!I291=0,"",[1]CHAMNORD!I291)</f>
        <v>15399.24</v>
      </c>
      <c r="V290" s="22" t="str">
        <f t="shared" si="66"/>
        <v/>
      </c>
      <c r="W290" s="23" t="str">
        <f>IF([2]CHAMNORD!I292=0,"",[2]CHAMNORD!I292)</f>
        <v/>
      </c>
      <c r="X290" s="17" t="str">
        <f t="shared" si="70"/>
        <v/>
      </c>
      <c r="AJ290" s="39"/>
      <c r="AL290" s="5">
        <v>46309</v>
      </c>
      <c r="AM290" s="23">
        <f>IF([1]CHAMNORD!J291=0,"",[1]CHAMNORD!J291)</f>
        <v>921</v>
      </c>
      <c r="AN290" s="22" t="str">
        <f t="shared" si="67"/>
        <v/>
      </c>
      <c r="AO290" s="23" t="str">
        <f>IF([2]CHAMNORD!J292=0,"",[2]CHAMNORD!J292)</f>
        <v/>
      </c>
      <c r="AP290" s="17" t="str">
        <f t="shared" si="71"/>
        <v/>
      </c>
      <c r="BB290" s="39"/>
      <c r="BD290" s="5">
        <v>46309</v>
      </c>
      <c r="BE290" s="42">
        <f t="shared" si="72"/>
        <v>16.98259500542888</v>
      </c>
      <c r="BF290" s="72" t="str">
        <f t="shared" si="68"/>
        <v/>
      </c>
      <c r="BG290" s="42" t="str">
        <f t="shared" si="73"/>
        <v/>
      </c>
      <c r="BH290" s="17" t="str">
        <f t="shared" si="74"/>
        <v/>
      </c>
      <c r="BT290" s="39"/>
    </row>
    <row r="291" spans="2:72">
      <c r="B291" s="5">
        <v>46310</v>
      </c>
      <c r="C291" s="23">
        <f>IF([1]CHAMNORD!H292=0,"",[1]CHAMNORD!H292)</f>
        <v>17662.5</v>
      </c>
      <c r="D291" s="22" t="str">
        <f t="shared" si="65"/>
        <v/>
      </c>
      <c r="E291" s="23" t="str">
        <f>IF([2]CHAMNORD!H293=0,"",[2]CHAMNORD!H293)</f>
        <v/>
      </c>
      <c r="F291" s="17" t="str">
        <f t="shared" si="69"/>
        <v/>
      </c>
      <c r="R291" s="39"/>
      <c r="T291" s="5">
        <v>46310</v>
      </c>
      <c r="U291" s="23">
        <f>IF([1]CHAMNORD!I292=0,"",[1]CHAMNORD!I292)</f>
        <v>17433.82</v>
      </c>
      <c r="V291" s="22" t="str">
        <f t="shared" si="66"/>
        <v/>
      </c>
      <c r="W291" s="23" t="str">
        <f>IF([2]CHAMNORD!I293=0,"",[2]CHAMNORD!I293)</f>
        <v/>
      </c>
      <c r="X291" s="17" t="str">
        <f t="shared" si="70"/>
        <v/>
      </c>
      <c r="AJ291" s="39"/>
      <c r="AL291" s="5">
        <v>46310</v>
      </c>
      <c r="AM291" s="23">
        <f>IF([1]CHAMNORD!J292=0,"",[1]CHAMNORD!J292)</f>
        <v>1059</v>
      </c>
      <c r="AN291" s="22" t="str">
        <f t="shared" si="67"/>
        <v/>
      </c>
      <c r="AO291" s="23" t="str">
        <f>IF([2]CHAMNORD!J293=0,"",[2]CHAMNORD!J293)</f>
        <v/>
      </c>
      <c r="AP291" s="17" t="str">
        <f t="shared" si="71"/>
        <v/>
      </c>
      <c r="BB291" s="39"/>
      <c r="BD291" s="5">
        <v>46310</v>
      </c>
      <c r="BE291" s="42">
        <f t="shared" si="72"/>
        <v>16.678470254957507</v>
      </c>
      <c r="BF291" s="72" t="str">
        <f t="shared" si="68"/>
        <v/>
      </c>
      <c r="BG291" s="42" t="str">
        <f t="shared" si="73"/>
        <v/>
      </c>
      <c r="BH291" s="17" t="str">
        <f t="shared" si="74"/>
        <v/>
      </c>
      <c r="BT291" s="39"/>
    </row>
    <row r="292" spans="2:72">
      <c r="B292" s="5">
        <v>46311</v>
      </c>
      <c r="C292" s="23">
        <f>IF([1]CHAMNORD!H293=0,"",[1]CHAMNORD!H293)</f>
        <v>16380.43</v>
      </c>
      <c r="D292" s="22" t="str">
        <f t="shared" si="65"/>
        <v/>
      </c>
      <c r="E292" s="23" t="str">
        <f>IF([2]CHAMNORD!H294=0,"",[2]CHAMNORD!H294)</f>
        <v/>
      </c>
      <c r="F292" s="17" t="str">
        <f t="shared" si="69"/>
        <v/>
      </c>
      <c r="R292" s="39"/>
      <c r="T292" s="5">
        <v>46311</v>
      </c>
      <c r="U292" s="23">
        <f>IF([1]CHAMNORD!I293=0,"",[1]CHAMNORD!I293)</f>
        <v>16205.27</v>
      </c>
      <c r="V292" s="22" t="str">
        <f t="shared" si="66"/>
        <v/>
      </c>
      <c r="W292" s="23" t="str">
        <f>IF([2]CHAMNORD!I294=0,"",[2]CHAMNORD!I294)</f>
        <v/>
      </c>
      <c r="X292" s="17" t="str">
        <f t="shared" si="70"/>
        <v/>
      </c>
      <c r="AJ292" s="39"/>
      <c r="AL292" s="5">
        <v>46311</v>
      </c>
      <c r="AM292" s="23">
        <f>IF([1]CHAMNORD!J293=0,"",[1]CHAMNORD!J293)</f>
        <v>956</v>
      </c>
      <c r="AN292" s="22" t="str">
        <f t="shared" si="67"/>
        <v/>
      </c>
      <c r="AO292" s="23" t="str">
        <f>IF([2]CHAMNORD!J294=0,"",[2]CHAMNORD!J294)</f>
        <v/>
      </c>
      <c r="AP292" s="17" t="str">
        <f t="shared" si="71"/>
        <v/>
      </c>
      <c r="BB292" s="39"/>
      <c r="BD292" s="5">
        <v>46311</v>
      </c>
      <c r="BE292" s="42">
        <f t="shared" si="72"/>
        <v>17.134341004184101</v>
      </c>
      <c r="BF292" s="72" t="str">
        <f t="shared" si="68"/>
        <v/>
      </c>
      <c r="BG292" s="42" t="str">
        <f t="shared" si="73"/>
        <v/>
      </c>
      <c r="BH292" s="17" t="str">
        <f t="shared" si="74"/>
        <v/>
      </c>
      <c r="BT292" s="39"/>
    </row>
    <row r="293" spans="2:72">
      <c r="B293" s="5">
        <v>46312</v>
      </c>
      <c r="C293" s="23">
        <f>IF([1]CHAMNORD!H294=0,"",[1]CHAMNORD!H294)</f>
        <v>23345.08</v>
      </c>
      <c r="D293" s="22" t="str">
        <f t="shared" si="65"/>
        <v/>
      </c>
      <c r="E293" s="23" t="str">
        <f>IF([2]CHAMNORD!H295=0,"",[2]CHAMNORD!H295)</f>
        <v/>
      </c>
      <c r="F293" s="17" t="str">
        <f t="shared" si="69"/>
        <v/>
      </c>
      <c r="R293" s="39"/>
      <c r="T293" s="5">
        <v>46312</v>
      </c>
      <c r="U293" s="23">
        <f>IF([1]CHAMNORD!I294=0,"",[1]CHAMNORD!I294)</f>
        <v>23128.37</v>
      </c>
      <c r="V293" s="22" t="str">
        <f t="shared" si="66"/>
        <v/>
      </c>
      <c r="W293" s="23" t="str">
        <f>IF([2]CHAMNORD!I295=0,"",[2]CHAMNORD!I295)</f>
        <v/>
      </c>
      <c r="X293" s="17" t="str">
        <f t="shared" si="70"/>
        <v/>
      </c>
      <c r="AJ293" s="39"/>
      <c r="AL293" s="5">
        <v>46312</v>
      </c>
      <c r="AM293" s="23">
        <f>IF([1]CHAMNORD!J294=0,"",[1]CHAMNORD!J294)</f>
        <v>1244</v>
      </c>
      <c r="AN293" s="22" t="str">
        <f t="shared" si="67"/>
        <v/>
      </c>
      <c r="AO293" s="23" t="str">
        <f>IF([2]CHAMNORD!J295=0,"",[2]CHAMNORD!J295)</f>
        <v/>
      </c>
      <c r="AP293" s="17" t="str">
        <f t="shared" si="71"/>
        <v/>
      </c>
      <c r="BB293" s="39"/>
      <c r="BD293" s="5">
        <v>46312</v>
      </c>
      <c r="BE293" s="42">
        <f t="shared" si="72"/>
        <v>18.76614147909968</v>
      </c>
      <c r="BF293" s="72" t="str">
        <f t="shared" si="68"/>
        <v/>
      </c>
      <c r="BG293" s="42" t="str">
        <f t="shared" si="73"/>
        <v/>
      </c>
      <c r="BH293" s="17" t="str">
        <f t="shared" si="74"/>
        <v/>
      </c>
      <c r="BT293" s="39"/>
    </row>
    <row r="294" spans="2:72">
      <c r="B294" s="5">
        <v>46313</v>
      </c>
      <c r="C294" s="23">
        <f>IF([1]CHAMNORD!H295=0,"",[1]CHAMNORD!H295)</f>
        <v>25187.96</v>
      </c>
      <c r="D294" s="22" t="str">
        <f t="shared" si="65"/>
        <v/>
      </c>
      <c r="E294" s="24" t="str">
        <f>IF([2]CHAMNORD!H296=0,"",[2]CHAMNORD!H296)</f>
        <v/>
      </c>
      <c r="F294" s="17" t="str">
        <f t="shared" si="69"/>
        <v/>
      </c>
      <c r="R294" s="39"/>
      <c r="T294" s="5">
        <v>46313</v>
      </c>
      <c r="U294" s="23">
        <f>IF([1]CHAMNORD!I295=0,"",[1]CHAMNORD!I295)</f>
        <v>24874.86</v>
      </c>
      <c r="V294" s="22" t="str">
        <f t="shared" si="66"/>
        <v/>
      </c>
      <c r="W294" s="24" t="str">
        <f>IF([2]CHAMNORD!I296=0,"",[2]CHAMNORD!I296)</f>
        <v/>
      </c>
      <c r="X294" s="17" t="str">
        <f t="shared" si="70"/>
        <v/>
      </c>
      <c r="AJ294" s="39"/>
      <c r="AL294" s="5">
        <v>46313</v>
      </c>
      <c r="AM294" s="23">
        <f>IF([1]CHAMNORD!J295=0,"",[1]CHAMNORD!J295)</f>
        <v>1337</v>
      </c>
      <c r="AN294" s="22" t="str">
        <f t="shared" si="67"/>
        <v/>
      </c>
      <c r="AO294" s="24" t="str">
        <f>IF([2]CHAMNORD!J296=0,"",[2]CHAMNORD!J296)</f>
        <v/>
      </c>
      <c r="AP294" s="17" t="str">
        <f t="shared" si="71"/>
        <v/>
      </c>
      <c r="BB294" s="39"/>
      <c r="BD294" s="5">
        <v>46313</v>
      </c>
      <c r="BE294" s="42">
        <f t="shared" si="72"/>
        <v>18.839162303664921</v>
      </c>
      <c r="BF294" s="72" t="str">
        <f t="shared" si="68"/>
        <v/>
      </c>
      <c r="BG294" s="43" t="str">
        <f t="shared" si="73"/>
        <v/>
      </c>
      <c r="BH294" s="17" t="str">
        <f t="shared" si="74"/>
        <v/>
      </c>
      <c r="BT294" s="39"/>
    </row>
    <row r="295" spans="2:72">
      <c r="B295" s="5">
        <v>46314</v>
      </c>
      <c r="C295" s="24">
        <f>IF([1]CHAMNORD!H296=0,"",[1]CHAMNORD!H296)</f>
        <v>22699.82</v>
      </c>
      <c r="D295" s="22" t="str">
        <f t="shared" si="65"/>
        <v/>
      </c>
      <c r="E295" s="21" t="str">
        <f>IF([2]CHAMNORD!H297=0,"",[2]CHAMNORD!H297)</f>
        <v/>
      </c>
      <c r="F295" s="17" t="str">
        <f t="shared" si="69"/>
        <v/>
      </c>
      <c r="R295" s="39"/>
      <c r="T295" s="5">
        <v>46314</v>
      </c>
      <c r="U295" s="24">
        <f>IF([1]CHAMNORD!I296=0,"",[1]CHAMNORD!I296)</f>
        <v>22370.76</v>
      </c>
      <c r="V295" s="22" t="str">
        <f t="shared" si="66"/>
        <v/>
      </c>
      <c r="W295" s="21" t="str">
        <f>IF([2]CHAMNORD!I297=0,"",[2]CHAMNORD!I297)</f>
        <v/>
      </c>
      <c r="X295" s="17" t="str">
        <f t="shared" si="70"/>
        <v/>
      </c>
      <c r="AJ295" s="39"/>
      <c r="AL295" s="5">
        <v>46314</v>
      </c>
      <c r="AM295" s="24">
        <f>IF([1]CHAMNORD!J296=0,"",[1]CHAMNORD!J296)</f>
        <v>1082</v>
      </c>
      <c r="AN295" s="22" t="str">
        <f t="shared" si="67"/>
        <v/>
      </c>
      <c r="AO295" s="21" t="str">
        <f>IF([2]CHAMNORD!J297=0,"",[2]CHAMNORD!J297)</f>
        <v/>
      </c>
      <c r="AP295" s="17" t="str">
        <f t="shared" si="71"/>
        <v/>
      </c>
      <c r="BB295" s="39"/>
      <c r="BD295" s="5">
        <v>46314</v>
      </c>
      <c r="BE295" s="43">
        <f t="shared" si="72"/>
        <v>20.979500924214417</v>
      </c>
      <c r="BF295" s="72" t="str">
        <f t="shared" si="68"/>
        <v/>
      </c>
      <c r="BG295" s="41" t="str">
        <f t="shared" si="73"/>
        <v/>
      </c>
      <c r="BH295" s="17" t="str">
        <f t="shared" si="74"/>
        <v/>
      </c>
      <c r="BT295" s="39"/>
    </row>
    <row r="296" spans="2:72">
      <c r="B296" s="5">
        <v>46315</v>
      </c>
      <c r="C296" s="21">
        <f>IF([1]CHAMNORD!H297=0,"",[1]CHAMNORD!H297)</f>
        <v>16067.63</v>
      </c>
      <c r="D296" s="22" t="str">
        <f t="shared" si="65"/>
        <v/>
      </c>
      <c r="E296" s="23" t="str">
        <f>IF([2]CHAMNORD!H298=0,"",[2]CHAMNORD!H298)</f>
        <v/>
      </c>
      <c r="F296" s="17" t="str">
        <f t="shared" si="69"/>
        <v/>
      </c>
      <c r="R296" s="39"/>
      <c r="T296" s="5">
        <v>46315</v>
      </c>
      <c r="U296" s="21">
        <f>IF([1]CHAMNORD!I297=0,"",[1]CHAMNORD!I297)</f>
        <v>15895</v>
      </c>
      <c r="V296" s="22" t="str">
        <f t="shared" si="66"/>
        <v/>
      </c>
      <c r="W296" s="23" t="str">
        <f>IF([2]CHAMNORD!I298=0,"",[2]CHAMNORD!I298)</f>
        <v/>
      </c>
      <c r="X296" s="17" t="str">
        <f t="shared" si="70"/>
        <v/>
      </c>
      <c r="AJ296" s="39"/>
      <c r="AL296" s="5">
        <v>46315</v>
      </c>
      <c r="AM296" s="21">
        <f>IF([1]CHAMNORD!J297=0,"",[1]CHAMNORD!J297)</f>
        <v>961</v>
      </c>
      <c r="AN296" s="22" t="str">
        <f t="shared" si="67"/>
        <v/>
      </c>
      <c r="AO296" s="23" t="str">
        <f>IF([2]CHAMNORD!J298=0,"",[2]CHAMNORD!J298)</f>
        <v/>
      </c>
      <c r="AP296" s="17" t="str">
        <f t="shared" si="71"/>
        <v/>
      </c>
      <c r="BB296" s="39"/>
      <c r="BD296" s="5">
        <v>46315</v>
      </c>
      <c r="BE296" s="41">
        <f t="shared" si="72"/>
        <v>16.719698231009364</v>
      </c>
      <c r="BF296" s="72" t="str">
        <f t="shared" si="68"/>
        <v/>
      </c>
      <c r="BG296" s="42" t="str">
        <f t="shared" si="73"/>
        <v/>
      </c>
      <c r="BH296" s="17" t="str">
        <f t="shared" si="74"/>
        <v/>
      </c>
      <c r="BT296" s="39"/>
    </row>
    <row r="297" spans="2:72">
      <c r="B297" s="5">
        <v>46316</v>
      </c>
      <c r="C297" s="23">
        <f>IF([1]CHAMNORD!H298=0,"",[1]CHAMNORD!H298)</f>
        <v>17637.77</v>
      </c>
      <c r="D297" s="22" t="str">
        <f t="shared" si="65"/>
        <v/>
      </c>
      <c r="E297" s="23" t="str">
        <f>IF([2]CHAMNORD!H299=0,"",[2]CHAMNORD!H299)</f>
        <v/>
      </c>
      <c r="F297" s="17" t="str">
        <f t="shared" si="69"/>
        <v/>
      </c>
      <c r="R297" s="39"/>
      <c r="T297" s="5">
        <v>46316</v>
      </c>
      <c r="U297" s="23">
        <f>IF([1]CHAMNORD!I298=0,"",[1]CHAMNORD!I298)</f>
        <v>17324.689999999999</v>
      </c>
      <c r="V297" s="22" t="str">
        <f t="shared" si="66"/>
        <v/>
      </c>
      <c r="W297" s="23" t="str">
        <f>IF([2]CHAMNORD!I299=0,"",[2]CHAMNORD!I299)</f>
        <v/>
      </c>
      <c r="X297" s="17" t="str">
        <f t="shared" si="70"/>
        <v/>
      </c>
      <c r="AJ297" s="39"/>
      <c r="AL297" s="5">
        <v>46316</v>
      </c>
      <c r="AM297" s="23">
        <f>IF([1]CHAMNORD!J298=0,"",[1]CHAMNORD!J298)</f>
        <v>966</v>
      </c>
      <c r="AN297" s="22" t="str">
        <f t="shared" si="67"/>
        <v/>
      </c>
      <c r="AO297" s="23" t="str">
        <f>IF([2]CHAMNORD!J299=0,"",[2]CHAMNORD!J299)</f>
        <v/>
      </c>
      <c r="AP297" s="17" t="str">
        <f t="shared" si="71"/>
        <v/>
      </c>
      <c r="BB297" s="39"/>
      <c r="BD297" s="5">
        <v>46316</v>
      </c>
      <c r="BE297" s="42">
        <f t="shared" si="72"/>
        <v>18.258561076604554</v>
      </c>
      <c r="BF297" s="72" t="str">
        <f t="shared" si="68"/>
        <v/>
      </c>
      <c r="BG297" s="42" t="str">
        <f t="shared" si="73"/>
        <v/>
      </c>
      <c r="BH297" s="17" t="str">
        <f t="shared" si="74"/>
        <v/>
      </c>
      <c r="BT297" s="39"/>
    </row>
    <row r="298" spans="2:72">
      <c r="B298" s="5">
        <v>46317</v>
      </c>
      <c r="C298" s="23">
        <f>IF([1]CHAMNORD!H299=0,"",[1]CHAMNORD!H299)</f>
        <v>18347.259999999998</v>
      </c>
      <c r="D298" s="22" t="str">
        <f t="shared" si="65"/>
        <v/>
      </c>
      <c r="E298" s="23" t="str">
        <f>IF([2]CHAMNORD!H300=0,"",[2]CHAMNORD!H300)</f>
        <v/>
      </c>
      <c r="F298" s="17" t="str">
        <f t="shared" si="69"/>
        <v/>
      </c>
      <c r="R298" s="39"/>
      <c r="T298" s="5">
        <v>46317</v>
      </c>
      <c r="U298" s="23">
        <f>IF([1]CHAMNORD!I299=0,"",[1]CHAMNORD!I299)</f>
        <v>18100.36</v>
      </c>
      <c r="V298" s="22" t="str">
        <f t="shared" si="66"/>
        <v/>
      </c>
      <c r="W298" s="23" t="str">
        <f>IF([2]CHAMNORD!I300=0,"",[2]CHAMNORD!I300)</f>
        <v/>
      </c>
      <c r="X298" s="17" t="str">
        <f t="shared" si="70"/>
        <v/>
      </c>
      <c r="AJ298" s="39"/>
      <c r="AL298" s="5">
        <v>46317</v>
      </c>
      <c r="AM298" s="23">
        <f>IF([1]CHAMNORD!J299=0,"",[1]CHAMNORD!J299)</f>
        <v>1001</v>
      </c>
      <c r="AN298" s="22" t="str">
        <f t="shared" si="67"/>
        <v/>
      </c>
      <c r="AO298" s="23" t="str">
        <f>IF([2]CHAMNORD!J300=0,"",[2]CHAMNORD!J300)</f>
        <v/>
      </c>
      <c r="AP298" s="17" t="str">
        <f t="shared" si="71"/>
        <v/>
      </c>
      <c r="BB298" s="39"/>
      <c r="BD298" s="5">
        <v>46317</v>
      </c>
      <c r="BE298" s="42">
        <f t="shared" si="72"/>
        <v>18.328931068931066</v>
      </c>
      <c r="BF298" s="72" t="str">
        <f t="shared" si="68"/>
        <v/>
      </c>
      <c r="BG298" s="42" t="str">
        <f t="shared" si="73"/>
        <v/>
      </c>
      <c r="BH298" s="17" t="str">
        <f t="shared" si="74"/>
        <v/>
      </c>
      <c r="BT298" s="39"/>
    </row>
    <row r="299" spans="2:72">
      <c r="B299" s="5">
        <v>46318</v>
      </c>
      <c r="C299" s="23">
        <f>IF([1]CHAMNORD!H300=0,"",[1]CHAMNORD!H300)</f>
        <v>20298.18</v>
      </c>
      <c r="D299" s="22" t="str">
        <f t="shared" ref="D299:D362" si="75">IF(E298="","",C299)</f>
        <v/>
      </c>
      <c r="E299" s="23" t="str">
        <f>IF([2]CHAMNORD!H301=0,"",[2]CHAMNORD!H301)</f>
        <v/>
      </c>
      <c r="F299" s="17" t="str">
        <f t="shared" si="69"/>
        <v/>
      </c>
      <c r="R299" s="39"/>
      <c r="T299" s="5">
        <v>46318</v>
      </c>
      <c r="U299" s="23">
        <f>IF([1]CHAMNORD!I300=0,"",[1]CHAMNORD!I300)</f>
        <v>20071.560000000001</v>
      </c>
      <c r="V299" s="22" t="str">
        <f t="shared" ref="V299:V362" si="76">IF(W298="","",U299)</f>
        <v/>
      </c>
      <c r="W299" s="23" t="str">
        <f>IF([2]CHAMNORD!I301=0,"",[2]CHAMNORD!I301)</f>
        <v/>
      </c>
      <c r="X299" s="17" t="str">
        <f t="shared" si="70"/>
        <v/>
      </c>
      <c r="AJ299" s="39"/>
      <c r="AL299" s="5">
        <v>46318</v>
      </c>
      <c r="AM299" s="23">
        <f>IF([1]CHAMNORD!J300=0,"",[1]CHAMNORD!J300)</f>
        <v>1183</v>
      </c>
      <c r="AN299" s="22" t="str">
        <f t="shared" ref="AN299:AN362" si="77">IF(AO298="","",AM299)</f>
        <v/>
      </c>
      <c r="AO299" s="23" t="str">
        <f>IF([2]CHAMNORD!J301=0,"",[2]CHAMNORD!J301)</f>
        <v/>
      </c>
      <c r="AP299" s="17" t="str">
        <f t="shared" si="71"/>
        <v/>
      </c>
      <c r="BB299" s="39"/>
      <c r="BD299" s="5">
        <v>46318</v>
      </c>
      <c r="BE299" s="42">
        <f t="shared" si="72"/>
        <v>17.158224852071005</v>
      </c>
      <c r="BF299" s="72" t="str">
        <f t="shared" ref="BF299:BF362" si="78">IF(BG298="","",BE299)</f>
        <v/>
      </c>
      <c r="BG299" s="42" t="str">
        <f t="shared" si="73"/>
        <v/>
      </c>
      <c r="BH299" s="17" t="str">
        <f t="shared" si="74"/>
        <v/>
      </c>
      <c r="BT299" s="39"/>
    </row>
    <row r="300" spans="2:72">
      <c r="B300" s="5">
        <v>46319</v>
      </c>
      <c r="C300" s="23">
        <f>IF([1]CHAMNORD!H301=0,"",[1]CHAMNORD!H301)</f>
        <v>24264.6</v>
      </c>
      <c r="D300" s="22" t="str">
        <f t="shared" si="75"/>
        <v/>
      </c>
      <c r="E300" s="23" t="str">
        <f>IF([2]CHAMNORD!H302=0,"",[2]CHAMNORD!H302)</f>
        <v/>
      </c>
      <c r="F300" s="17" t="str">
        <f t="shared" si="69"/>
        <v/>
      </c>
      <c r="R300" s="39"/>
      <c r="T300" s="5">
        <v>46319</v>
      </c>
      <c r="U300" s="23">
        <f>IF([1]CHAMNORD!I301=0,"",[1]CHAMNORD!I301)</f>
        <v>23959.63</v>
      </c>
      <c r="V300" s="22" t="str">
        <f t="shared" si="76"/>
        <v/>
      </c>
      <c r="W300" s="23" t="str">
        <f>IF([2]CHAMNORD!I302=0,"",[2]CHAMNORD!I302)</f>
        <v/>
      </c>
      <c r="X300" s="17" t="str">
        <f t="shared" si="70"/>
        <v/>
      </c>
      <c r="AJ300" s="39"/>
      <c r="AL300" s="5">
        <v>46319</v>
      </c>
      <c r="AM300" s="23">
        <f>IF([1]CHAMNORD!J301=0,"",[1]CHAMNORD!J301)</f>
        <v>1269</v>
      </c>
      <c r="AN300" s="22" t="str">
        <f t="shared" si="77"/>
        <v/>
      </c>
      <c r="AO300" s="23" t="str">
        <f>IF([2]CHAMNORD!J302=0,"",[2]CHAMNORD!J302)</f>
        <v/>
      </c>
      <c r="AP300" s="17" t="str">
        <f t="shared" si="71"/>
        <v/>
      </c>
      <c r="BB300" s="39"/>
      <c r="BD300" s="5">
        <v>46319</v>
      </c>
      <c r="BE300" s="42">
        <f t="shared" si="72"/>
        <v>19.121040189125296</v>
      </c>
      <c r="BF300" s="72" t="str">
        <f t="shared" si="78"/>
        <v/>
      </c>
      <c r="BG300" s="42" t="str">
        <f t="shared" si="73"/>
        <v/>
      </c>
      <c r="BH300" s="17" t="str">
        <f t="shared" si="74"/>
        <v/>
      </c>
      <c r="BT300" s="39"/>
    </row>
    <row r="301" spans="2:72">
      <c r="B301" s="5">
        <v>46320</v>
      </c>
      <c r="C301" s="23">
        <f>IF([1]CHAMNORD!H302=0,"",[1]CHAMNORD!H302)</f>
        <v>23581.85</v>
      </c>
      <c r="D301" s="22" t="str">
        <f t="shared" si="75"/>
        <v/>
      </c>
      <c r="E301" s="24" t="str">
        <f>IF([2]CHAMNORD!H303=0,"",[2]CHAMNORD!H303)</f>
        <v/>
      </c>
      <c r="F301" s="17" t="str">
        <f t="shared" si="69"/>
        <v/>
      </c>
      <c r="R301" s="39"/>
      <c r="T301" s="5">
        <v>46320</v>
      </c>
      <c r="U301" s="23">
        <f>IF([1]CHAMNORD!I302=0,"",[1]CHAMNORD!I302)</f>
        <v>23248.99</v>
      </c>
      <c r="V301" s="22" t="str">
        <f t="shared" si="76"/>
        <v/>
      </c>
      <c r="W301" s="24" t="str">
        <f>IF([2]CHAMNORD!I303=0,"",[2]CHAMNORD!I303)</f>
        <v/>
      </c>
      <c r="X301" s="17" t="str">
        <f t="shared" si="70"/>
        <v/>
      </c>
      <c r="AJ301" s="39"/>
      <c r="AL301" s="5">
        <v>46320</v>
      </c>
      <c r="AM301" s="23">
        <f>IF([1]CHAMNORD!J302=0,"",[1]CHAMNORD!J302)</f>
        <v>1217</v>
      </c>
      <c r="AN301" s="22" t="str">
        <f t="shared" si="77"/>
        <v/>
      </c>
      <c r="AO301" s="24" t="str">
        <f>IF([2]CHAMNORD!J303=0,"",[2]CHAMNORD!J303)</f>
        <v/>
      </c>
      <c r="AP301" s="17" t="str">
        <f t="shared" si="71"/>
        <v/>
      </c>
      <c r="BB301" s="39"/>
      <c r="BD301" s="5">
        <v>46320</v>
      </c>
      <c r="BE301" s="42">
        <f t="shared" si="72"/>
        <v>19.377033689400164</v>
      </c>
      <c r="BF301" s="72" t="str">
        <f t="shared" si="78"/>
        <v/>
      </c>
      <c r="BG301" s="43" t="str">
        <f t="shared" si="73"/>
        <v/>
      </c>
      <c r="BH301" s="17" t="str">
        <f t="shared" si="74"/>
        <v/>
      </c>
      <c r="BT301" s="39"/>
    </row>
    <row r="302" spans="2:72">
      <c r="B302" s="5">
        <v>46321</v>
      </c>
      <c r="C302" s="24">
        <f>IF([1]CHAMNORD!H303=0,"",[1]CHAMNORD!H303)</f>
        <v>21191.65</v>
      </c>
      <c r="D302" s="22" t="str">
        <f t="shared" si="75"/>
        <v/>
      </c>
      <c r="E302" s="21" t="str">
        <f>IF([2]CHAMNORD!H304=0,"",[2]CHAMNORD!H304)</f>
        <v/>
      </c>
      <c r="F302" s="17" t="str">
        <f t="shared" si="69"/>
        <v/>
      </c>
      <c r="R302" s="39"/>
      <c r="T302" s="5">
        <v>46321</v>
      </c>
      <c r="U302" s="24">
        <f>IF([1]CHAMNORD!I303=0,"",[1]CHAMNORD!I303)</f>
        <v>20915.38</v>
      </c>
      <c r="V302" s="22" t="str">
        <f t="shared" si="76"/>
        <v/>
      </c>
      <c r="W302" s="21" t="str">
        <f>IF([2]CHAMNORD!I304=0,"",[2]CHAMNORD!I304)</f>
        <v/>
      </c>
      <c r="X302" s="17" t="str">
        <f t="shared" si="70"/>
        <v/>
      </c>
      <c r="AJ302" s="39"/>
      <c r="AL302" s="5">
        <v>46321</v>
      </c>
      <c r="AM302" s="24">
        <f>IF([1]CHAMNORD!J303=0,"",[1]CHAMNORD!J303)</f>
        <v>987</v>
      </c>
      <c r="AN302" s="22" t="str">
        <f t="shared" si="77"/>
        <v/>
      </c>
      <c r="AO302" s="21" t="str">
        <f>IF([2]CHAMNORD!J304=0,"",[2]CHAMNORD!J304)</f>
        <v/>
      </c>
      <c r="AP302" s="17" t="str">
        <f t="shared" si="71"/>
        <v/>
      </c>
      <c r="BB302" s="39"/>
      <c r="BD302" s="5">
        <v>46321</v>
      </c>
      <c r="BE302" s="43">
        <f t="shared" si="72"/>
        <v>21.470770010131712</v>
      </c>
      <c r="BF302" s="72" t="str">
        <f t="shared" si="78"/>
        <v/>
      </c>
      <c r="BG302" s="41" t="str">
        <f t="shared" si="73"/>
        <v/>
      </c>
      <c r="BH302" s="17" t="str">
        <f t="shared" si="74"/>
        <v/>
      </c>
      <c r="BT302" s="39"/>
    </row>
    <row r="303" spans="2:72">
      <c r="B303" s="5">
        <v>46322</v>
      </c>
      <c r="C303" s="21">
        <f>IF([1]CHAMNORD!H304=0,"",[1]CHAMNORD!H304)</f>
        <v>15298.9</v>
      </c>
      <c r="D303" s="22" t="str">
        <f t="shared" si="75"/>
        <v/>
      </c>
      <c r="E303" s="23" t="str">
        <f>IF([2]CHAMNORD!H305=0,"",[2]CHAMNORD!H305)</f>
        <v/>
      </c>
      <c r="F303" s="17" t="str">
        <f t="shared" si="69"/>
        <v/>
      </c>
      <c r="R303" s="39"/>
      <c r="T303" s="5">
        <v>46322</v>
      </c>
      <c r="U303" s="21">
        <f>IF([1]CHAMNORD!I304=0,"",[1]CHAMNORD!I304)</f>
        <v>15093.87</v>
      </c>
      <c r="V303" s="22" t="str">
        <f t="shared" si="76"/>
        <v/>
      </c>
      <c r="W303" s="23" t="str">
        <f>IF([2]CHAMNORD!I305=0,"",[2]CHAMNORD!I305)</f>
        <v/>
      </c>
      <c r="X303" s="17" t="str">
        <f t="shared" si="70"/>
        <v/>
      </c>
      <c r="AJ303" s="39"/>
      <c r="AL303" s="5">
        <v>46322</v>
      </c>
      <c r="AM303" s="21">
        <f>IF([1]CHAMNORD!J304=0,"",[1]CHAMNORD!J304)</f>
        <v>905</v>
      </c>
      <c r="AN303" s="22" t="str">
        <f t="shared" si="77"/>
        <v/>
      </c>
      <c r="AO303" s="23" t="str">
        <f>IF([2]CHAMNORD!J305=0,"",[2]CHAMNORD!J305)</f>
        <v/>
      </c>
      <c r="AP303" s="17" t="str">
        <f t="shared" si="71"/>
        <v/>
      </c>
      <c r="BB303" s="39"/>
      <c r="BD303" s="5">
        <v>46322</v>
      </c>
      <c r="BE303" s="41">
        <f t="shared" si="72"/>
        <v>16.904861878453037</v>
      </c>
      <c r="BF303" s="72" t="str">
        <f t="shared" si="78"/>
        <v/>
      </c>
      <c r="BG303" s="42" t="str">
        <f t="shared" si="73"/>
        <v/>
      </c>
      <c r="BH303" s="17" t="str">
        <f t="shared" si="74"/>
        <v/>
      </c>
      <c r="BT303" s="39"/>
    </row>
    <row r="304" spans="2:72">
      <c r="B304" s="5">
        <v>46323</v>
      </c>
      <c r="C304" s="23">
        <f>IF([1]CHAMNORD!H305=0,"",[1]CHAMNORD!H305)</f>
        <v>18482.22</v>
      </c>
      <c r="D304" s="22" t="str">
        <f t="shared" si="75"/>
        <v/>
      </c>
      <c r="E304" s="23" t="str">
        <f>IF([2]CHAMNORD!H306=0,"",[2]CHAMNORD!H306)</f>
        <v/>
      </c>
      <c r="F304" s="17" t="str">
        <f t="shared" si="69"/>
        <v/>
      </c>
      <c r="R304" s="39"/>
      <c r="T304" s="5">
        <v>46323</v>
      </c>
      <c r="U304" s="23">
        <f>IF([1]CHAMNORD!I305=0,"",[1]CHAMNORD!I305)</f>
        <v>18234.560000000001</v>
      </c>
      <c r="V304" s="22" t="str">
        <f t="shared" si="76"/>
        <v/>
      </c>
      <c r="W304" s="23" t="str">
        <f>IF([2]CHAMNORD!I306=0,"",[2]CHAMNORD!I306)</f>
        <v/>
      </c>
      <c r="X304" s="17" t="str">
        <f t="shared" si="70"/>
        <v/>
      </c>
      <c r="AJ304" s="39"/>
      <c r="AL304" s="5">
        <v>46323</v>
      </c>
      <c r="AM304" s="23">
        <f>IF([1]CHAMNORD!J305=0,"",[1]CHAMNORD!J305)</f>
        <v>1010</v>
      </c>
      <c r="AN304" s="22" t="str">
        <f t="shared" si="77"/>
        <v/>
      </c>
      <c r="AO304" s="23" t="str">
        <f>IF([2]CHAMNORD!J306=0,"",[2]CHAMNORD!J306)</f>
        <v/>
      </c>
      <c r="AP304" s="17" t="str">
        <f t="shared" si="71"/>
        <v/>
      </c>
      <c r="BB304" s="39"/>
      <c r="BD304" s="5">
        <v>46323</v>
      </c>
      <c r="BE304" s="42">
        <f t="shared" si="72"/>
        <v>18.299227722772279</v>
      </c>
      <c r="BF304" s="72" t="str">
        <f t="shared" si="78"/>
        <v/>
      </c>
      <c r="BG304" s="42" t="str">
        <f t="shared" si="73"/>
        <v/>
      </c>
      <c r="BH304" s="17" t="str">
        <f t="shared" si="74"/>
        <v/>
      </c>
      <c r="BT304" s="39"/>
    </row>
    <row r="305" spans="2:72">
      <c r="B305" s="5">
        <v>46324</v>
      </c>
      <c r="C305" s="23">
        <f>IF([1]CHAMNORD!H306=0,"",[1]CHAMNORD!H306)</f>
        <v>20437.47</v>
      </c>
      <c r="D305" s="22" t="str">
        <f t="shared" si="75"/>
        <v/>
      </c>
      <c r="E305" s="23" t="str">
        <f>IF([2]CHAMNORD!H307=0,"",[2]CHAMNORD!H307)</f>
        <v/>
      </c>
      <c r="F305" s="17" t="str">
        <f t="shared" si="69"/>
        <v/>
      </c>
      <c r="R305" s="39"/>
      <c r="T305" s="5">
        <v>46324</v>
      </c>
      <c r="U305" s="23">
        <f>IF([1]CHAMNORD!I306=0,"",[1]CHAMNORD!I306)</f>
        <v>20181.47</v>
      </c>
      <c r="V305" s="22" t="str">
        <f t="shared" si="76"/>
        <v/>
      </c>
      <c r="W305" s="23" t="str">
        <f>IF([2]CHAMNORD!I307=0,"",[2]CHAMNORD!I307)</f>
        <v/>
      </c>
      <c r="X305" s="17" t="str">
        <f t="shared" si="70"/>
        <v/>
      </c>
      <c r="AJ305" s="39"/>
      <c r="AL305" s="5">
        <v>46324</v>
      </c>
      <c r="AM305" s="23">
        <f>IF([1]CHAMNORD!J306=0,"",[1]CHAMNORD!J306)</f>
        <v>1080</v>
      </c>
      <c r="AN305" s="22" t="str">
        <f t="shared" si="77"/>
        <v/>
      </c>
      <c r="AO305" s="23" t="str">
        <f>IF([2]CHAMNORD!J307=0,"",[2]CHAMNORD!J307)</f>
        <v/>
      </c>
      <c r="AP305" s="17" t="str">
        <f t="shared" si="71"/>
        <v/>
      </c>
      <c r="BB305" s="39"/>
      <c r="BD305" s="5">
        <v>46324</v>
      </c>
      <c r="BE305" s="42">
        <f t="shared" si="72"/>
        <v>18.923583333333333</v>
      </c>
      <c r="BF305" s="72" t="str">
        <f t="shared" si="78"/>
        <v/>
      </c>
      <c r="BG305" s="42" t="str">
        <f t="shared" si="73"/>
        <v/>
      </c>
      <c r="BH305" s="17" t="str">
        <f t="shared" si="74"/>
        <v/>
      </c>
      <c r="BT305" s="39"/>
    </row>
    <row r="306" spans="2:72">
      <c r="B306" s="5">
        <v>46325</v>
      </c>
      <c r="C306" s="23">
        <f>IF([1]CHAMNORD!H307=0,"",[1]CHAMNORD!H307)</f>
        <v>20819.61</v>
      </c>
      <c r="D306" s="22" t="str">
        <f t="shared" si="75"/>
        <v/>
      </c>
      <c r="E306" s="23" t="str">
        <f>IF([2]CHAMNORD!H308=0,"",[2]CHAMNORD!H308)</f>
        <v/>
      </c>
      <c r="F306" s="17" t="str">
        <f t="shared" si="69"/>
        <v/>
      </c>
      <c r="R306" s="39"/>
      <c r="T306" s="5">
        <v>46325</v>
      </c>
      <c r="U306" s="23">
        <f>IF([1]CHAMNORD!I307=0,"",[1]CHAMNORD!I307)</f>
        <v>20553.16</v>
      </c>
      <c r="V306" s="22" t="str">
        <f t="shared" si="76"/>
        <v/>
      </c>
      <c r="W306" s="23" t="str">
        <f>IF([2]CHAMNORD!I308=0,"",[2]CHAMNORD!I308)</f>
        <v/>
      </c>
      <c r="X306" s="17" t="str">
        <f t="shared" si="70"/>
        <v/>
      </c>
      <c r="AJ306" s="39"/>
      <c r="AL306" s="5">
        <v>46325</v>
      </c>
      <c r="AM306" s="23">
        <f>IF([1]CHAMNORD!J307=0,"",[1]CHAMNORD!J307)</f>
        <v>1093</v>
      </c>
      <c r="AN306" s="22" t="str">
        <f t="shared" si="77"/>
        <v/>
      </c>
      <c r="AO306" s="23" t="str">
        <f>IF([2]CHAMNORD!J308=0,"",[2]CHAMNORD!J308)</f>
        <v/>
      </c>
      <c r="AP306" s="17" t="str">
        <f t="shared" si="71"/>
        <v/>
      </c>
      <c r="BB306" s="39"/>
      <c r="BD306" s="5">
        <v>46325</v>
      </c>
      <c r="BE306" s="42">
        <f t="shared" si="72"/>
        <v>19.048133577310157</v>
      </c>
      <c r="BF306" s="72" t="str">
        <f t="shared" si="78"/>
        <v/>
      </c>
      <c r="BG306" s="42" t="str">
        <f t="shared" si="73"/>
        <v/>
      </c>
      <c r="BH306" s="17" t="str">
        <f t="shared" si="74"/>
        <v/>
      </c>
      <c r="BT306" s="39"/>
    </row>
    <row r="307" spans="2:72">
      <c r="B307" s="5">
        <v>46326</v>
      </c>
      <c r="C307" s="23">
        <f>IF([1]CHAMNORD!H308=0,"",[1]CHAMNORD!H308)</f>
        <v>25169.71</v>
      </c>
      <c r="D307" s="22" t="str">
        <f t="shared" si="75"/>
        <v/>
      </c>
      <c r="E307" s="23" t="str">
        <f>IF([2]CHAMNORD!H309=0,"",[2]CHAMNORD!H309)</f>
        <v/>
      </c>
      <c r="F307" s="17" t="str">
        <f t="shared" si="69"/>
        <v/>
      </c>
      <c r="R307" s="39"/>
      <c r="T307" s="5">
        <v>46326</v>
      </c>
      <c r="U307" s="23">
        <f>IF([1]CHAMNORD!I308=0,"",[1]CHAMNORD!I308)</f>
        <v>24815.64</v>
      </c>
      <c r="V307" s="22" t="str">
        <f t="shared" si="76"/>
        <v/>
      </c>
      <c r="W307" s="23" t="str">
        <f>IF([2]CHAMNORD!I309=0,"",[2]CHAMNORD!I309)</f>
        <v/>
      </c>
      <c r="X307" s="17" t="str">
        <f t="shared" si="70"/>
        <v/>
      </c>
      <c r="AJ307" s="39"/>
      <c r="AL307" s="5">
        <v>46326</v>
      </c>
      <c r="AM307" s="23">
        <f>IF([1]CHAMNORD!J308=0,"",[1]CHAMNORD!J308)</f>
        <v>1308</v>
      </c>
      <c r="AN307" s="22" t="str">
        <f t="shared" si="77"/>
        <v/>
      </c>
      <c r="AO307" s="23" t="str">
        <f>IF([2]CHAMNORD!J309=0,"",[2]CHAMNORD!J309)</f>
        <v/>
      </c>
      <c r="AP307" s="17" t="str">
        <f t="shared" si="71"/>
        <v/>
      </c>
      <c r="BB307" s="39"/>
      <c r="BD307" s="5">
        <v>46326</v>
      </c>
      <c r="BE307" s="42">
        <f t="shared" si="72"/>
        <v>19.242897553516819</v>
      </c>
      <c r="BF307" s="72" t="str">
        <f t="shared" si="78"/>
        <v/>
      </c>
      <c r="BG307" s="42" t="str">
        <f t="shared" si="73"/>
        <v/>
      </c>
      <c r="BH307" s="17" t="str">
        <f t="shared" si="74"/>
        <v/>
      </c>
      <c r="BT307" s="39"/>
    </row>
    <row r="308" spans="2:72">
      <c r="B308" s="5">
        <v>46327</v>
      </c>
      <c r="C308" s="23">
        <f>IF([1]CHAMNORD!H309=0,"",[1]CHAMNORD!H309)</f>
        <v>25476.55</v>
      </c>
      <c r="D308" s="22" t="str">
        <f t="shared" si="75"/>
        <v/>
      </c>
      <c r="E308" s="24" t="str">
        <f>IF([2]CHAMNORD!H310=0,"",[2]CHAMNORD!H310)</f>
        <v/>
      </c>
      <c r="F308" s="17" t="str">
        <f t="shared" si="69"/>
        <v/>
      </c>
      <c r="R308" s="39"/>
      <c r="T308" s="5">
        <v>46327</v>
      </c>
      <c r="U308" s="23">
        <f>IF([1]CHAMNORD!I309=0,"",[1]CHAMNORD!I309)</f>
        <v>25113.06</v>
      </c>
      <c r="V308" s="22" t="str">
        <f t="shared" si="76"/>
        <v/>
      </c>
      <c r="W308" s="24" t="str">
        <f>IF([2]CHAMNORD!I310=0,"",[2]CHAMNORD!I310)</f>
        <v/>
      </c>
      <c r="X308" s="17" t="str">
        <f t="shared" si="70"/>
        <v/>
      </c>
      <c r="AJ308" s="39"/>
      <c r="AL308" s="5">
        <v>46327</v>
      </c>
      <c r="AM308" s="23">
        <f>IF([1]CHAMNORD!J309=0,"",[1]CHAMNORD!J309)</f>
        <v>1214</v>
      </c>
      <c r="AN308" s="22" t="str">
        <f t="shared" si="77"/>
        <v/>
      </c>
      <c r="AO308" s="24" t="str">
        <f>IF([2]CHAMNORD!J310=0,"",[2]CHAMNORD!J310)</f>
        <v/>
      </c>
      <c r="AP308" s="17" t="str">
        <f t="shared" si="71"/>
        <v/>
      </c>
      <c r="BB308" s="39"/>
      <c r="BD308" s="5">
        <v>46327</v>
      </c>
      <c r="BE308" s="42">
        <f t="shared" si="72"/>
        <v>20.985626029654036</v>
      </c>
      <c r="BF308" s="72" t="str">
        <f t="shared" si="78"/>
        <v/>
      </c>
      <c r="BG308" s="43" t="str">
        <f t="shared" si="73"/>
        <v/>
      </c>
      <c r="BH308" s="17" t="str">
        <f t="shared" si="74"/>
        <v/>
      </c>
      <c r="BT308" s="39"/>
    </row>
    <row r="309" spans="2:72">
      <c r="B309" s="5">
        <v>46328</v>
      </c>
      <c r="C309" s="24">
        <f>IF([1]CHAMNORD!H310=0,"",[1]CHAMNORD!H310)</f>
        <v>22615.33</v>
      </c>
      <c r="D309" s="22" t="str">
        <f t="shared" si="75"/>
        <v/>
      </c>
      <c r="E309" s="21" t="str">
        <f>IF([2]CHAMNORD!H311=0,"",[2]CHAMNORD!H311)</f>
        <v/>
      </c>
      <c r="F309" s="17" t="str">
        <f t="shared" si="69"/>
        <v/>
      </c>
      <c r="R309" s="39"/>
      <c r="T309" s="5">
        <v>46328</v>
      </c>
      <c r="U309" s="24">
        <f>IF([1]CHAMNORD!I310=0,"",[1]CHAMNORD!I310)</f>
        <v>22252.13</v>
      </c>
      <c r="V309" s="22" t="str">
        <f t="shared" si="76"/>
        <v/>
      </c>
      <c r="W309" s="21" t="str">
        <f>IF([2]CHAMNORD!I311=0,"",[2]CHAMNORD!I311)</f>
        <v/>
      </c>
      <c r="X309" s="17" t="str">
        <f t="shared" si="70"/>
        <v/>
      </c>
      <c r="AJ309" s="39"/>
      <c r="AL309" s="5">
        <v>46328</v>
      </c>
      <c r="AM309" s="24">
        <f>IF([1]CHAMNORD!J310=0,"",[1]CHAMNORD!J310)</f>
        <v>1043</v>
      </c>
      <c r="AN309" s="22" t="str">
        <f t="shared" si="77"/>
        <v/>
      </c>
      <c r="AO309" s="21" t="str">
        <f>IF([2]CHAMNORD!J311=0,"",[2]CHAMNORD!J311)</f>
        <v/>
      </c>
      <c r="AP309" s="17" t="str">
        <f t="shared" si="71"/>
        <v/>
      </c>
      <c r="BB309" s="39"/>
      <c r="BD309" s="5">
        <v>46328</v>
      </c>
      <c r="BE309" s="43">
        <f t="shared" si="72"/>
        <v>21.682962607861938</v>
      </c>
      <c r="BF309" s="72" t="str">
        <f t="shared" si="78"/>
        <v/>
      </c>
      <c r="BG309" s="41" t="str">
        <f t="shared" si="73"/>
        <v/>
      </c>
      <c r="BH309" s="17" t="str">
        <f t="shared" si="74"/>
        <v/>
      </c>
      <c r="BT309" s="39"/>
    </row>
    <row r="310" spans="2:72">
      <c r="B310" s="5">
        <v>46329</v>
      </c>
      <c r="C310" s="21">
        <f>IF([1]CHAMNORD!H311=0,"",[1]CHAMNORD!H311)</f>
        <v>13769.22</v>
      </c>
      <c r="D310" s="22" t="str">
        <f t="shared" si="75"/>
        <v/>
      </c>
      <c r="E310" s="23" t="str">
        <f>IF([2]CHAMNORD!H312=0,"",[2]CHAMNORD!H312)</f>
        <v/>
      </c>
      <c r="F310" s="17" t="str">
        <f t="shared" si="69"/>
        <v/>
      </c>
      <c r="R310" s="39"/>
      <c r="T310" s="5">
        <v>46329</v>
      </c>
      <c r="U310" s="21">
        <f>IF([1]CHAMNORD!I311=0,"",[1]CHAMNORD!I311)</f>
        <v>13642.74</v>
      </c>
      <c r="V310" s="22" t="str">
        <f t="shared" si="76"/>
        <v/>
      </c>
      <c r="W310" s="23" t="str">
        <f>IF([2]CHAMNORD!I312=0,"",[2]CHAMNORD!I312)</f>
        <v/>
      </c>
      <c r="X310" s="17" t="str">
        <f t="shared" si="70"/>
        <v/>
      </c>
      <c r="AJ310" s="39"/>
      <c r="AL310" s="5">
        <v>46329</v>
      </c>
      <c r="AM310" s="21">
        <f>IF([1]CHAMNORD!J311=0,"",[1]CHAMNORD!J311)</f>
        <v>839</v>
      </c>
      <c r="AN310" s="22" t="str">
        <f t="shared" si="77"/>
        <v/>
      </c>
      <c r="AO310" s="23" t="str">
        <f>IF([2]CHAMNORD!J312=0,"",[2]CHAMNORD!J312)</f>
        <v/>
      </c>
      <c r="AP310" s="17" t="str">
        <f t="shared" si="71"/>
        <v/>
      </c>
      <c r="BB310" s="39"/>
      <c r="BD310" s="5">
        <v>46329</v>
      </c>
      <c r="BE310" s="41">
        <f t="shared" si="72"/>
        <v>16.411466030989271</v>
      </c>
      <c r="BF310" s="72" t="str">
        <f t="shared" si="78"/>
        <v/>
      </c>
      <c r="BG310" s="42" t="str">
        <f t="shared" si="73"/>
        <v/>
      </c>
      <c r="BH310" s="17" t="str">
        <f t="shared" si="74"/>
        <v/>
      </c>
      <c r="BT310" s="39"/>
    </row>
    <row r="311" spans="2:72">
      <c r="B311" s="5">
        <v>46330</v>
      </c>
      <c r="C311" s="23">
        <f>IF([1]CHAMNORD!H312=0,"",[1]CHAMNORD!H312)</f>
        <v>15413.98</v>
      </c>
      <c r="D311" s="22" t="str">
        <f t="shared" si="75"/>
        <v/>
      </c>
      <c r="E311" s="23" t="str">
        <f>IF([2]CHAMNORD!H313=0,"",[2]CHAMNORD!H313)</f>
        <v/>
      </c>
      <c r="F311" s="17" t="str">
        <f t="shared" si="69"/>
        <v/>
      </c>
      <c r="R311" s="39"/>
      <c r="T311" s="5">
        <v>46330</v>
      </c>
      <c r="U311" s="23">
        <f>IF([1]CHAMNORD!I312=0,"",[1]CHAMNORD!I312)</f>
        <v>15193.78</v>
      </c>
      <c r="V311" s="22" t="str">
        <f t="shared" si="76"/>
        <v/>
      </c>
      <c r="W311" s="23" t="str">
        <f>IF([2]CHAMNORD!I313=0,"",[2]CHAMNORD!I313)</f>
        <v/>
      </c>
      <c r="X311" s="17" t="str">
        <f t="shared" si="70"/>
        <v/>
      </c>
      <c r="AJ311" s="39"/>
      <c r="AL311" s="5">
        <v>46330</v>
      </c>
      <c r="AM311" s="23">
        <f>IF([1]CHAMNORD!J312=0,"",[1]CHAMNORD!J312)</f>
        <v>894</v>
      </c>
      <c r="AN311" s="22" t="str">
        <f t="shared" si="77"/>
        <v/>
      </c>
      <c r="AO311" s="23" t="str">
        <f>IF([2]CHAMNORD!J313=0,"",[2]CHAMNORD!J313)</f>
        <v/>
      </c>
      <c r="AP311" s="17" t="str">
        <f t="shared" si="71"/>
        <v/>
      </c>
      <c r="BB311" s="39"/>
      <c r="BD311" s="5">
        <v>46330</v>
      </c>
      <c r="BE311" s="42">
        <f t="shared" si="72"/>
        <v>17.24158836689038</v>
      </c>
      <c r="BF311" s="72" t="str">
        <f t="shared" si="78"/>
        <v/>
      </c>
      <c r="BG311" s="42" t="str">
        <f t="shared" si="73"/>
        <v/>
      </c>
      <c r="BH311" s="17" t="str">
        <f t="shared" si="74"/>
        <v/>
      </c>
      <c r="BT311" s="39"/>
    </row>
    <row r="312" spans="2:72">
      <c r="B312" s="5">
        <v>46331</v>
      </c>
      <c r="C312" s="23">
        <f>IF([1]CHAMNORD!H313=0,"",[1]CHAMNORD!H313)</f>
        <v>18614.7</v>
      </c>
      <c r="D312" s="22" t="str">
        <f t="shared" si="75"/>
        <v/>
      </c>
      <c r="E312" s="23" t="str">
        <f>IF([2]CHAMNORD!H314=0,"",[2]CHAMNORD!H314)</f>
        <v/>
      </c>
      <c r="F312" s="17" t="str">
        <f t="shared" si="69"/>
        <v/>
      </c>
      <c r="R312" s="39"/>
      <c r="T312" s="5">
        <v>46331</v>
      </c>
      <c r="U312" s="23">
        <f>IF([1]CHAMNORD!I313=0,"",[1]CHAMNORD!I313)</f>
        <v>18368.34</v>
      </c>
      <c r="V312" s="22" t="str">
        <f t="shared" si="76"/>
        <v/>
      </c>
      <c r="W312" s="23" t="str">
        <f>IF([2]CHAMNORD!I314=0,"",[2]CHAMNORD!I314)</f>
        <v/>
      </c>
      <c r="X312" s="17" t="str">
        <f t="shared" si="70"/>
        <v/>
      </c>
      <c r="AJ312" s="39"/>
      <c r="AL312" s="5">
        <v>46331</v>
      </c>
      <c r="AM312" s="23">
        <f>IF([1]CHAMNORD!J313=0,"",[1]CHAMNORD!J313)</f>
        <v>1049</v>
      </c>
      <c r="AN312" s="22" t="str">
        <f t="shared" si="77"/>
        <v/>
      </c>
      <c r="AO312" s="23" t="str">
        <f>IF([2]CHAMNORD!J314=0,"",[2]CHAMNORD!J314)</f>
        <v/>
      </c>
      <c r="AP312" s="17" t="str">
        <f t="shared" si="71"/>
        <v/>
      </c>
      <c r="BB312" s="39"/>
      <c r="BD312" s="5">
        <v>46331</v>
      </c>
      <c r="BE312" s="42">
        <f t="shared" si="72"/>
        <v>17.745185891325072</v>
      </c>
      <c r="BF312" s="72" t="str">
        <f t="shared" si="78"/>
        <v/>
      </c>
      <c r="BG312" s="42" t="str">
        <f t="shared" si="73"/>
        <v/>
      </c>
      <c r="BH312" s="17" t="str">
        <f t="shared" si="74"/>
        <v/>
      </c>
      <c r="BT312" s="39"/>
    </row>
    <row r="313" spans="2:72">
      <c r="B313" s="5">
        <v>46332</v>
      </c>
      <c r="C313" s="23">
        <f>IF([1]CHAMNORD!H314=0,"",[1]CHAMNORD!H314)</f>
        <v>16398.75</v>
      </c>
      <c r="D313" s="22" t="str">
        <f t="shared" si="75"/>
        <v/>
      </c>
      <c r="E313" s="23" t="str">
        <f>IF([2]CHAMNORD!H315=0,"",[2]CHAMNORD!H315)</f>
        <v/>
      </c>
      <c r="F313" s="17" t="str">
        <f t="shared" si="69"/>
        <v/>
      </c>
      <c r="R313" s="39"/>
      <c r="T313" s="5">
        <v>46332</v>
      </c>
      <c r="U313" s="23">
        <f>IF([1]CHAMNORD!I314=0,"",[1]CHAMNORD!I314)</f>
        <v>16184.18</v>
      </c>
      <c r="V313" s="22" t="str">
        <f t="shared" si="76"/>
        <v/>
      </c>
      <c r="W313" s="23" t="str">
        <f>IF([2]CHAMNORD!I315=0,"",[2]CHAMNORD!I315)</f>
        <v/>
      </c>
      <c r="X313" s="17" t="str">
        <f t="shared" si="70"/>
        <v/>
      </c>
      <c r="AJ313" s="39"/>
      <c r="AL313" s="5">
        <v>46332</v>
      </c>
      <c r="AM313" s="23">
        <f>IF([1]CHAMNORD!J314=0,"",[1]CHAMNORD!J314)</f>
        <v>1008</v>
      </c>
      <c r="AN313" s="22" t="str">
        <f t="shared" si="77"/>
        <v/>
      </c>
      <c r="AO313" s="23" t="str">
        <f>IF([2]CHAMNORD!J315=0,"",[2]CHAMNORD!J315)</f>
        <v/>
      </c>
      <c r="AP313" s="17" t="str">
        <f t="shared" si="71"/>
        <v/>
      </c>
      <c r="BB313" s="39"/>
      <c r="BD313" s="5">
        <v>46332</v>
      </c>
      <c r="BE313" s="42">
        <f t="shared" si="72"/>
        <v>16.26860119047619</v>
      </c>
      <c r="BF313" s="72" t="str">
        <f t="shared" si="78"/>
        <v/>
      </c>
      <c r="BG313" s="42" t="str">
        <f t="shared" si="73"/>
        <v/>
      </c>
      <c r="BH313" s="17" t="str">
        <f t="shared" si="74"/>
        <v/>
      </c>
      <c r="BT313" s="39"/>
    </row>
    <row r="314" spans="2:72">
      <c r="B314" s="5">
        <v>46333</v>
      </c>
      <c r="C314" s="23">
        <f>IF([1]CHAMNORD!H315=0,"",[1]CHAMNORD!H315)</f>
        <v>23544.400000000001</v>
      </c>
      <c r="D314" s="22" t="str">
        <f t="shared" si="75"/>
        <v/>
      </c>
      <c r="E314" s="23" t="str">
        <f>IF([2]CHAMNORD!H316=0,"",[2]CHAMNORD!H316)</f>
        <v/>
      </c>
      <c r="F314" s="17" t="str">
        <f t="shared" si="69"/>
        <v/>
      </c>
      <c r="R314" s="39"/>
      <c r="T314" s="5">
        <v>46333</v>
      </c>
      <c r="U314" s="23">
        <f>IF([1]CHAMNORD!I315=0,"",[1]CHAMNORD!I315)</f>
        <v>23295.62</v>
      </c>
      <c r="V314" s="22" t="str">
        <f t="shared" si="76"/>
        <v/>
      </c>
      <c r="W314" s="23" t="str">
        <f>IF([2]CHAMNORD!I316=0,"",[2]CHAMNORD!I316)</f>
        <v/>
      </c>
      <c r="X314" s="17" t="str">
        <f t="shared" si="70"/>
        <v/>
      </c>
      <c r="AJ314" s="39"/>
      <c r="AL314" s="5">
        <v>46333</v>
      </c>
      <c r="AM314" s="23">
        <f>IF([1]CHAMNORD!J315=0,"",[1]CHAMNORD!J315)</f>
        <v>1308</v>
      </c>
      <c r="AN314" s="22" t="str">
        <f t="shared" si="77"/>
        <v/>
      </c>
      <c r="AO314" s="23" t="str">
        <f>IF([2]CHAMNORD!J316=0,"",[2]CHAMNORD!J316)</f>
        <v/>
      </c>
      <c r="AP314" s="17" t="str">
        <f t="shared" si="71"/>
        <v/>
      </c>
      <c r="BB314" s="39"/>
      <c r="BD314" s="5">
        <v>46333</v>
      </c>
      <c r="BE314" s="42">
        <f t="shared" si="72"/>
        <v>18.000305810397556</v>
      </c>
      <c r="BF314" s="72" t="str">
        <f t="shared" si="78"/>
        <v/>
      </c>
      <c r="BG314" s="42" t="str">
        <f t="shared" si="73"/>
        <v/>
      </c>
      <c r="BH314" s="17" t="str">
        <f t="shared" si="74"/>
        <v/>
      </c>
      <c r="BT314" s="39"/>
    </row>
    <row r="315" spans="2:72">
      <c r="B315" s="5">
        <v>46334</v>
      </c>
      <c r="C315" s="23">
        <f>IF([1]CHAMNORD!H316=0,"",[1]CHAMNORD!H316)</f>
        <v>25291.99</v>
      </c>
      <c r="D315" s="22" t="str">
        <f t="shared" si="75"/>
        <v/>
      </c>
      <c r="E315" s="24" t="str">
        <f>IF([2]CHAMNORD!H317=0,"",[2]CHAMNORD!H317)</f>
        <v/>
      </c>
      <c r="F315" s="17" t="str">
        <f t="shared" si="69"/>
        <v/>
      </c>
      <c r="R315" s="39"/>
      <c r="T315" s="5">
        <v>46334</v>
      </c>
      <c r="U315" s="23">
        <f>IF([1]CHAMNORD!I316=0,"",[1]CHAMNORD!I316)</f>
        <v>24935.34</v>
      </c>
      <c r="V315" s="22" t="str">
        <f t="shared" si="76"/>
        <v/>
      </c>
      <c r="W315" s="24" t="str">
        <f>IF([2]CHAMNORD!I317=0,"",[2]CHAMNORD!I317)</f>
        <v/>
      </c>
      <c r="X315" s="17" t="str">
        <f t="shared" si="70"/>
        <v/>
      </c>
      <c r="AJ315" s="39"/>
      <c r="AL315" s="5">
        <v>46334</v>
      </c>
      <c r="AM315" s="23">
        <f>IF([1]CHAMNORD!J316=0,"",[1]CHAMNORD!J316)</f>
        <v>1299</v>
      </c>
      <c r="AN315" s="22" t="str">
        <f t="shared" si="77"/>
        <v/>
      </c>
      <c r="AO315" s="24" t="str">
        <f>IF([2]CHAMNORD!J317=0,"",[2]CHAMNORD!J317)</f>
        <v/>
      </c>
      <c r="AP315" s="17" t="str">
        <f t="shared" si="71"/>
        <v/>
      </c>
      <c r="BB315" s="39"/>
      <c r="BD315" s="5">
        <v>46334</v>
      </c>
      <c r="BE315" s="42">
        <f t="shared" si="72"/>
        <v>19.470354118552734</v>
      </c>
      <c r="BF315" s="72" t="str">
        <f t="shared" si="78"/>
        <v/>
      </c>
      <c r="BG315" s="43" t="str">
        <f t="shared" si="73"/>
        <v/>
      </c>
      <c r="BH315" s="17" t="str">
        <f t="shared" si="74"/>
        <v/>
      </c>
      <c r="BT315" s="39"/>
    </row>
    <row r="316" spans="2:72">
      <c r="B316" s="5">
        <v>46335</v>
      </c>
      <c r="C316" s="24">
        <f>IF([1]CHAMNORD!H317=0,"",[1]CHAMNORD!H317)</f>
        <v>23213.99</v>
      </c>
      <c r="D316" s="22" t="str">
        <f t="shared" si="75"/>
        <v/>
      </c>
      <c r="E316" s="21" t="str">
        <f>IF([2]CHAMNORD!H318=0,"",[2]CHAMNORD!H318)</f>
        <v/>
      </c>
      <c r="F316" s="17" t="str">
        <f t="shared" si="69"/>
        <v/>
      </c>
      <c r="R316" s="39"/>
      <c r="T316" s="5">
        <v>46335</v>
      </c>
      <c r="U316" s="24">
        <f>IF([1]CHAMNORD!I317=0,"",[1]CHAMNORD!I317)</f>
        <v>22940.92</v>
      </c>
      <c r="V316" s="22" t="str">
        <f t="shared" si="76"/>
        <v/>
      </c>
      <c r="W316" s="21" t="str">
        <f>IF([2]CHAMNORD!I318=0,"",[2]CHAMNORD!I318)</f>
        <v/>
      </c>
      <c r="X316" s="17" t="str">
        <f t="shared" si="70"/>
        <v/>
      </c>
      <c r="AJ316" s="39"/>
      <c r="AL316" s="5">
        <v>46335</v>
      </c>
      <c r="AM316" s="24">
        <f>IF([1]CHAMNORD!J317=0,"",[1]CHAMNORD!J317)</f>
        <v>1089</v>
      </c>
      <c r="AN316" s="22" t="str">
        <f t="shared" si="77"/>
        <v/>
      </c>
      <c r="AO316" s="21" t="str">
        <f>IF([2]CHAMNORD!J318=0,"",[2]CHAMNORD!J318)</f>
        <v/>
      </c>
      <c r="AP316" s="17" t="str">
        <f t="shared" si="71"/>
        <v/>
      </c>
      <c r="BB316" s="39"/>
      <c r="BD316" s="5">
        <v>46335</v>
      </c>
      <c r="BE316" s="43">
        <f t="shared" si="72"/>
        <v>21.316795224977046</v>
      </c>
      <c r="BF316" s="72" t="str">
        <f t="shared" si="78"/>
        <v/>
      </c>
      <c r="BG316" s="41" t="str">
        <f t="shared" si="73"/>
        <v/>
      </c>
      <c r="BH316" s="17" t="str">
        <f t="shared" si="74"/>
        <v/>
      </c>
      <c r="BT316" s="39"/>
    </row>
    <row r="317" spans="2:72">
      <c r="B317" s="5">
        <v>46336</v>
      </c>
      <c r="C317" s="21">
        <f>IF([1]CHAMNORD!H318=0,"",[1]CHAMNORD!H318)</f>
        <v>16075.38</v>
      </c>
      <c r="D317" s="22" t="str">
        <f t="shared" si="75"/>
        <v/>
      </c>
      <c r="E317" s="23" t="str">
        <f>IF([2]CHAMNORD!H319=0,"",[2]CHAMNORD!H319)</f>
        <v/>
      </c>
      <c r="F317" s="17" t="str">
        <f t="shared" si="69"/>
        <v/>
      </c>
      <c r="R317" s="39"/>
      <c r="T317" s="5">
        <v>46336</v>
      </c>
      <c r="U317" s="21">
        <f>IF([1]CHAMNORD!I318=0,"",[1]CHAMNORD!I318)</f>
        <v>15918.38</v>
      </c>
      <c r="V317" s="22" t="str">
        <f t="shared" si="76"/>
        <v/>
      </c>
      <c r="W317" s="23" t="str">
        <f>IF([2]CHAMNORD!I319=0,"",[2]CHAMNORD!I319)</f>
        <v/>
      </c>
      <c r="X317" s="17" t="str">
        <f t="shared" si="70"/>
        <v/>
      </c>
      <c r="AJ317" s="39"/>
      <c r="AL317" s="5">
        <v>46336</v>
      </c>
      <c r="AM317" s="21">
        <f>IF([1]CHAMNORD!J318=0,"",[1]CHAMNORD!J318)</f>
        <v>952</v>
      </c>
      <c r="AN317" s="22" t="str">
        <f t="shared" si="77"/>
        <v/>
      </c>
      <c r="AO317" s="23" t="str">
        <f>IF([2]CHAMNORD!J319=0,"",[2]CHAMNORD!J319)</f>
        <v/>
      </c>
      <c r="AP317" s="17" t="str">
        <f t="shared" si="71"/>
        <v/>
      </c>
      <c r="BB317" s="39"/>
      <c r="BD317" s="5">
        <v>46336</v>
      </c>
      <c r="BE317" s="41">
        <f t="shared" si="72"/>
        <v>16.885903361344536</v>
      </c>
      <c r="BF317" s="72" t="str">
        <f t="shared" si="78"/>
        <v/>
      </c>
      <c r="BG317" s="42" t="str">
        <f t="shared" si="73"/>
        <v/>
      </c>
      <c r="BH317" s="17" t="str">
        <f t="shared" si="74"/>
        <v/>
      </c>
      <c r="BT317" s="39"/>
    </row>
    <row r="318" spans="2:72">
      <c r="B318" s="5">
        <v>46337</v>
      </c>
      <c r="C318" s="23">
        <f>IF([1]CHAMNORD!H319=0,"",[1]CHAMNORD!H319)</f>
        <v>20282.27</v>
      </c>
      <c r="D318" s="22" t="str">
        <f t="shared" si="75"/>
        <v/>
      </c>
      <c r="E318" s="23" t="str">
        <f>IF([2]CHAMNORD!H320=0,"",[2]CHAMNORD!H320)</f>
        <v/>
      </c>
      <c r="F318" s="17" t="str">
        <f t="shared" si="69"/>
        <v/>
      </c>
      <c r="R318" s="39"/>
      <c r="T318" s="5">
        <v>46337</v>
      </c>
      <c r="U318" s="23">
        <f>IF([1]CHAMNORD!I319=0,"",[1]CHAMNORD!I319)</f>
        <v>20091.53</v>
      </c>
      <c r="V318" s="22" t="str">
        <f t="shared" si="76"/>
        <v/>
      </c>
      <c r="W318" s="23" t="str">
        <f>IF([2]CHAMNORD!I320=0,"",[2]CHAMNORD!I320)</f>
        <v/>
      </c>
      <c r="X318" s="17" t="str">
        <f t="shared" si="70"/>
        <v/>
      </c>
      <c r="AJ318" s="39"/>
      <c r="AL318" s="5">
        <v>46337</v>
      </c>
      <c r="AM318" s="23">
        <f>IF([1]CHAMNORD!J319=0,"",[1]CHAMNORD!J319)</f>
        <v>1013</v>
      </c>
      <c r="AN318" s="22" t="str">
        <f t="shared" si="77"/>
        <v/>
      </c>
      <c r="AO318" s="23" t="str">
        <f>IF([2]CHAMNORD!J320=0,"",[2]CHAMNORD!J320)</f>
        <v/>
      </c>
      <c r="AP318" s="17" t="str">
        <f t="shared" si="71"/>
        <v/>
      </c>
      <c r="BB318" s="39"/>
      <c r="BD318" s="5">
        <v>46337</v>
      </c>
      <c r="BE318" s="42">
        <f t="shared" si="72"/>
        <v>20.0219842053307</v>
      </c>
      <c r="BF318" s="72" t="str">
        <f t="shared" si="78"/>
        <v/>
      </c>
      <c r="BG318" s="42" t="str">
        <f t="shared" si="73"/>
        <v/>
      </c>
      <c r="BH318" s="17" t="str">
        <f t="shared" si="74"/>
        <v/>
      </c>
      <c r="BT318" s="39"/>
    </row>
    <row r="319" spans="2:72">
      <c r="B319" s="5">
        <v>46338</v>
      </c>
      <c r="C319" s="23">
        <f>IF([1]CHAMNORD!H320=0,"",[1]CHAMNORD!H320)</f>
        <v>15986.92</v>
      </c>
      <c r="D319" s="22" t="str">
        <f t="shared" si="75"/>
        <v/>
      </c>
      <c r="E319" s="23" t="str">
        <f>IF([2]CHAMNORD!H321=0,"",[2]CHAMNORD!H321)</f>
        <v/>
      </c>
      <c r="F319" s="17" t="str">
        <f t="shared" si="69"/>
        <v/>
      </c>
      <c r="R319" s="39"/>
      <c r="T319" s="5">
        <v>46338</v>
      </c>
      <c r="U319" s="23">
        <f>IF([1]CHAMNORD!I320=0,"",[1]CHAMNORD!I320)</f>
        <v>15854.2</v>
      </c>
      <c r="V319" s="22" t="str">
        <f t="shared" si="76"/>
        <v/>
      </c>
      <c r="W319" s="23" t="str">
        <f>IF([2]CHAMNORD!I321=0,"",[2]CHAMNORD!I321)</f>
        <v/>
      </c>
      <c r="X319" s="17" t="str">
        <f t="shared" si="70"/>
        <v/>
      </c>
      <c r="AJ319" s="39"/>
      <c r="AL319" s="5">
        <v>46338</v>
      </c>
      <c r="AM319" s="23">
        <f>IF([1]CHAMNORD!J320=0,"",[1]CHAMNORD!J320)</f>
        <v>952</v>
      </c>
      <c r="AN319" s="22" t="str">
        <f t="shared" si="77"/>
        <v/>
      </c>
      <c r="AO319" s="23" t="str">
        <f>IF([2]CHAMNORD!J321=0,"",[2]CHAMNORD!J321)</f>
        <v/>
      </c>
      <c r="AP319" s="17" t="str">
        <f t="shared" si="71"/>
        <v/>
      </c>
      <c r="BB319" s="39"/>
      <c r="BD319" s="5">
        <v>46338</v>
      </c>
      <c r="BE319" s="42">
        <f t="shared" si="72"/>
        <v>16.792983193277312</v>
      </c>
      <c r="BF319" s="72" t="str">
        <f t="shared" si="78"/>
        <v/>
      </c>
      <c r="BG319" s="42" t="str">
        <f t="shared" si="73"/>
        <v/>
      </c>
      <c r="BH319" s="17" t="str">
        <f t="shared" si="74"/>
        <v/>
      </c>
      <c r="BT319" s="39"/>
    </row>
    <row r="320" spans="2:72">
      <c r="B320" s="5">
        <v>46339</v>
      </c>
      <c r="C320" s="23">
        <f>IF([1]CHAMNORD!H321=0,"",[1]CHAMNORD!H321)</f>
        <v>15255.34</v>
      </c>
      <c r="D320" s="22" t="str">
        <f t="shared" si="75"/>
        <v/>
      </c>
      <c r="E320" s="23" t="str">
        <f>IF([2]CHAMNORD!H322=0,"",[2]CHAMNORD!H322)</f>
        <v/>
      </c>
      <c r="F320" s="17" t="str">
        <f t="shared" si="69"/>
        <v/>
      </c>
      <c r="R320" s="39"/>
      <c r="T320" s="5">
        <v>46339</v>
      </c>
      <c r="U320" s="23">
        <f>IF([1]CHAMNORD!I321=0,"",[1]CHAMNORD!I321)</f>
        <v>15090.45</v>
      </c>
      <c r="V320" s="22" t="str">
        <f t="shared" si="76"/>
        <v/>
      </c>
      <c r="W320" s="23" t="str">
        <f>IF([2]CHAMNORD!I322=0,"",[2]CHAMNORD!I322)</f>
        <v/>
      </c>
      <c r="X320" s="17" t="str">
        <f t="shared" si="70"/>
        <v/>
      </c>
      <c r="AJ320" s="39"/>
      <c r="AL320" s="5">
        <v>46339</v>
      </c>
      <c r="AM320" s="23">
        <f>IF([1]CHAMNORD!J321=0,"",[1]CHAMNORD!J321)</f>
        <v>903</v>
      </c>
      <c r="AN320" s="22" t="str">
        <f t="shared" si="77"/>
        <v/>
      </c>
      <c r="AO320" s="23" t="str">
        <f>IF([2]CHAMNORD!J322=0,"",[2]CHAMNORD!J322)</f>
        <v/>
      </c>
      <c r="AP320" s="17" t="str">
        <f t="shared" si="71"/>
        <v/>
      </c>
      <c r="BB320" s="39"/>
      <c r="BD320" s="5">
        <v>46339</v>
      </c>
      <c r="BE320" s="42">
        <f t="shared" si="72"/>
        <v>16.8940642303433</v>
      </c>
      <c r="BF320" s="72" t="str">
        <f t="shared" si="78"/>
        <v/>
      </c>
      <c r="BG320" s="42" t="str">
        <f t="shared" si="73"/>
        <v/>
      </c>
      <c r="BH320" s="17" t="str">
        <f t="shared" si="74"/>
        <v/>
      </c>
      <c r="BT320" s="39"/>
    </row>
    <row r="321" spans="2:72">
      <c r="B321" s="5">
        <v>46340</v>
      </c>
      <c r="C321" s="23">
        <f>IF([1]CHAMNORD!H322=0,"",[1]CHAMNORD!H322)</f>
        <v>22780.240000000002</v>
      </c>
      <c r="D321" s="22" t="str">
        <f t="shared" si="75"/>
        <v/>
      </c>
      <c r="E321" s="23" t="str">
        <f>IF([2]CHAMNORD!H323=0,"",[2]CHAMNORD!H323)</f>
        <v/>
      </c>
      <c r="F321" s="17" t="str">
        <f t="shared" si="69"/>
        <v/>
      </c>
      <c r="R321" s="39"/>
      <c r="T321" s="5">
        <v>46340</v>
      </c>
      <c r="U321" s="23">
        <f>IF([1]CHAMNORD!I322=0,"",[1]CHAMNORD!I322)</f>
        <v>22488.2</v>
      </c>
      <c r="V321" s="22" t="str">
        <f t="shared" si="76"/>
        <v/>
      </c>
      <c r="W321" s="23" t="str">
        <f>IF([2]CHAMNORD!I323=0,"",[2]CHAMNORD!I323)</f>
        <v/>
      </c>
      <c r="X321" s="17" t="str">
        <f t="shared" si="70"/>
        <v/>
      </c>
      <c r="AJ321" s="39"/>
      <c r="AL321" s="5">
        <v>46340</v>
      </c>
      <c r="AM321" s="23">
        <f>IF([1]CHAMNORD!J322=0,"",[1]CHAMNORD!J322)</f>
        <v>1273</v>
      </c>
      <c r="AN321" s="22" t="str">
        <f t="shared" si="77"/>
        <v/>
      </c>
      <c r="AO321" s="23" t="str">
        <f>IF([2]CHAMNORD!J323=0,"",[2]CHAMNORD!J323)</f>
        <v/>
      </c>
      <c r="AP321" s="17" t="str">
        <f t="shared" si="71"/>
        <v/>
      </c>
      <c r="BB321" s="39"/>
      <c r="BD321" s="5">
        <v>46340</v>
      </c>
      <c r="BE321" s="42">
        <f t="shared" si="72"/>
        <v>17.894925373134331</v>
      </c>
      <c r="BF321" s="72" t="str">
        <f t="shared" si="78"/>
        <v/>
      </c>
      <c r="BG321" s="42" t="str">
        <f t="shared" si="73"/>
        <v/>
      </c>
      <c r="BH321" s="17" t="str">
        <f t="shared" si="74"/>
        <v/>
      </c>
      <c r="BT321" s="39"/>
    </row>
    <row r="322" spans="2:72">
      <c r="B322" s="5">
        <v>46341</v>
      </c>
      <c r="C322" s="23">
        <f>IF([1]CHAMNORD!H323=0,"",[1]CHAMNORD!H323)</f>
        <v>23769.31</v>
      </c>
      <c r="D322" s="22" t="str">
        <f t="shared" si="75"/>
        <v/>
      </c>
      <c r="E322" s="24" t="str">
        <f>IF([2]CHAMNORD!H324=0,"",[2]CHAMNORD!H324)</f>
        <v/>
      </c>
      <c r="F322" s="17" t="str">
        <f t="shared" si="69"/>
        <v/>
      </c>
      <c r="R322" s="39"/>
      <c r="T322" s="5">
        <v>46341</v>
      </c>
      <c r="U322" s="23">
        <f>IF([1]CHAMNORD!I323=0,"",[1]CHAMNORD!I323)</f>
        <v>23477.8</v>
      </c>
      <c r="V322" s="22" t="str">
        <f t="shared" si="76"/>
        <v/>
      </c>
      <c r="W322" s="24" t="str">
        <f>IF([2]CHAMNORD!I324=0,"",[2]CHAMNORD!I324)</f>
        <v/>
      </c>
      <c r="X322" s="17" t="str">
        <f t="shared" si="70"/>
        <v/>
      </c>
      <c r="AJ322" s="39"/>
      <c r="AL322" s="5">
        <v>46341</v>
      </c>
      <c r="AM322" s="23">
        <f>IF([1]CHAMNORD!J323=0,"",[1]CHAMNORD!J323)</f>
        <v>1254</v>
      </c>
      <c r="AN322" s="22" t="str">
        <f t="shared" si="77"/>
        <v/>
      </c>
      <c r="AO322" s="24" t="str">
        <f>IF([2]CHAMNORD!J324=0,"",[2]CHAMNORD!J324)</f>
        <v/>
      </c>
      <c r="AP322" s="17" t="str">
        <f t="shared" si="71"/>
        <v/>
      </c>
      <c r="BB322" s="39"/>
      <c r="BD322" s="5">
        <v>46341</v>
      </c>
      <c r="BE322" s="42">
        <f t="shared" si="72"/>
        <v>18.954792663476876</v>
      </c>
      <c r="BF322" s="72" t="str">
        <f t="shared" si="78"/>
        <v/>
      </c>
      <c r="BG322" s="43" t="str">
        <f t="shared" si="73"/>
        <v/>
      </c>
      <c r="BH322" s="17" t="str">
        <f t="shared" si="74"/>
        <v/>
      </c>
      <c r="BT322" s="39"/>
    </row>
    <row r="323" spans="2:72">
      <c r="B323" s="5">
        <v>46342</v>
      </c>
      <c r="C323" s="24">
        <f>IF([1]CHAMNORD!H324=0,"",[1]CHAMNORD!H324)</f>
        <v>22896.720000000001</v>
      </c>
      <c r="D323" s="22" t="str">
        <f t="shared" si="75"/>
        <v/>
      </c>
      <c r="E323" s="21" t="str">
        <f>IF([2]CHAMNORD!H325=0,"",[2]CHAMNORD!H325)</f>
        <v/>
      </c>
      <c r="F323" s="17" t="str">
        <f t="shared" si="69"/>
        <v/>
      </c>
      <c r="R323" s="39"/>
      <c r="T323" s="5">
        <v>46342</v>
      </c>
      <c r="U323" s="24">
        <f>IF([1]CHAMNORD!I324=0,"",[1]CHAMNORD!I324)</f>
        <v>22534.54</v>
      </c>
      <c r="V323" s="22" t="str">
        <f t="shared" si="76"/>
        <v/>
      </c>
      <c r="W323" s="21" t="str">
        <f>IF([2]CHAMNORD!I325=0,"",[2]CHAMNORD!I325)</f>
        <v/>
      </c>
      <c r="X323" s="17" t="str">
        <f t="shared" si="70"/>
        <v/>
      </c>
      <c r="AJ323" s="39"/>
      <c r="AL323" s="5">
        <v>46342</v>
      </c>
      <c r="AM323" s="24">
        <f>IF([1]CHAMNORD!J324=0,"",[1]CHAMNORD!J324)</f>
        <v>1116</v>
      </c>
      <c r="AN323" s="22" t="str">
        <f t="shared" si="77"/>
        <v/>
      </c>
      <c r="AO323" s="21" t="str">
        <f>IF([2]CHAMNORD!J325=0,"",[2]CHAMNORD!J325)</f>
        <v/>
      </c>
      <c r="AP323" s="17" t="str">
        <f t="shared" si="71"/>
        <v/>
      </c>
      <c r="BB323" s="39"/>
      <c r="BD323" s="5">
        <v>46342</v>
      </c>
      <c r="BE323" s="43">
        <f t="shared" si="72"/>
        <v>20.51677419354839</v>
      </c>
      <c r="BF323" s="72" t="str">
        <f t="shared" si="78"/>
        <v/>
      </c>
      <c r="BG323" s="41" t="str">
        <f t="shared" si="73"/>
        <v/>
      </c>
      <c r="BH323" s="17" t="str">
        <f t="shared" si="74"/>
        <v/>
      </c>
      <c r="BT323" s="39"/>
    </row>
    <row r="324" spans="2:72">
      <c r="B324" s="5">
        <v>46343</v>
      </c>
      <c r="C324" s="21">
        <f>IF([1]CHAMNORD!H325=0,"",[1]CHAMNORD!H325)</f>
        <v>12187</v>
      </c>
      <c r="D324" s="22" t="str">
        <f t="shared" si="75"/>
        <v/>
      </c>
      <c r="E324" s="23" t="str">
        <f>IF([2]CHAMNORD!H326=0,"",[2]CHAMNORD!H326)</f>
        <v/>
      </c>
      <c r="F324" s="17" t="str">
        <f t="shared" ref="F324:F368" si="79">IF(E324="","",(E324/C325)-1)</f>
        <v/>
      </c>
      <c r="R324" s="39"/>
      <c r="T324" s="5">
        <v>46343</v>
      </c>
      <c r="U324" s="21">
        <f>IF([1]CHAMNORD!I325=0,"",[1]CHAMNORD!I325)</f>
        <v>12033.69</v>
      </c>
      <c r="V324" s="22" t="str">
        <f t="shared" si="76"/>
        <v/>
      </c>
      <c r="W324" s="23" t="str">
        <f>IF([2]CHAMNORD!I326=0,"",[2]CHAMNORD!I326)</f>
        <v/>
      </c>
      <c r="X324" s="17" t="str">
        <f t="shared" ref="X324:X368" si="80">IF(W324="","",(W324/U325)-1)</f>
        <v/>
      </c>
      <c r="AJ324" s="39"/>
      <c r="AL324" s="5">
        <v>46343</v>
      </c>
      <c r="AM324" s="21">
        <f>IF([1]CHAMNORD!J325=0,"",[1]CHAMNORD!J325)</f>
        <v>763</v>
      </c>
      <c r="AN324" s="22" t="str">
        <f t="shared" si="77"/>
        <v/>
      </c>
      <c r="AO324" s="23" t="str">
        <f>IF([2]CHAMNORD!J326=0,"",[2]CHAMNORD!J326)</f>
        <v/>
      </c>
      <c r="AP324" s="17" t="str">
        <f t="shared" ref="AP324:AP368" si="81">IF(AO324="","",(AO324/AM325)-1)</f>
        <v/>
      </c>
      <c r="BB324" s="39"/>
      <c r="BD324" s="5">
        <v>46343</v>
      </c>
      <c r="BE324" s="41">
        <f t="shared" ref="BE324:BE368" si="82">IFERROR(C324/AM324,"")</f>
        <v>15.972477064220184</v>
      </c>
      <c r="BF324" s="72" t="str">
        <f t="shared" si="78"/>
        <v/>
      </c>
      <c r="BG324" s="42" t="str">
        <f t="shared" ref="BG324:BG368" si="83">IFERROR(E324/AO324,"")</f>
        <v/>
      </c>
      <c r="BH324" s="17" t="str">
        <f t="shared" ref="BH324:BH368" si="84">IF(BG324="","",(BG324/BE325)-1)</f>
        <v/>
      </c>
      <c r="BT324" s="39"/>
    </row>
    <row r="325" spans="2:72">
      <c r="B325" s="5">
        <v>46344</v>
      </c>
      <c r="C325" s="23">
        <f>IF([1]CHAMNORD!H326=0,"",[1]CHAMNORD!H326)</f>
        <v>13562.57</v>
      </c>
      <c r="D325" s="22" t="str">
        <f t="shared" si="75"/>
        <v/>
      </c>
      <c r="E325" s="23" t="str">
        <f>IF([2]CHAMNORD!H327=0,"",[2]CHAMNORD!H327)</f>
        <v/>
      </c>
      <c r="F325" s="17" t="str">
        <f t="shared" si="79"/>
        <v/>
      </c>
      <c r="R325" s="39"/>
      <c r="T325" s="5">
        <v>46344</v>
      </c>
      <c r="U325" s="23">
        <f>IF([1]CHAMNORD!I326=0,"",[1]CHAMNORD!I326)</f>
        <v>13412.04</v>
      </c>
      <c r="V325" s="22" t="str">
        <f t="shared" si="76"/>
        <v/>
      </c>
      <c r="W325" s="23" t="str">
        <f>IF([2]CHAMNORD!I327=0,"",[2]CHAMNORD!I327)</f>
        <v/>
      </c>
      <c r="X325" s="17" t="str">
        <f t="shared" si="80"/>
        <v/>
      </c>
      <c r="AJ325" s="39"/>
      <c r="AL325" s="5">
        <v>46344</v>
      </c>
      <c r="AM325" s="23">
        <f>IF([1]CHAMNORD!J326=0,"",[1]CHAMNORD!J326)</f>
        <v>846</v>
      </c>
      <c r="AN325" s="22" t="str">
        <f t="shared" si="77"/>
        <v/>
      </c>
      <c r="AO325" s="23" t="str">
        <f>IF([2]CHAMNORD!J327=0,"",[2]CHAMNORD!J327)</f>
        <v/>
      </c>
      <c r="AP325" s="17" t="str">
        <f t="shared" si="81"/>
        <v/>
      </c>
      <c r="BB325" s="39"/>
      <c r="BD325" s="5">
        <v>46344</v>
      </c>
      <c r="BE325" s="42">
        <f t="shared" si="82"/>
        <v>16.031406619385344</v>
      </c>
      <c r="BF325" s="72" t="str">
        <f t="shared" si="78"/>
        <v/>
      </c>
      <c r="BG325" s="42" t="str">
        <f t="shared" si="83"/>
        <v/>
      </c>
      <c r="BH325" s="17" t="str">
        <f t="shared" si="84"/>
        <v/>
      </c>
      <c r="BT325" s="39"/>
    </row>
    <row r="326" spans="2:72">
      <c r="B326" s="5">
        <v>46345</v>
      </c>
      <c r="C326" s="23">
        <f>IF([1]CHAMNORD!H327=0,"",[1]CHAMNORD!H327)</f>
        <v>16942.27</v>
      </c>
      <c r="D326" s="22" t="str">
        <f t="shared" si="75"/>
        <v/>
      </c>
      <c r="E326" s="23" t="str">
        <f>IF([2]CHAMNORD!H328=0,"",[2]CHAMNORD!H328)</f>
        <v/>
      </c>
      <c r="F326" s="17" t="str">
        <f t="shared" si="79"/>
        <v/>
      </c>
      <c r="R326" s="39"/>
      <c r="T326" s="5">
        <v>46345</v>
      </c>
      <c r="U326" s="23">
        <f>IF([1]CHAMNORD!I327=0,"",[1]CHAMNORD!I327)</f>
        <v>16711.8</v>
      </c>
      <c r="V326" s="22" t="str">
        <f t="shared" si="76"/>
        <v/>
      </c>
      <c r="W326" s="23" t="str">
        <f>IF([2]CHAMNORD!I328=0,"",[2]CHAMNORD!I328)</f>
        <v/>
      </c>
      <c r="X326" s="17" t="str">
        <f t="shared" si="80"/>
        <v/>
      </c>
      <c r="AJ326" s="39"/>
      <c r="AL326" s="5">
        <v>46345</v>
      </c>
      <c r="AM326" s="23">
        <f>IF([1]CHAMNORD!J327=0,"",[1]CHAMNORD!J327)</f>
        <v>1056</v>
      </c>
      <c r="AN326" s="22" t="str">
        <f t="shared" si="77"/>
        <v/>
      </c>
      <c r="AO326" s="23" t="str">
        <f>IF([2]CHAMNORD!J328=0,"",[2]CHAMNORD!J328)</f>
        <v/>
      </c>
      <c r="AP326" s="17" t="str">
        <f t="shared" si="81"/>
        <v/>
      </c>
      <c r="BB326" s="39"/>
      <c r="BD326" s="5">
        <v>46345</v>
      </c>
      <c r="BE326" s="42">
        <f t="shared" si="82"/>
        <v>16.043816287878787</v>
      </c>
      <c r="BF326" s="72" t="str">
        <f t="shared" si="78"/>
        <v/>
      </c>
      <c r="BG326" s="42" t="str">
        <f t="shared" si="83"/>
        <v/>
      </c>
      <c r="BH326" s="17" t="str">
        <f t="shared" si="84"/>
        <v/>
      </c>
      <c r="BT326" s="39"/>
    </row>
    <row r="327" spans="2:72">
      <c r="B327" s="5">
        <v>46346</v>
      </c>
      <c r="C327" s="23">
        <f>IF([1]CHAMNORD!H328=0,"",[1]CHAMNORD!H328)</f>
        <v>14995.5</v>
      </c>
      <c r="D327" s="22" t="str">
        <f t="shared" si="75"/>
        <v/>
      </c>
      <c r="E327" s="23" t="str">
        <f>IF([2]CHAMNORD!H329=0,"",[2]CHAMNORD!H329)</f>
        <v/>
      </c>
      <c r="F327" s="17" t="str">
        <f t="shared" si="79"/>
        <v/>
      </c>
      <c r="R327" s="39"/>
      <c r="T327" s="5">
        <v>46346</v>
      </c>
      <c r="U327" s="23">
        <f>IF([1]CHAMNORD!I328=0,"",[1]CHAMNORD!I328)</f>
        <v>14827.11</v>
      </c>
      <c r="V327" s="22" t="str">
        <f t="shared" si="76"/>
        <v/>
      </c>
      <c r="W327" s="23" t="str">
        <f>IF([2]CHAMNORD!I329=0,"",[2]CHAMNORD!I329)</f>
        <v/>
      </c>
      <c r="X327" s="17" t="str">
        <f t="shared" si="80"/>
        <v/>
      </c>
      <c r="AJ327" s="39"/>
      <c r="AL327" s="5">
        <v>46346</v>
      </c>
      <c r="AM327" s="23">
        <f>IF([1]CHAMNORD!J328=0,"",[1]CHAMNORD!J328)</f>
        <v>927</v>
      </c>
      <c r="AN327" s="22" t="str">
        <f t="shared" si="77"/>
        <v/>
      </c>
      <c r="AO327" s="23" t="str">
        <f>IF([2]CHAMNORD!J329=0,"",[2]CHAMNORD!J329)</f>
        <v/>
      </c>
      <c r="AP327" s="17" t="str">
        <f t="shared" si="81"/>
        <v/>
      </c>
      <c r="BB327" s="39"/>
      <c r="BD327" s="5">
        <v>46346</v>
      </c>
      <c r="BE327" s="42">
        <f t="shared" si="82"/>
        <v>16.176375404530745</v>
      </c>
      <c r="BF327" s="72" t="str">
        <f t="shared" si="78"/>
        <v/>
      </c>
      <c r="BG327" s="42" t="str">
        <f t="shared" si="83"/>
        <v/>
      </c>
      <c r="BH327" s="17" t="str">
        <f t="shared" si="84"/>
        <v/>
      </c>
      <c r="BT327" s="39"/>
    </row>
    <row r="328" spans="2:72">
      <c r="B328" s="5">
        <v>46347</v>
      </c>
      <c r="C328" s="23">
        <f>IF([1]CHAMNORD!H329=0,"",[1]CHAMNORD!H329)</f>
        <v>23858.240000000002</v>
      </c>
      <c r="D328" s="22" t="str">
        <f t="shared" si="75"/>
        <v/>
      </c>
      <c r="E328" s="23" t="str">
        <f>IF([2]CHAMNORD!H330=0,"",[2]CHAMNORD!H330)</f>
        <v/>
      </c>
      <c r="F328" s="17" t="str">
        <f t="shared" si="79"/>
        <v/>
      </c>
      <c r="R328" s="39"/>
      <c r="T328" s="5">
        <v>46347</v>
      </c>
      <c r="U328" s="23">
        <f>IF([1]CHAMNORD!I329=0,"",[1]CHAMNORD!I329)</f>
        <v>23622.71</v>
      </c>
      <c r="V328" s="22" t="str">
        <f t="shared" si="76"/>
        <v/>
      </c>
      <c r="W328" s="23" t="str">
        <f>IF([2]CHAMNORD!I330=0,"",[2]CHAMNORD!I330)</f>
        <v/>
      </c>
      <c r="X328" s="17" t="str">
        <f t="shared" si="80"/>
        <v/>
      </c>
      <c r="AJ328" s="39"/>
      <c r="AL328" s="5">
        <v>46347</v>
      </c>
      <c r="AM328" s="23">
        <f>IF([1]CHAMNORD!J329=0,"",[1]CHAMNORD!J329)</f>
        <v>1267</v>
      </c>
      <c r="AN328" s="22" t="str">
        <f t="shared" si="77"/>
        <v/>
      </c>
      <c r="AO328" s="23" t="str">
        <f>IF([2]CHAMNORD!J330=0,"",[2]CHAMNORD!J330)</f>
        <v/>
      </c>
      <c r="AP328" s="17" t="str">
        <f t="shared" si="81"/>
        <v/>
      </c>
      <c r="BB328" s="39"/>
      <c r="BD328" s="5">
        <v>46347</v>
      </c>
      <c r="BE328" s="42">
        <f t="shared" si="82"/>
        <v>18.830497237569062</v>
      </c>
      <c r="BF328" s="72" t="str">
        <f t="shared" si="78"/>
        <v/>
      </c>
      <c r="BG328" s="42" t="str">
        <f t="shared" si="83"/>
        <v/>
      </c>
      <c r="BH328" s="17" t="str">
        <f t="shared" si="84"/>
        <v/>
      </c>
      <c r="BT328" s="39"/>
    </row>
    <row r="329" spans="2:72">
      <c r="B329" s="5">
        <v>46348</v>
      </c>
      <c r="C329" s="23">
        <f>IF([1]CHAMNORD!H330=0,"",[1]CHAMNORD!H330)</f>
        <v>22890.25</v>
      </c>
      <c r="D329" s="22" t="str">
        <f t="shared" si="75"/>
        <v/>
      </c>
      <c r="E329" s="24" t="str">
        <f>IF([2]CHAMNORD!H331=0,"",[2]CHAMNORD!H331)</f>
        <v/>
      </c>
      <c r="F329" s="17" t="str">
        <f t="shared" si="79"/>
        <v/>
      </c>
      <c r="R329" s="39"/>
      <c r="T329" s="5">
        <v>46348</v>
      </c>
      <c r="U329" s="23">
        <f>IF([1]CHAMNORD!I330=0,"",[1]CHAMNORD!I330)</f>
        <v>22555.69</v>
      </c>
      <c r="V329" s="22" t="str">
        <f t="shared" si="76"/>
        <v/>
      </c>
      <c r="W329" s="24" t="str">
        <f>IF([2]CHAMNORD!I331=0,"",[2]CHAMNORD!I331)</f>
        <v/>
      </c>
      <c r="X329" s="17" t="str">
        <f t="shared" si="80"/>
        <v/>
      </c>
      <c r="AJ329" s="39"/>
      <c r="AL329" s="5">
        <v>46348</v>
      </c>
      <c r="AM329" s="23">
        <f>IF([1]CHAMNORD!J330=0,"",[1]CHAMNORD!J330)</f>
        <v>1233</v>
      </c>
      <c r="AN329" s="22" t="str">
        <f t="shared" si="77"/>
        <v/>
      </c>
      <c r="AO329" s="24" t="str">
        <f>IF([2]CHAMNORD!J331=0,"",[2]CHAMNORD!J331)</f>
        <v/>
      </c>
      <c r="AP329" s="17" t="str">
        <f t="shared" si="81"/>
        <v/>
      </c>
      <c r="BB329" s="39"/>
      <c r="BD329" s="5">
        <v>46348</v>
      </c>
      <c r="BE329" s="42">
        <f t="shared" si="82"/>
        <v>18.564679643146796</v>
      </c>
      <c r="BF329" s="72" t="str">
        <f t="shared" si="78"/>
        <v/>
      </c>
      <c r="BG329" s="43" t="str">
        <f t="shared" si="83"/>
        <v/>
      </c>
      <c r="BH329" s="17" t="str">
        <f t="shared" si="84"/>
        <v/>
      </c>
      <c r="BT329" s="39"/>
    </row>
    <row r="330" spans="2:72">
      <c r="B330" s="5">
        <v>46349</v>
      </c>
      <c r="C330" s="24">
        <f>IF([1]CHAMNORD!H331=0,"",[1]CHAMNORD!H331)</f>
        <v>22259.72</v>
      </c>
      <c r="D330" s="22" t="str">
        <f t="shared" si="75"/>
        <v/>
      </c>
      <c r="E330" s="21" t="str">
        <f>IF([2]CHAMNORD!H332=0,"",[2]CHAMNORD!H332)</f>
        <v/>
      </c>
      <c r="F330" s="17" t="str">
        <f t="shared" si="79"/>
        <v/>
      </c>
      <c r="R330" s="39"/>
      <c r="T330" s="5">
        <v>46349</v>
      </c>
      <c r="U330" s="24">
        <f>IF([1]CHAMNORD!I331=0,"",[1]CHAMNORD!I331)</f>
        <v>21885.62</v>
      </c>
      <c r="V330" s="22" t="str">
        <f t="shared" si="76"/>
        <v/>
      </c>
      <c r="W330" s="21" t="str">
        <f>IF([2]CHAMNORD!I332=0,"",[2]CHAMNORD!I332)</f>
        <v/>
      </c>
      <c r="X330" s="17" t="str">
        <f t="shared" si="80"/>
        <v/>
      </c>
      <c r="AJ330" s="39"/>
      <c r="AL330" s="5">
        <v>46349</v>
      </c>
      <c r="AM330" s="24">
        <f>IF([1]CHAMNORD!J331=0,"",[1]CHAMNORD!J331)</f>
        <v>1069</v>
      </c>
      <c r="AN330" s="22" t="str">
        <f t="shared" si="77"/>
        <v/>
      </c>
      <c r="AO330" s="21" t="str">
        <f>IF([2]CHAMNORD!J332=0,"",[2]CHAMNORD!J332)</f>
        <v/>
      </c>
      <c r="AP330" s="17" t="str">
        <f t="shared" si="81"/>
        <v/>
      </c>
      <c r="BB330" s="39"/>
      <c r="BD330" s="5">
        <v>46349</v>
      </c>
      <c r="BE330" s="43">
        <f t="shared" si="82"/>
        <v>20.822937324602432</v>
      </c>
      <c r="BF330" s="72" t="str">
        <f t="shared" si="78"/>
        <v/>
      </c>
      <c r="BG330" s="41" t="str">
        <f t="shared" si="83"/>
        <v/>
      </c>
      <c r="BH330" s="17" t="str">
        <f t="shared" si="84"/>
        <v/>
      </c>
      <c r="BT330" s="39"/>
    </row>
    <row r="331" spans="2:72">
      <c r="B331" s="5">
        <v>46350</v>
      </c>
      <c r="C331" s="21">
        <f>IF([1]CHAMNORD!H332=0,"",[1]CHAMNORD!H332)</f>
        <v>12894.36</v>
      </c>
      <c r="D331" s="22" t="str">
        <f t="shared" si="75"/>
        <v/>
      </c>
      <c r="E331" s="23" t="str">
        <f>IF([2]CHAMNORD!H333=0,"",[2]CHAMNORD!H333)</f>
        <v/>
      </c>
      <c r="F331" s="17" t="str">
        <f t="shared" si="79"/>
        <v/>
      </c>
      <c r="R331" s="39"/>
      <c r="T331" s="5">
        <v>46350</v>
      </c>
      <c r="U331" s="21">
        <f>IF([1]CHAMNORD!I332=0,"",[1]CHAMNORD!I332)</f>
        <v>12756.38</v>
      </c>
      <c r="V331" s="22" t="str">
        <f t="shared" si="76"/>
        <v/>
      </c>
      <c r="W331" s="23" t="str">
        <f>IF([2]CHAMNORD!I333=0,"",[2]CHAMNORD!I333)</f>
        <v/>
      </c>
      <c r="X331" s="17" t="str">
        <f t="shared" si="80"/>
        <v/>
      </c>
      <c r="AJ331" s="39"/>
      <c r="AL331" s="5">
        <v>46350</v>
      </c>
      <c r="AM331" s="21">
        <f>IF([1]CHAMNORD!J332=0,"",[1]CHAMNORD!J332)</f>
        <v>804</v>
      </c>
      <c r="AN331" s="22" t="str">
        <f t="shared" si="77"/>
        <v/>
      </c>
      <c r="AO331" s="23" t="str">
        <f>IF([2]CHAMNORD!J333=0,"",[2]CHAMNORD!J333)</f>
        <v/>
      </c>
      <c r="AP331" s="17" t="str">
        <f t="shared" si="81"/>
        <v/>
      </c>
      <c r="BB331" s="39"/>
      <c r="BD331" s="5">
        <v>46350</v>
      </c>
      <c r="BE331" s="41">
        <f t="shared" si="82"/>
        <v>16.037761194029851</v>
      </c>
      <c r="BF331" s="72" t="str">
        <f t="shared" si="78"/>
        <v/>
      </c>
      <c r="BG331" s="42" t="str">
        <f t="shared" si="83"/>
        <v/>
      </c>
      <c r="BH331" s="17" t="str">
        <f t="shared" si="84"/>
        <v/>
      </c>
      <c r="BT331" s="39"/>
    </row>
    <row r="332" spans="2:72">
      <c r="B332" s="5">
        <v>46351</v>
      </c>
      <c r="C332" s="23">
        <f>IF([1]CHAMNORD!H333=0,"",[1]CHAMNORD!H333)</f>
        <v>13561.87</v>
      </c>
      <c r="D332" s="22" t="str">
        <f t="shared" si="75"/>
        <v/>
      </c>
      <c r="E332" s="23" t="str">
        <f>IF([2]CHAMNORD!H334=0,"",[2]CHAMNORD!H334)</f>
        <v/>
      </c>
      <c r="F332" s="17" t="str">
        <f t="shared" si="79"/>
        <v/>
      </c>
      <c r="R332" s="39"/>
      <c r="T332" s="5">
        <v>46351</v>
      </c>
      <c r="U332" s="23">
        <f>IF([1]CHAMNORD!I333=0,"",[1]CHAMNORD!I333)</f>
        <v>13432.16</v>
      </c>
      <c r="V332" s="22" t="str">
        <f t="shared" si="76"/>
        <v/>
      </c>
      <c r="W332" s="23" t="str">
        <f>IF([2]CHAMNORD!I334=0,"",[2]CHAMNORD!I334)</f>
        <v/>
      </c>
      <c r="X332" s="17" t="str">
        <f t="shared" si="80"/>
        <v/>
      </c>
      <c r="AJ332" s="39"/>
      <c r="AL332" s="5">
        <v>46351</v>
      </c>
      <c r="AM332" s="23">
        <f>IF([1]CHAMNORD!J333=0,"",[1]CHAMNORD!J333)</f>
        <v>823</v>
      </c>
      <c r="AN332" s="22" t="str">
        <f t="shared" si="77"/>
        <v/>
      </c>
      <c r="AO332" s="23" t="str">
        <f>IF([2]CHAMNORD!J334=0,"",[2]CHAMNORD!J334)</f>
        <v/>
      </c>
      <c r="AP332" s="17" t="str">
        <f t="shared" si="81"/>
        <v/>
      </c>
      <c r="BB332" s="39"/>
      <c r="BD332" s="5">
        <v>46351</v>
      </c>
      <c r="BE332" s="42">
        <f t="shared" si="82"/>
        <v>16.47857837181045</v>
      </c>
      <c r="BF332" s="72" t="str">
        <f t="shared" si="78"/>
        <v/>
      </c>
      <c r="BG332" s="42" t="str">
        <f t="shared" si="83"/>
        <v/>
      </c>
      <c r="BH332" s="17" t="str">
        <f t="shared" si="84"/>
        <v/>
      </c>
      <c r="BT332" s="39"/>
    </row>
    <row r="333" spans="2:72">
      <c r="B333" s="5">
        <v>46352</v>
      </c>
      <c r="C333" s="23">
        <f>IF([1]CHAMNORD!H334=0,"",[1]CHAMNORD!H334)</f>
        <v>17264.2</v>
      </c>
      <c r="D333" s="22" t="str">
        <f t="shared" si="75"/>
        <v/>
      </c>
      <c r="E333" s="23" t="str">
        <f>IF([2]CHAMNORD!H335=0,"",[2]CHAMNORD!H335)</f>
        <v/>
      </c>
      <c r="F333" s="17" t="str">
        <f t="shared" si="79"/>
        <v/>
      </c>
      <c r="R333" s="39"/>
      <c r="T333" s="5">
        <v>46352</v>
      </c>
      <c r="U333" s="23">
        <f>IF([1]CHAMNORD!I334=0,"",[1]CHAMNORD!I334)</f>
        <v>16998.849999999999</v>
      </c>
      <c r="V333" s="22" t="str">
        <f t="shared" si="76"/>
        <v/>
      </c>
      <c r="W333" s="23" t="str">
        <f>IF([2]CHAMNORD!I335=0,"",[2]CHAMNORD!I335)</f>
        <v/>
      </c>
      <c r="X333" s="17" t="str">
        <f t="shared" si="80"/>
        <v/>
      </c>
      <c r="AJ333" s="39"/>
      <c r="AL333" s="5">
        <v>46352</v>
      </c>
      <c r="AM333" s="23">
        <f>IF([1]CHAMNORD!J334=0,"",[1]CHAMNORD!J334)</f>
        <v>1047</v>
      </c>
      <c r="AN333" s="22" t="str">
        <f t="shared" si="77"/>
        <v/>
      </c>
      <c r="AO333" s="23" t="str">
        <f>IF([2]CHAMNORD!J335=0,"",[2]CHAMNORD!J335)</f>
        <v/>
      </c>
      <c r="AP333" s="17" t="str">
        <f t="shared" si="81"/>
        <v/>
      </c>
      <c r="BB333" s="39"/>
      <c r="BD333" s="5">
        <v>46352</v>
      </c>
      <c r="BE333" s="42">
        <f t="shared" si="82"/>
        <v>16.489207258834767</v>
      </c>
      <c r="BF333" s="72" t="str">
        <f t="shared" si="78"/>
        <v/>
      </c>
      <c r="BG333" s="42" t="str">
        <f t="shared" si="83"/>
        <v/>
      </c>
      <c r="BH333" s="17" t="str">
        <f t="shared" si="84"/>
        <v/>
      </c>
      <c r="BT333" s="39"/>
    </row>
    <row r="334" spans="2:72">
      <c r="B334" s="5">
        <v>46353</v>
      </c>
      <c r="C334" s="23">
        <f>IF([1]CHAMNORD!H335=0,"",[1]CHAMNORD!H335)</f>
        <v>17801.07</v>
      </c>
      <c r="D334" s="22" t="str">
        <f t="shared" si="75"/>
        <v/>
      </c>
      <c r="E334" s="23" t="str">
        <f>IF([2]CHAMNORD!H336=0,"",[2]CHAMNORD!H336)</f>
        <v/>
      </c>
      <c r="F334" s="17" t="str">
        <f t="shared" si="79"/>
        <v/>
      </c>
      <c r="R334" s="39"/>
      <c r="T334" s="5">
        <v>46353</v>
      </c>
      <c r="U334" s="23">
        <f>IF([1]CHAMNORD!I335=0,"",[1]CHAMNORD!I335)</f>
        <v>17536.61</v>
      </c>
      <c r="V334" s="22" t="str">
        <f t="shared" si="76"/>
        <v/>
      </c>
      <c r="W334" s="23" t="str">
        <f>IF([2]CHAMNORD!I336=0,"",[2]CHAMNORD!I336)</f>
        <v/>
      </c>
      <c r="X334" s="17" t="str">
        <f t="shared" si="80"/>
        <v/>
      </c>
      <c r="AJ334" s="39"/>
      <c r="AL334" s="5">
        <v>46353</v>
      </c>
      <c r="AM334" s="23">
        <f>IF([1]CHAMNORD!J335=0,"",[1]CHAMNORD!J335)</f>
        <v>1041</v>
      </c>
      <c r="AN334" s="22" t="str">
        <f t="shared" si="77"/>
        <v/>
      </c>
      <c r="AO334" s="23" t="str">
        <f>IF([2]CHAMNORD!J336=0,"",[2]CHAMNORD!J336)</f>
        <v/>
      </c>
      <c r="AP334" s="17" t="str">
        <f t="shared" si="81"/>
        <v/>
      </c>
      <c r="BB334" s="39"/>
      <c r="BD334" s="5">
        <v>46353</v>
      </c>
      <c r="BE334" s="42">
        <f t="shared" si="82"/>
        <v>17.099971181556196</v>
      </c>
      <c r="BF334" s="72" t="str">
        <f t="shared" si="78"/>
        <v/>
      </c>
      <c r="BG334" s="42" t="str">
        <f t="shared" si="83"/>
        <v/>
      </c>
      <c r="BH334" s="17" t="str">
        <f t="shared" si="84"/>
        <v/>
      </c>
      <c r="BT334" s="39"/>
    </row>
    <row r="335" spans="2:72">
      <c r="B335" s="5">
        <v>46354</v>
      </c>
      <c r="C335" s="23">
        <f>IF([1]CHAMNORD!H336=0,"",[1]CHAMNORD!H336)</f>
        <v>25046.26</v>
      </c>
      <c r="D335" s="22" t="str">
        <f t="shared" si="75"/>
        <v/>
      </c>
      <c r="E335" s="23" t="str">
        <f>IF([2]CHAMNORD!H337=0,"",[2]CHAMNORD!H337)</f>
        <v/>
      </c>
      <c r="F335" s="17" t="str">
        <f t="shared" si="79"/>
        <v/>
      </c>
      <c r="R335" s="39"/>
      <c r="T335" s="5">
        <v>46354</v>
      </c>
      <c r="U335" s="23">
        <f>IF([1]CHAMNORD!I336=0,"",[1]CHAMNORD!I336)</f>
        <v>24632.87</v>
      </c>
      <c r="V335" s="22" t="str">
        <f t="shared" si="76"/>
        <v/>
      </c>
      <c r="W335" s="23" t="str">
        <f>IF([2]CHAMNORD!I337=0,"",[2]CHAMNORD!I337)</f>
        <v/>
      </c>
      <c r="X335" s="17" t="str">
        <f t="shared" si="80"/>
        <v/>
      </c>
      <c r="AJ335" s="39"/>
      <c r="AL335" s="5">
        <v>46354</v>
      </c>
      <c r="AM335" s="23">
        <f>IF([1]CHAMNORD!J336=0,"",[1]CHAMNORD!J336)</f>
        <v>1324</v>
      </c>
      <c r="AN335" s="22" t="str">
        <f t="shared" si="77"/>
        <v/>
      </c>
      <c r="AO335" s="23" t="str">
        <f>IF([2]CHAMNORD!J337=0,"",[2]CHAMNORD!J337)</f>
        <v/>
      </c>
      <c r="AP335" s="17" t="str">
        <f t="shared" si="81"/>
        <v/>
      </c>
      <c r="BB335" s="39"/>
      <c r="BD335" s="5">
        <v>46354</v>
      </c>
      <c r="BE335" s="42">
        <f t="shared" si="82"/>
        <v>18.917114803625378</v>
      </c>
      <c r="BF335" s="72" t="str">
        <f t="shared" si="78"/>
        <v/>
      </c>
      <c r="BG335" s="42" t="str">
        <f t="shared" si="83"/>
        <v/>
      </c>
      <c r="BH335" s="17" t="str">
        <f t="shared" si="84"/>
        <v/>
      </c>
      <c r="BT335" s="39"/>
    </row>
    <row r="336" spans="2:72">
      <c r="B336" s="5">
        <v>46355</v>
      </c>
      <c r="C336" s="23">
        <f>IF([1]CHAMNORD!H337=0,"",[1]CHAMNORD!H337)</f>
        <v>26475.360000000001</v>
      </c>
      <c r="D336" s="22" t="str">
        <f t="shared" si="75"/>
        <v/>
      </c>
      <c r="E336" s="24" t="str">
        <f>IF([2]CHAMNORD!H338=0,"",[2]CHAMNORD!H338)</f>
        <v/>
      </c>
      <c r="F336" s="17" t="str">
        <f t="shared" si="79"/>
        <v/>
      </c>
      <c r="R336" s="39"/>
      <c r="T336" s="5">
        <v>46355</v>
      </c>
      <c r="U336" s="23">
        <f>IF([1]CHAMNORD!I337=0,"",[1]CHAMNORD!I337)</f>
        <v>25946.79</v>
      </c>
      <c r="V336" s="22" t="str">
        <f t="shared" si="76"/>
        <v/>
      </c>
      <c r="W336" s="24" t="str">
        <f>IF([2]CHAMNORD!I338=0,"",[2]CHAMNORD!I338)</f>
        <v/>
      </c>
      <c r="X336" s="17" t="str">
        <f t="shared" si="80"/>
        <v/>
      </c>
      <c r="AJ336" s="39"/>
      <c r="AL336" s="5">
        <v>46355</v>
      </c>
      <c r="AM336" s="23">
        <f>IF([1]CHAMNORD!J337=0,"",[1]CHAMNORD!J337)</f>
        <v>1317</v>
      </c>
      <c r="AN336" s="22" t="str">
        <f t="shared" si="77"/>
        <v/>
      </c>
      <c r="AO336" s="24" t="str">
        <f>IF([2]CHAMNORD!J338=0,"",[2]CHAMNORD!J338)</f>
        <v/>
      </c>
      <c r="AP336" s="17" t="str">
        <f t="shared" si="81"/>
        <v/>
      </c>
      <c r="BB336" s="39"/>
      <c r="BD336" s="5">
        <v>46355</v>
      </c>
      <c r="BE336" s="42">
        <f t="shared" si="82"/>
        <v>20.102779043280183</v>
      </c>
      <c r="BF336" s="72" t="str">
        <f t="shared" si="78"/>
        <v/>
      </c>
      <c r="BG336" s="43" t="str">
        <f t="shared" si="83"/>
        <v/>
      </c>
      <c r="BH336" s="17" t="str">
        <f t="shared" si="84"/>
        <v/>
      </c>
      <c r="BT336" s="39"/>
    </row>
    <row r="337" spans="2:72">
      <c r="B337" s="5">
        <v>46356</v>
      </c>
      <c r="C337" s="24">
        <f>IF([1]CHAMNORD!H338=0,"",[1]CHAMNORD!H338)</f>
        <v>24030.02</v>
      </c>
      <c r="D337" s="22" t="str">
        <f t="shared" si="75"/>
        <v/>
      </c>
      <c r="E337" s="21" t="str">
        <f>IF([2]CHAMNORD!H339=0,"",[2]CHAMNORD!H339)</f>
        <v/>
      </c>
      <c r="F337" s="17" t="str">
        <f t="shared" si="79"/>
        <v/>
      </c>
      <c r="R337" s="39"/>
      <c r="T337" s="5">
        <v>46356</v>
      </c>
      <c r="U337" s="24">
        <f>IF([1]CHAMNORD!I338=0,"",[1]CHAMNORD!I338)</f>
        <v>23515.19</v>
      </c>
      <c r="V337" s="22" t="str">
        <f t="shared" si="76"/>
        <v/>
      </c>
      <c r="W337" s="21" t="str">
        <f>IF([2]CHAMNORD!I339=0,"",[2]CHAMNORD!I339)</f>
        <v/>
      </c>
      <c r="X337" s="17" t="str">
        <f t="shared" si="80"/>
        <v/>
      </c>
      <c r="AJ337" s="39"/>
      <c r="AL337" s="5">
        <v>46356</v>
      </c>
      <c r="AM337" s="24">
        <f>IF([1]CHAMNORD!J338=0,"",[1]CHAMNORD!J338)</f>
        <v>1124</v>
      </c>
      <c r="AN337" s="22" t="str">
        <f t="shared" si="77"/>
        <v/>
      </c>
      <c r="AO337" s="21" t="str">
        <f>IF([2]CHAMNORD!J339=0,"",[2]CHAMNORD!J339)</f>
        <v/>
      </c>
      <c r="AP337" s="17" t="str">
        <f t="shared" si="81"/>
        <v/>
      </c>
      <c r="BB337" s="39"/>
      <c r="BD337" s="5">
        <v>46356</v>
      </c>
      <c r="BE337" s="43">
        <f t="shared" si="82"/>
        <v>21.379021352313167</v>
      </c>
      <c r="BF337" s="72" t="str">
        <f t="shared" si="78"/>
        <v/>
      </c>
      <c r="BG337" s="41" t="str">
        <f t="shared" si="83"/>
        <v/>
      </c>
      <c r="BH337" s="17" t="str">
        <f t="shared" si="84"/>
        <v/>
      </c>
      <c r="BT337" s="39"/>
    </row>
    <row r="338" spans="2:72">
      <c r="B338" s="5">
        <v>46357</v>
      </c>
      <c r="C338" s="21">
        <f>IF([1]CHAMNORD!H339=0,"",[1]CHAMNORD!H339)</f>
        <v>13279.16</v>
      </c>
      <c r="D338" s="22" t="str">
        <f t="shared" si="75"/>
        <v/>
      </c>
      <c r="E338" s="23" t="str">
        <f>IF([2]CHAMNORD!H340=0,"",[2]CHAMNORD!H340)</f>
        <v/>
      </c>
      <c r="F338" s="17" t="str">
        <f t="shared" si="79"/>
        <v/>
      </c>
      <c r="R338" s="39"/>
      <c r="T338" s="5">
        <v>46357</v>
      </c>
      <c r="U338" s="21">
        <f>IF([1]CHAMNORD!I339=0,"",[1]CHAMNORD!I339)</f>
        <v>13031.89</v>
      </c>
      <c r="V338" s="22" t="str">
        <f t="shared" si="76"/>
        <v/>
      </c>
      <c r="W338" s="23" t="str">
        <f>IF([2]CHAMNORD!I340=0,"",[2]CHAMNORD!I340)</f>
        <v/>
      </c>
      <c r="X338" s="17" t="str">
        <f t="shared" si="80"/>
        <v/>
      </c>
      <c r="AJ338" s="39"/>
      <c r="AL338" s="5">
        <v>46357</v>
      </c>
      <c r="AM338" s="21">
        <f>IF([1]CHAMNORD!J339=0,"",[1]CHAMNORD!J339)</f>
        <v>803</v>
      </c>
      <c r="AN338" s="22" t="str">
        <f t="shared" si="77"/>
        <v/>
      </c>
      <c r="AO338" s="23" t="str">
        <f>IF([2]CHAMNORD!J340=0,"",[2]CHAMNORD!J340)</f>
        <v/>
      </c>
      <c r="AP338" s="17" t="str">
        <f t="shared" si="81"/>
        <v/>
      </c>
      <c r="BB338" s="39"/>
      <c r="BD338" s="5">
        <v>46357</v>
      </c>
      <c r="BE338" s="41">
        <f t="shared" si="82"/>
        <v>16.536936488169363</v>
      </c>
      <c r="BF338" s="72" t="str">
        <f t="shared" si="78"/>
        <v/>
      </c>
      <c r="BG338" s="42" t="str">
        <f t="shared" si="83"/>
        <v/>
      </c>
      <c r="BH338" s="17" t="str">
        <f t="shared" si="84"/>
        <v/>
      </c>
      <c r="BT338" s="39"/>
    </row>
    <row r="339" spans="2:72">
      <c r="B339" s="5">
        <v>46358</v>
      </c>
      <c r="C339" s="23">
        <f>IF([1]CHAMNORD!H340=0,"",[1]CHAMNORD!H340)</f>
        <v>15138.45</v>
      </c>
      <c r="D339" s="22" t="str">
        <f t="shared" si="75"/>
        <v/>
      </c>
      <c r="E339" s="23" t="str">
        <f>IF([2]CHAMNORD!H341=0,"",[2]CHAMNORD!H341)</f>
        <v/>
      </c>
      <c r="F339" s="17" t="str">
        <f t="shared" si="79"/>
        <v/>
      </c>
      <c r="R339" s="39"/>
      <c r="T339" s="5">
        <v>46358</v>
      </c>
      <c r="U339" s="23">
        <f>IF([1]CHAMNORD!I340=0,"",[1]CHAMNORD!I340)</f>
        <v>14829.02</v>
      </c>
      <c r="V339" s="22" t="str">
        <f t="shared" si="76"/>
        <v/>
      </c>
      <c r="W339" s="23" t="str">
        <f>IF([2]CHAMNORD!I341=0,"",[2]CHAMNORD!I341)</f>
        <v/>
      </c>
      <c r="X339" s="17" t="str">
        <f t="shared" si="80"/>
        <v/>
      </c>
      <c r="AJ339" s="39"/>
      <c r="AL339" s="5">
        <v>46358</v>
      </c>
      <c r="AM339" s="23">
        <f>IF([1]CHAMNORD!J340=0,"",[1]CHAMNORD!J340)</f>
        <v>908</v>
      </c>
      <c r="AN339" s="22" t="str">
        <f t="shared" si="77"/>
        <v/>
      </c>
      <c r="AO339" s="23" t="str">
        <f>IF([2]CHAMNORD!J341=0,"",[2]CHAMNORD!J341)</f>
        <v/>
      </c>
      <c r="AP339" s="17" t="str">
        <f t="shared" si="81"/>
        <v/>
      </c>
      <c r="BB339" s="39"/>
      <c r="BD339" s="5">
        <v>46358</v>
      </c>
      <c r="BE339" s="42">
        <f t="shared" si="82"/>
        <v>16.67230176211454</v>
      </c>
      <c r="BF339" s="72" t="str">
        <f t="shared" si="78"/>
        <v/>
      </c>
      <c r="BG339" s="42" t="str">
        <f t="shared" si="83"/>
        <v/>
      </c>
      <c r="BH339" s="17" t="str">
        <f t="shared" si="84"/>
        <v/>
      </c>
      <c r="BT339" s="39"/>
    </row>
    <row r="340" spans="2:72">
      <c r="B340" s="5">
        <v>46359</v>
      </c>
      <c r="C340" s="23">
        <f>IF([1]CHAMNORD!H341=0,"",[1]CHAMNORD!H341)</f>
        <v>18612.77</v>
      </c>
      <c r="D340" s="22" t="str">
        <f t="shared" si="75"/>
        <v/>
      </c>
      <c r="E340" s="23" t="str">
        <f>IF([2]CHAMNORD!H342=0,"",[2]CHAMNORD!H342)</f>
        <v/>
      </c>
      <c r="F340" s="17" t="str">
        <f t="shared" si="79"/>
        <v/>
      </c>
      <c r="R340" s="39"/>
      <c r="T340" s="5">
        <v>46359</v>
      </c>
      <c r="U340" s="23">
        <f>IF([1]CHAMNORD!I341=0,"",[1]CHAMNORD!I341)</f>
        <v>18121.060000000001</v>
      </c>
      <c r="V340" s="22" t="str">
        <f t="shared" si="76"/>
        <v/>
      </c>
      <c r="W340" s="23" t="str">
        <f>IF([2]CHAMNORD!I342=0,"",[2]CHAMNORD!I342)</f>
        <v/>
      </c>
      <c r="X340" s="17" t="str">
        <f t="shared" si="80"/>
        <v/>
      </c>
      <c r="AJ340" s="39"/>
      <c r="AL340" s="5">
        <v>46359</v>
      </c>
      <c r="AM340" s="23">
        <f>IF([1]CHAMNORD!J341=0,"",[1]CHAMNORD!J341)</f>
        <v>1063</v>
      </c>
      <c r="AN340" s="22" t="str">
        <f t="shared" si="77"/>
        <v/>
      </c>
      <c r="AO340" s="23" t="str">
        <f>IF([2]CHAMNORD!J342=0,"",[2]CHAMNORD!J342)</f>
        <v/>
      </c>
      <c r="AP340" s="17" t="str">
        <f t="shared" si="81"/>
        <v/>
      </c>
      <c r="BB340" s="39"/>
      <c r="BD340" s="5">
        <v>46359</v>
      </c>
      <c r="BE340" s="42">
        <f t="shared" si="82"/>
        <v>17.509661335841958</v>
      </c>
      <c r="BF340" s="72" t="str">
        <f t="shared" si="78"/>
        <v/>
      </c>
      <c r="BG340" s="42" t="str">
        <f t="shared" si="83"/>
        <v/>
      </c>
      <c r="BH340" s="17" t="str">
        <f t="shared" si="84"/>
        <v/>
      </c>
      <c r="BT340" s="39"/>
    </row>
    <row r="341" spans="2:72">
      <c r="B341" s="5">
        <v>46360</v>
      </c>
      <c r="C341" s="23">
        <f>IF([1]CHAMNORD!H342=0,"",[1]CHAMNORD!H342)</f>
        <v>16325.24</v>
      </c>
      <c r="D341" s="22" t="str">
        <f t="shared" si="75"/>
        <v/>
      </c>
      <c r="E341" s="23" t="str">
        <f>IF([2]CHAMNORD!H343=0,"",[2]CHAMNORD!H343)</f>
        <v/>
      </c>
      <c r="F341" s="17" t="str">
        <f t="shared" si="79"/>
        <v/>
      </c>
      <c r="R341" s="39"/>
      <c r="T341" s="5">
        <v>46360</v>
      </c>
      <c r="U341" s="23">
        <f>IF([1]CHAMNORD!I342=0,"",[1]CHAMNORD!I342)</f>
        <v>16000.11</v>
      </c>
      <c r="V341" s="22" t="str">
        <f t="shared" si="76"/>
        <v/>
      </c>
      <c r="W341" s="23" t="str">
        <f>IF([2]CHAMNORD!I343=0,"",[2]CHAMNORD!I343)</f>
        <v/>
      </c>
      <c r="X341" s="17" t="str">
        <f t="shared" si="80"/>
        <v/>
      </c>
      <c r="AJ341" s="39"/>
      <c r="AL341" s="5">
        <v>46360</v>
      </c>
      <c r="AM341" s="23">
        <f>IF([1]CHAMNORD!J342=0,"",[1]CHAMNORD!J342)</f>
        <v>981</v>
      </c>
      <c r="AN341" s="22" t="str">
        <f t="shared" si="77"/>
        <v/>
      </c>
      <c r="AO341" s="23" t="str">
        <f>IF([2]CHAMNORD!J343=0,"",[2]CHAMNORD!J343)</f>
        <v/>
      </c>
      <c r="AP341" s="17" t="str">
        <f t="shared" si="81"/>
        <v/>
      </c>
      <c r="BB341" s="39"/>
      <c r="BD341" s="5">
        <v>46360</v>
      </c>
      <c r="BE341" s="42">
        <f t="shared" si="82"/>
        <v>16.641427115188584</v>
      </c>
      <c r="BF341" s="72" t="str">
        <f t="shared" si="78"/>
        <v/>
      </c>
      <c r="BG341" s="42" t="str">
        <f t="shared" si="83"/>
        <v/>
      </c>
      <c r="BH341" s="17" t="str">
        <f t="shared" si="84"/>
        <v/>
      </c>
      <c r="BT341" s="39"/>
    </row>
    <row r="342" spans="2:72">
      <c r="B342" s="5">
        <v>46361</v>
      </c>
      <c r="C342" s="23">
        <f>IF([1]CHAMNORD!H343=0,"",[1]CHAMNORD!H343)</f>
        <v>26008.09</v>
      </c>
      <c r="D342" s="22" t="str">
        <f t="shared" si="75"/>
        <v/>
      </c>
      <c r="E342" s="23" t="str">
        <f>IF([2]CHAMNORD!H344=0,"",[2]CHAMNORD!H344)</f>
        <v/>
      </c>
      <c r="F342" s="17" t="str">
        <f t="shared" si="79"/>
        <v/>
      </c>
      <c r="R342" s="39"/>
      <c r="T342" s="5">
        <v>46361</v>
      </c>
      <c r="U342" s="23">
        <f>IF([1]CHAMNORD!I343=0,"",[1]CHAMNORD!I343)</f>
        <v>25492.87</v>
      </c>
      <c r="V342" s="22" t="str">
        <f t="shared" si="76"/>
        <v/>
      </c>
      <c r="W342" s="23" t="str">
        <f>IF([2]CHAMNORD!I344=0,"",[2]CHAMNORD!I344)</f>
        <v/>
      </c>
      <c r="X342" s="17" t="str">
        <f t="shared" si="80"/>
        <v/>
      </c>
      <c r="AJ342" s="39"/>
      <c r="AL342" s="5">
        <v>46361</v>
      </c>
      <c r="AM342" s="23">
        <f>IF([1]CHAMNORD!J343=0,"",[1]CHAMNORD!J343)</f>
        <v>1408</v>
      </c>
      <c r="AN342" s="22" t="str">
        <f t="shared" si="77"/>
        <v/>
      </c>
      <c r="AO342" s="23" t="str">
        <f>IF([2]CHAMNORD!J344=0,"",[2]CHAMNORD!J344)</f>
        <v/>
      </c>
      <c r="AP342" s="17" t="str">
        <f t="shared" si="81"/>
        <v/>
      </c>
      <c r="BB342" s="39"/>
      <c r="BD342" s="5">
        <v>46361</v>
      </c>
      <c r="BE342" s="42">
        <f t="shared" si="82"/>
        <v>18.471654829545454</v>
      </c>
      <c r="BF342" s="72" t="str">
        <f t="shared" si="78"/>
        <v/>
      </c>
      <c r="BG342" s="42" t="str">
        <f t="shared" si="83"/>
        <v/>
      </c>
      <c r="BH342" s="17" t="str">
        <f t="shared" si="84"/>
        <v/>
      </c>
      <c r="BT342" s="39"/>
    </row>
    <row r="343" spans="2:72">
      <c r="B343" s="5">
        <v>46362</v>
      </c>
      <c r="C343" s="23">
        <f>IF([1]CHAMNORD!H344=0,"",[1]CHAMNORD!H344)</f>
        <v>25100.14</v>
      </c>
      <c r="D343" s="22" t="str">
        <f t="shared" si="75"/>
        <v/>
      </c>
      <c r="E343" s="24" t="str">
        <f>IF([2]CHAMNORD!H345=0,"",[2]CHAMNORD!H345)</f>
        <v/>
      </c>
      <c r="F343" s="17" t="str">
        <f t="shared" si="79"/>
        <v/>
      </c>
      <c r="R343" s="39"/>
      <c r="T343" s="5">
        <v>46362</v>
      </c>
      <c r="U343" s="23">
        <f>IF([1]CHAMNORD!I344=0,"",[1]CHAMNORD!I344)</f>
        <v>24491.73</v>
      </c>
      <c r="V343" s="22" t="str">
        <f t="shared" si="76"/>
        <v/>
      </c>
      <c r="W343" s="24" t="str">
        <f>IF([2]CHAMNORD!I345=0,"",[2]CHAMNORD!I345)</f>
        <v/>
      </c>
      <c r="X343" s="17" t="str">
        <f t="shared" si="80"/>
        <v/>
      </c>
      <c r="AJ343" s="39"/>
      <c r="AL343" s="5">
        <v>46362</v>
      </c>
      <c r="AM343" s="23">
        <f>IF([1]CHAMNORD!J344=0,"",[1]CHAMNORD!J344)</f>
        <v>1255</v>
      </c>
      <c r="AN343" s="22" t="str">
        <f t="shared" si="77"/>
        <v/>
      </c>
      <c r="AO343" s="24" t="str">
        <f>IF([2]CHAMNORD!J345=0,"",[2]CHAMNORD!J345)</f>
        <v/>
      </c>
      <c r="AP343" s="17" t="str">
        <f t="shared" si="81"/>
        <v/>
      </c>
      <c r="BB343" s="39"/>
      <c r="BD343" s="5">
        <v>46362</v>
      </c>
      <c r="BE343" s="42">
        <f t="shared" si="82"/>
        <v>20.000111553784858</v>
      </c>
      <c r="BF343" s="72" t="str">
        <f t="shared" si="78"/>
        <v/>
      </c>
      <c r="BG343" s="43" t="str">
        <f t="shared" si="83"/>
        <v/>
      </c>
      <c r="BH343" s="17" t="str">
        <f t="shared" si="84"/>
        <v/>
      </c>
      <c r="BT343" s="39"/>
    </row>
    <row r="344" spans="2:72">
      <c r="B344" s="5">
        <v>46363</v>
      </c>
      <c r="C344" s="24">
        <f>IF([1]CHAMNORD!H345=0,"",[1]CHAMNORD!H345)</f>
        <v>23398.81</v>
      </c>
      <c r="D344" s="22" t="str">
        <f t="shared" si="75"/>
        <v/>
      </c>
      <c r="E344" s="21" t="str">
        <f>IF([2]CHAMNORD!H346=0,"",[2]CHAMNORD!H346)</f>
        <v/>
      </c>
      <c r="F344" s="17" t="str">
        <f t="shared" si="79"/>
        <v/>
      </c>
      <c r="R344" s="39"/>
      <c r="T344" s="5">
        <v>46363</v>
      </c>
      <c r="U344" s="24">
        <f>IF([1]CHAMNORD!I345=0,"",[1]CHAMNORD!I345)</f>
        <v>22841.56</v>
      </c>
      <c r="V344" s="22" t="str">
        <f t="shared" si="76"/>
        <v/>
      </c>
      <c r="W344" s="21" t="str">
        <f>IF([2]CHAMNORD!I346=0,"",[2]CHAMNORD!I346)</f>
        <v/>
      </c>
      <c r="X344" s="17" t="str">
        <f t="shared" si="80"/>
        <v/>
      </c>
      <c r="AJ344" s="39"/>
      <c r="AL344" s="5">
        <v>46363</v>
      </c>
      <c r="AM344" s="24">
        <f>IF([1]CHAMNORD!J345=0,"",[1]CHAMNORD!J345)</f>
        <v>1129</v>
      </c>
      <c r="AN344" s="22" t="str">
        <f t="shared" si="77"/>
        <v/>
      </c>
      <c r="AO344" s="21" t="str">
        <f>IF([2]CHAMNORD!J346=0,"",[2]CHAMNORD!J346)</f>
        <v/>
      </c>
      <c r="AP344" s="17" t="str">
        <f t="shared" si="81"/>
        <v/>
      </c>
      <c r="BB344" s="39"/>
      <c r="BD344" s="5">
        <v>46363</v>
      </c>
      <c r="BE344" s="43">
        <f t="shared" si="82"/>
        <v>20.725252435783879</v>
      </c>
      <c r="BF344" s="72" t="str">
        <f t="shared" si="78"/>
        <v/>
      </c>
      <c r="BG344" s="41" t="str">
        <f t="shared" si="83"/>
        <v/>
      </c>
      <c r="BH344" s="17" t="str">
        <f t="shared" si="84"/>
        <v/>
      </c>
      <c r="BT344" s="39"/>
    </row>
    <row r="345" spans="2:72">
      <c r="B345" s="5">
        <v>46364</v>
      </c>
      <c r="C345" s="21">
        <f>IF([1]CHAMNORD!H346=0,"",[1]CHAMNORD!H346)</f>
        <v>14028.33</v>
      </c>
      <c r="D345" s="22" t="str">
        <f t="shared" si="75"/>
        <v/>
      </c>
      <c r="E345" s="23" t="str">
        <f>IF([2]CHAMNORD!H347=0,"",[2]CHAMNORD!H347)</f>
        <v/>
      </c>
      <c r="F345" s="17" t="str">
        <f t="shared" si="79"/>
        <v/>
      </c>
      <c r="R345" s="39"/>
      <c r="T345" s="5">
        <v>46364</v>
      </c>
      <c r="U345" s="21">
        <f>IF([1]CHAMNORD!I346=0,"",[1]CHAMNORD!I346)</f>
        <v>13775.56</v>
      </c>
      <c r="V345" s="22" t="str">
        <f t="shared" si="76"/>
        <v/>
      </c>
      <c r="W345" s="23" t="str">
        <f>IF([2]CHAMNORD!I347=0,"",[2]CHAMNORD!I347)</f>
        <v/>
      </c>
      <c r="X345" s="17" t="str">
        <f t="shared" si="80"/>
        <v/>
      </c>
      <c r="AJ345" s="39"/>
      <c r="AL345" s="5">
        <v>46364</v>
      </c>
      <c r="AM345" s="21">
        <f>IF([1]CHAMNORD!J346=0,"",[1]CHAMNORD!J346)</f>
        <v>869</v>
      </c>
      <c r="AN345" s="22" t="str">
        <f t="shared" si="77"/>
        <v/>
      </c>
      <c r="AO345" s="23" t="str">
        <f>IF([2]CHAMNORD!J347=0,"",[2]CHAMNORD!J347)</f>
        <v/>
      </c>
      <c r="AP345" s="17" t="str">
        <f t="shared" si="81"/>
        <v/>
      </c>
      <c r="BB345" s="39"/>
      <c r="BD345" s="5">
        <v>46364</v>
      </c>
      <c r="BE345" s="41">
        <f t="shared" si="82"/>
        <v>16.143072497123129</v>
      </c>
      <c r="BF345" s="72" t="str">
        <f t="shared" si="78"/>
        <v/>
      </c>
      <c r="BG345" s="42" t="str">
        <f t="shared" si="83"/>
        <v/>
      </c>
      <c r="BH345" s="17" t="str">
        <f t="shared" si="84"/>
        <v/>
      </c>
      <c r="BT345" s="39"/>
    </row>
    <row r="346" spans="2:72">
      <c r="B346" s="5">
        <v>46365</v>
      </c>
      <c r="C346" s="23">
        <f>IF([1]CHAMNORD!H347=0,"",[1]CHAMNORD!H347)</f>
        <v>16722.580000000002</v>
      </c>
      <c r="D346" s="22" t="str">
        <f t="shared" si="75"/>
        <v/>
      </c>
      <c r="E346" s="23" t="str">
        <f>IF([2]CHAMNORD!H348=0,"",[2]CHAMNORD!H348)</f>
        <v/>
      </c>
      <c r="F346" s="17" t="str">
        <f t="shared" si="79"/>
        <v/>
      </c>
      <c r="R346" s="39"/>
      <c r="T346" s="5">
        <v>46365</v>
      </c>
      <c r="U346" s="23">
        <f>IF([1]CHAMNORD!I347=0,"",[1]CHAMNORD!I347)</f>
        <v>16472.560000000001</v>
      </c>
      <c r="V346" s="22" t="str">
        <f t="shared" si="76"/>
        <v/>
      </c>
      <c r="W346" s="23" t="str">
        <f>IF([2]CHAMNORD!I348=0,"",[2]CHAMNORD!I348)</f>
        <v/>
      </c>
      <c r="X346" s="17" t="str">
        <f t="shared" si="80"/>
        <v/>
      </c>
      <c r="AJ346" s="39"/>
      <c r="AL346" s="5">
        <v>46365</v>
      </c>
      <c r="AM346" s="23">
        <f>IF([1]CHAMNORD!J347=0,"",[1]CHAMNORD!J347)</f>
        <v>954</v>
      </c>
      <c r="AN346" s="22" t="str">
        <f t="shared" si="77"/>
        <v/>
      </c>
      <c r="AO346" s="23" t="str">
        <f>IF([2]CHAMNORD!J348=0,"",[2]CHAMNORD!J348)</f>
        <v/>
      </c>
      <c r="AP346" s="17" t="str">
        <f t="shared" si="81"/>
        <v/>
      </c>
      <c r="BB346" s="39"/>
      <c r="BD346" s="5">
        <v>46365</v>
      </c>
      <c r="BE346" s="42">
        <f t="shared" si="82"/>
        <v>17.528909853249477</v>
      </c>
      <c r="BF346" s="72" t="str">
        <f t="shared" si="78"/>
        <v/>
      </c>
      <c r="BG346" s="42" t="str">
        <f t="shared" si="83"/>
        <v/>
      </c>
      <c r="BH346" s="17" t="str">
        <f t="shared" si="84"/>
        <v/>
      </c>
      <c r="BT346" s="39"/>
    </row>
    <row r="347" spans="2:72">
      <c r="B347" s="5">
        <v>46366</v>
      </c>
      <c r="C347" s="23">
        <f>IF([1]CHAMNORD!H348=0,"",[1]CHAMNORD!H348)</f>
        <v>19662.07</v>
      </c>
      <c r="D347" s="22" t="str">
        <f t="shared" si="75"/>
        <v/>
      </c>
      <c r="E347" s="23" t="str">
        <f>IF([2]CHAMNORD!H349=0,"",[2]CHAMNORD!H349)</f>
        <v/>
      </c>
      <c r="F347" s="17" t="str">
        <f t="shared" si="79"/>
        <v/>
      </c>
      <c r="R347" s="39"/>
      <c r="T347" s="5">
        <v>46366</v>
      </c>
      <c r="U347" s="23">
        <f>IF([1]CHAMNORD!I348=0,"",[1]CHAMNORD!I348)</f>
        <v>19294.060000000001</v>
      </c>
      <c r="V347" s="22" t="str">
        <f t="shared" si="76"/>
        <v/>
      </c>
      <c r="W347" s="23" t="str">
        <f>IF([2]CHAMNORD!I349=0,"",[2]CHAMNORD!I349)</f>
        <v/>
      </c>
      <c r="X347" s="17" t="str">
        <f t="shared" si="80"/>
        <v/>
      </c>
      <c r="AJ347" s="39"/>
      <c r="AL347" s="5">
        <v>46366</v>
      </c>
      <c r="AM347" s="23">
        <f>IF([1]CHAMNORD!J348=0,"",[1]CHAMNORD!J348)</f>
        <v>1122</v>
      </c>
      <c r="AN347" s="22" t="str">
        <f t="shared" si="77"/>
        <v/>
      </c>
      <c r="AO347" s="23" t="str">
        <f>IF([2]CHAMNORD!J349=0,"",[2]CHAMNORD!J349)</f>
        <v/>
      </c>
      <c r="AP347" s="17" t="str">
        <f t="shared" si="81"/>
        <v/>
      </c>
      <c r="BB347" s="39"/>
      <c r="BD347" s="5">
        <v>46366</v>
      </c>
      <c r="BE347" s="42">
        <f t="shared" si="82"/>
        <v>17.524126559714794</v>
      </c>
      <c r="BF347" s="72" t="str">
        <f t="shared" si="78"/>
        <v/>
      </c>
      <c r="BG347" s="42" t="str">
        <f t="shared" si="83"/>
        <v/>
      </c>
      <c r="BH347" s="17" t="str">
        <f t="shared" si="84"/>
        <v/>
      </c>
      <c r="BT347" s="39"/>
    </row>
    <row r="348" spans="2:72">
      <c r="B348" s="5">
        <v>46367</v>
      </c>
      <c r="C348" s="23">
        <f>IF([1]CHAMNORD!H349=0,"",[1]CHAMNORD!H349)</f>
        <v>17960.060000000001</v>
      </c>
      <c r="D348" s="22" t="str">
        <f t="shared" si="75"/>
        <v/>
      </c>
      <c r="E348" s="23" t="str">
        <f>IF([2]CHAMNORD!H350=0,"",[2]CHAMNORD!H350)</f>
        <v/>
      </c>
      <c r="F348" s="17" t="str">
        <f t="shared" si="79"/>
        <v/>
      </c>
      <c r="R348" s="39"/>
      <c r="T348" s="5">
        <v>46367</v>
      </c>
      <c r="U348" s="23">
        <f>IF([1]CHAMNORD!I349=0,"",[1]CHAMNORD!I349)</f>
        <v>17674.78</v>
      </c>
      <c r="V348" s="22" t="str">
        <f t="shared" si="76"/>
        <v/>
      </c>
      <c r="W348" s="23" t="str">
        <f>IF([2]CHAMNORD!I350=0,"",[2]CHAMNORD!I350)</f>
        <v/>
      </c>
      <c r="X348" s="17" t="str">
        <f t="shared" si="80"/>
        <v/>
      </c>
      <c r="AJ348" s="39"/>
      <c r="AL348" s="5">
        <v>46367</v>
      </c>
      <c r="AM348" s="23">
        <f>IF([1]CHAMNORD!J349=0,"",[1]CHAMNORD!J349)</f>
        <v>988</v>
      </c>
      <c r="AN348" s="22" t="str">
        <f t="shared" si="77"/>
        <v/>
      </c>
      <c r="AO348" s="23" t="str">
        <f>IF([2]CHAMNORD!J350=0,"",[2]CHAMNORD!J350)</f>
        <v/>
      </c>
      <c r="AP348" s="17" t="str">
        <f t="shared" si="81"/>
        <v/>
      </c>
      <c r="BB348" s="39"/>
      <c r="BD348" s="5">
        <v>46367</v>
      </c>
      <c r="BE348" s="42">
        <f t="shared" si="82"/>
        <v>18.178198380566801</v>
      </c>
      <c r="BF348" s="72" t="str">
        <f t="shared" si="78"/>
        <v/>
      </c>
      <c r="BG348" s="42" t="str">
        <f t="shared" si="83"/>
        <v/>
      </c>
      <c r="BH348" s="17" t="str">
        <f t="shared" si="84"/>
        <v/>
      </c>
      <c r="BT348" s="39"/>
    </row>
    <row r="349" spans="2:72">
      <c r="B349" s="5">
        <v>46368</v>
      </c>
      <c r="C349" s="23">
        <f>IF([1]CHAMNORD!H350=0,"",[1]CHAMNORD!H350)</f>
        <v>26346.42</v>
      </c>
      <c r="D349" s="22" t="str">
        <f t="shared" si="75"/>
        <v/>
      </c>
      <c r="E349" s="23" t="str">
        <f>IF([2]CHAMNORD!H351=0,"",[2]CHAMNORD!H351)</f>
        <v/>
      </c>
      <c r="F349" s="17" t="str">
        <f t="shared" si="79"/>
        <v/>
      </c>
      <c r="R349" s="39"/>
      <c r="T349" s="5">
        <v>46368</v>
      </c>
      <c r="U349" s="23">
        <f>IF([1]CHAMNORD!I350=0,"",[1]CHAMNORD!I350)</f>
        <v>25889.72</v>
      </c>
      <c r="V349" s="22" t="str">
        <f t="shared" si="76"/>
        <v/>
      </c>
      <c r="W349" s="23" t="str">
        <f>IF([2]CHAMNORD!I351=0,"",[2]CHAMNORD!I351)</f>
        <v/>
      </c>
      <c r="X349" s="17" t="str">
        <f t="shared" si="80"/>
        <v/>
      </c>
      <c r="AJ349" s="39"/>
      <c r="AL349" s="5">
        <v>46368</v>
      </c>
      <c r="AM349" s="23">
        <f>IF([1]CHAMNORD!J350=0,"",[1]CHAMNORD!J350)</f>
        <v>1366</v>
      </c>
      <c r="AN349" s="22" t="str">
        <f t="shared" si="77"/>
        <v/>
      </c>
      <c r="AO349" s="23" t="str">
        <f>IF([2]CHAMNORD!J351=0,"",[2]CHAMNORD!J351)</f>
        <v/>
      </c>
      <c r="AP349" s="17" t="str">
        <f t="shared" si="81"/>
        <v/>
      </c>
      <c r="BB349" s="39"/>
      <c r="BD349" s="5">
        <v>46368</v>
      </c>
      <c r="BE349" s="42">
        <f t="shared" si="82"/>
        <v>19.28727672035139</v>
      </c>
      <c r="BF349" s="72" t="str">
        <f t="shared" si="78"/>
        <v/>
      </c>
      <c r="BG349" s="42" t="str">
        <f t="shared" si="83"/>
        <v/>
      </c>
      <c r="BH349" s="17" t="str">
        <f t="shared" si="84"/>
        <v/>
      </c>
      <c r="BT349" s="39"/>
    </row>
    <row r="350" spans="2:72">
      <c r="B350" s="5">
        <v>46369</v>
      </c>
      <c r="C350" s="23">
        <f>IF([1]CHAMNORD!H351=0,"",[1]CHAMNORD!H351)</f>
        <v>24048.36</v>
      </c>
      <c r="D350" s="22" t="str">
        <f t="shared" si="75"/>
        <v/>
      </c>
      <c r="E350" s="24" t="str">
        <f>IF([2]CHAMNORD!H352=0,"",[2]CHAMNORD!H352)</f>
        <v/>
      </c>
      <c r="F350" s="17" t="str">
        <f t="shared" si="79"/>
        <v/>
      </c>
      <c r="R350" s="39"/>
      <c r="T350" s="5">
        <v>46369</v>
      </c>
      <c r="U350" s="23">
        <f>IF([1]CHAMNORD!I351=0,"",[1]CHAMNORD!I351)</f>
        <v>23621.65</v>
      </c>
      <c r="V350" s="22" t="str">
        <f t="shared" si="76"/>
        <v/>
      </c>
      <c r="W350" s="24" t="str">
        <f>IF([2]CHAMNORD!I352=0,"",[2]CHAMNORD!I352)</f>
        <v/>
      </c>
      <c r="X350" s="17" t="str">
        <f t="shared" si="80"/>
        <v/>
      </c>
      <c r="AJ350" s="39"/>
      <c r="AL350" s="5">
        <v>46369</v>
      </c>
      <c r="AM350" s="23">
        <f>IF([1]CHAMNORD!J351=0,"",[1]CHAMNORD!J351)</f>
        <v>1258</v>
      </c>
      <c r="AN350" s="22" t="str">
        <f t="shared" si="77"/>
        <v/>
      </c>
      <c r="AO350" s="24" t="str">
        <f>IF([2]CHAMNORD!J352=0,"",[2]CHAMNORD!J352)</f>
        <v/>
      </c>
      <c r="AP350" s="17" t="str">
        <f t="shared" si="81"/>
        <v/>
      </c>
      <c r="BB350" s="39"/>
      <c r="BD350" s="5">
        <v>46369</v>
      </c>
      <c r="BE350" s="42">
        <f t="shared" si="82"/>
        <v>19.116343402225755</v>
      </c>
      <c r="BF350" s="72" t="str">
        <f t="shared" si="78"/>
        <v/>
      </c>
      <c r="BG350" s="43" t="str">
        <f t="shared" si="83"/>
        <v/>
      </c>
      <c r="BH350" s="17" t="str">
        <f t="shared" si="84"/>
        <v/>
      </c>
      <c r="BT350" s="39"/>
    </row>
    <row r="351" spans="2:72">
      <c r="B351" s="5">
        <v>46370</v>
      </c>
      <c r="C351" s="24">
        <f>IF([1]CHAMNORD!H352=0,"",[1]CHAMNORD!H352)</f>
        <v>27006.55</v>
      </c>
      <c r="D351" s="22" t="str">
        <f t="shared" si="75"/>
        <v/>
      </c>
      <c r="E351" s="21" t="str">
        <f>IF([2]CHAMNORD!H353=0,"",[2]CHAMNORD!H353)</f>
        <v/>
      </c>
      <c r="F351" s="17" t="str">
        <f t="shared" si="79"/>
        <v/>
      </c>
      <c r="R351" s="39"/>
      <c r="T351" s="5">
        <v>46370</v>
      </c>
      <c r="U351" s="24">
        <f>IF([1]CHAMNORD!I352=0,"",[1]CHAMNORD!I352)</f>
        <v>26450.560000000001</v>
      </c>
      <c r="V351" s="22" t="str">
        <f t="shared" si="76"/>
        <v/>
      </c>
      <c r="W351" s="21" t="str">
        <f>IF([2]CHAMNORD!I353=0,"",[2]CHAMNORD!I353)</f>
        <v/>
      </c>
      <c r="X351" s="17" t="str">
        <f t="shared" si="80"/>
        <v/>
      </c>
      <c r="AJ351" s="39"/>
      <c r="AL351" s="5">
        <v>46370</v>
      </c>
      <c r="AM351" s="24">
        <f>IF([1]CHAMNORD!J352=0,"",[1]CHAMNORD!J352)</f>
        <v>1218</v>
      </c>
      <c r="AN351" s="22" t="str">
        <f t="shared" si="77"/>
        <v/>
      </c>
      <c r="AO351" s="21" t="str">
        <f>IF([2]CHAMNORD!J353=0,"",[2]CHAMNORD!J353)</f>
        <v/>
      </c>
      <c r="AP351" s="17" t="str">
        <f t="shared" si="81"/>
        <v/>
      </c>
      <c r="BB351" s="39"/>
      <c r="BD351" s="5">
        <v>46370</v>
      </c>
      <c r="BE351" s="43">
        <f t="shared" si="82"/>
        <v>22.172865353037768</v>
      </c>
      <c r="BF351" s="72" t="str">
        <f t="shared" si="78"/>
        <v/>
      </c>
      <c r="BG351" s="41" t="str">
        <f t="shared" si="83"/>
        <v/>
      </c>
      <c r="BH351" s="17" t="str">
        <f t="shared" si="84"/>
        <v/>
      </c>
      <c r="BT351" s="39"/>
    </row>
    <row r="352" spans="2:72">
      <c r="B352" s="5">
        <v>46371</v>
      </c>
      <c r="C352" s="21">
        <f>IF([1]CHAMNORD!H353=0,"",[1]CHAMNORD!H353)</f>
        <v>15376.02</v>
      </c>
      <c r="D352" s="22" t="str">
        <f t="shared" si="75"/>
        <v/>
      </c>
      <c r="E352" s="23" t="str">
        <f>IF([2]CHAMNORD!H354=0,"",[2]CHAMNORD!H354)</f>
        <v/>
      </c>
      <c r="F352" s="17" t="str">
        <f t="shared" si="79"/>
        <v/>
      </c>
      <c r="R352" s="39"/>
      <c r="T352" s="5">
        <v>46371</v>
      </c>
      <c r="U352" s="21">
        <f>IF([1]CHAMNORD!I353=0,"",[1]CHAMNORD!I353)</f>
        <v>15139.61</v>
      </c>
      <c r="V352" s="22" t="str">
        <f t="shared" si="76"/>
        <v/>
      </c>
      <c r="W352" s="23" t="str">
        <f>IF([2]CHAMNORD!I354=0,"",[2]CHAMNORD!I354)</f>
        <v/>
      </c>
      <c r="X352" s="17" t="str">
        <f t="shared" si="80"/>
        <v/>
      </c>
      <c r="AJ352" s="39"/>
      <c r="AL352" s="5">
        <v>46371</v>
      </c>
      <c r="AM352" s="21">
        <f>IF([1]CHAMNORD!J353=0,"",[1]CHAMNORD!J353)</f>
        <v>955</v>
      </c>
      <c r="AN352" s="22" t="str">
        <f t="shared" si="77"/>
        <v/>
      </c>
      <c r="AO352" s="23" t="str">
        <f>IF([2]CHAMNORD!J354=0,"",[2]CHAMNORD!J354)</f>
        <v/>
      </c>
      <c r="AP352" s="17" t="str">
        <f t="shared" si="81"/>
        <v/>
      </c>
      <c r="BB352" s="39"/>
      <c r="BD352" s="5">
        <v>46371</v>
      </c>
      <c r="BE352" s="41">
        <f t="shared" si="82"/>
        <v>16.100544502617801</v>
      </c>
      <c r="BF352" s="72" t="str">
        <f t="shared" si="78"/>
        <v/>
      </c>
      <c r="BG352" s="42" t="str">
        <f t="shared" si="83"/>
        <v/>
      </c>
      <c r="BH352" s="17" t="str">
        <f t="shared" si="84"/>
        <v/>
      </c>
      <c r="BT352" s="39"/>
    </row>
    <row r="353" spans="2:72">
      <c r="B353" s="5">
        <v>46372</v>
      </c>
      <c r="C353" s="23">
        <f>IF([1]CHAMNORD!H354=0,"",[1]CHAMNORD!H354)</f>
        <v>16487.07</v>
      </c>
      <c r="D353" s="22" t="str">
        <f t="shared" si="75"/>
        <v/>
      </c>
      <c r="E353" s="23" t="str">
        <f>IF([2]CHAMNORD!H355=0,"",[2]CHAMNORD!H355)</f>
        <v/>
      </c>
      <c r="F353" s="17" t="str">
        <f t="shared" si="79"/>
        <v/>
      </c>
      <c r="R353" s="39"/>
      <c r="T353" s="5">
        <v>46372</v>
      </c>
      <c r="U353" s="23">
        <f>IF([1]CHAMNORD!I354=0,"",[1]CHAMNORD!I354)</f>
        <v>16197</v>
      </c>
      <c r="V353" s="22" t="str">
        <f t="shared" si="76"/>
        <v/>
      </c>
      <c r="W353" s="23" t="str">
        <f>IF([2]CHAMNORD!I355=0,"",[2]CHAMNORD!I355)</f>
        <v/>
      </c>
      <c r="X353" s="17" t="str">
        <f t="shared" si="80"/>
        <v/>
      </c>
      <c r="AJ353" s="39"/>
      <c r="AL353" s="5">
        <v>46372</v>
      </c>
      <c r="AM353" s="23">
        <f>IF([1]CHAMNORD!J354=0,"",[1]CHAMNORD!J354)</f>
        <v>958</v>
      </c>
      <c r="AN353" s="22" t="str">
        <f t="shared" si="77"/>
        <v/>
      </c>
      <c r="AO353" s="23" t="str">
        <f>IF([2]CHAMNORD!J355=0,"",[2]CHAMNORD!J355)</f>
        <v/>
      </c>
      <c r="AP353" s="17" t="str">
        <f t="shared" si="81"/>
        <v/>
      </c>
      <c r="BB353" s="39"/>
      <c r="BD353" s="5">
        <v>46372</v>
      </c>
      <c r="BE353" s="42">
        <f t="shared" si="82"/>
        <v>17.209885177453028</v>
      </c>
      <c r="BF353" s="72" t="str">
        <f t="shared" si="78"/>
        <v/>
      </c>
      <c r="BG353" s="42" t="str">
        <f t="shared" si="83"/>
        <v/>
      </c>
      <c r="BH353" s="17" t="str">
        <f t="shared" si="84"/>
        <v/>
      </c>
      <c r="BT353" s="39"/>
    </row>
    <row r="354" spans="2:72">
      <c r="B354" s="5">
        <v>46373</v>
      </c>
      <c r="C354" s="23">
        <f>IF([1]CHAMNORD!H355=0,"",[1]CHAMNORD!H355)</f>
        <v>19268.439999999999</v>
      </c>
      <c r="D354" s="22" t="str">
        <f t="shared" si="75"/>
        <v/>
      </c>
      <c r="E354" s="23" t="str">
        <f>IF([2]CHAMNORD!H356=0,"",[2]CHAMNORD!H356)</f>
        <v/>
      </c>
      <c r="F354" s="17" t="str">
        <f t="shared" si="79"/>
        <v/>
      </c>
      <c r="R354" s="39"/>
      <c r="T354" s="5">
        <v>46373</v>
      </c>
      <c r="U354" s="23">
        <f>IF([1]CHAMNORD!I355=0,"",[1]CHAMNORD!I355)</f>
        <v>18949.23</v>
      </c>
      <c r="V354" s="22" t="str">
        <f t="shared" si="76"/>
        <v/>
      </c>
      <c r="W354" s="23" t="str">
        <f>IF([2]CHAMNORD!I356=0,"",[2]CHAMNORD!I356)</f>
        <v/>
      </c>
      <c r="X354" s="17" t="str">
        <f t="shared" si="80"/>
        <v/>
      </c>
      <c r="AJ354" s="39"/>
      <c r="AL354" s="5">
        <v>46373</v>
      </c>
      <c r="AM354" s="23">
        <f>IF([1]CHAMNORD!J355=0,"",[1]CHAMNORD!J355)</f>
        <v>1123</v>
      </c>
      <c r="AN354" s="22" t="str">
        <f t="shared" si="77"/>
        <v/>
      </c>
      <c r="AO354" s="23" t="str">
        <f>IF([2]CHAMNORD!J356=0,"",[2]CHAMNORD!J356)</f>
        <v/>
      </c>
      <c r="AP354" s="17" t="str">
        <f t="shared" si="81"/>
        <v/>
      </c>
      <c r="BB354" s="39"/>
      <c r="BD354" s="5">
        <v>46373</v>
      </c>
      <c r="BE354" s="42">
        <f t="shared" si="82"/>
        <v>17.1580053428317</v>
      </c>
      <c r="BF354" s="72" t="str">
        <f t="shared" si="78"/>
        <v/>
      </c>
      <c r="BG354" s="42" t="str">
        <f t="shared" si="83"/>
        <v/>
      </c>
      <c r="BH354" s="17" t="str">
        <f t="shared" si="84"/>
        <v/>
      </c>
      <c r="BT354" s="39"/>
    </row>
    <row r="355" spans="2:72">
      <c r="B355" s="5">
        <v>46374</v>
      </c>
      <c r="C355" s="23">
        <f>IF([1]CHAMNORD!H356=0,"",[1]CHAMNORD!H356)</f>
        <v>18134.61</v>
      </c>
      <c r="D355" s="22" t="str">
        <f t="shared" si="75"/>
        <v/>
      </c>
      <c r="E355" s="23" t="str">
        <f>IF([2]CHAMNORD!H357=0,"",[2]CHAMNORD!H357)</f>
        <v/>
      </c>
      <c r="F355" s="17" t="str">
        <f t="shared" si="79"/>
        <v/>
      </c>
      <c r="R355" s="39"/>
      <c r="T355" s="5">
        <v>46374</v>
      </c>
      <c r="U355" s="23">
        <f>IF([1]CHAMNORD!I356=0,"",[1]CHAMNORD!I356)</f>
        <v>17836.34</v>
      </c>
      <c r="V355" s="22" t="str">
        <f t="shared" si="76"/>
        <v/>
      </c>
      <c r="W355" s="23" t="str">
        <f>IF([2]CHAMNORD!I357=0,"",[2]CHAMNORD!I357)</f>
        <v/>
      </c>
      <c r="X355" s="17" t="str">
        <f t="shared" si="80"/>
        <v/>
      </c>
      <c r="AJ355" s="39"/>
      <c r="AL355" s="5">
        <v>46374</v>
      </c>
      <c r="AM355" s="23">
        <f>IF([1]CHAMNORD!J356=0,"",[1]CHAMNORD!J356)</f>
        <v>1031</v>
      </c>
      <c r="AN355" s="22" t="str">
        <f t="shared" si="77"/>
        <v/>
      </c>
      <c r="AO355" s="23" t="str">
        <f>IF([2]CHAMNORD!J357=0,"",[2]CHAMNORD!J357)</f>
        <v/>
      </c>
      <c r="AP355" s="17" t="str">
        <f t="shared" si="81"/>
        <v/>
      </c>
      <c r="BB355" s="39"/>
      <c r="BD355" s="5">
        <v>46374</v>
      </c>
      <c r="BE355" s="42">
        <f t="shared" si="82"/>
        <v>17.589340446168769</v>
      </c>
      <c r="BF355" s="72" t="str">
        <f t="shared" si="78"/>
        <v/>
      </c>
      <c r="BG355" s="42" t="str">
        <f t="shared" si="83"/>
        <v/>
      </c>
      <c r="BH355" s="17" t="str">
        <f t="shared" si="84"/>
        <v/>
      </c>
      <c r="BT355" s="39"/>
    </row>
    <row r="356" spans="2:72">
      <c r="B356" s="5">
        <v>46375</v>
      </c>
      <c r="C356" s="23">
        <f>IF([1]CHAMNORD!H357=0,"",[1]CHAMNORD!H357)</f>
        <v>27773.63</v>
      </c>
      <c r="D356" s="22" t="str">
        <f t="shared" si="75"/>
        <v/>
      </c>
      <c r="E356" s="23" t="str">
        <f>IF([2]CHAMNORD!H358=0,"",[2]CHAMNORD!H358)</f>
        <v/>
      </c>
      <c r="F356" s="17" t="str">
        <f t="shared" si="79"/>
        <v/>
      </c>
      <c r="R356" s="39"/>
      <c r="T356" s="5">
        <v>46375</v>
      </c>
      <c r="U356" s="23">
        <f>IF([1]CHAMNORD!I357=0,"",[1]CHAMNORD!I357)</f>
        <v>27221.16</v>
      </c>
      <c r="V356" s="22" t="str">
        <f t="shared" si="76"/>
        <v/>
      </c>
      <c r="W356" s="23" t="str">
        <f>IF([2]CHAMNORD!I358=0,"",[2]CHAMNORD!I358)</f>
        <v/>
      </c>
      <c r="X356" s="17" t="str">
        <f t="shared" si="80"/>
        <v/>
      </c>
      <c r="AJ356" s="39"/>
      <c r="AL356" s="5">
        <v>46375</v>
      </c>
      <c r="AM356" s="23">
        <f>IF([1]CHAMNORD!J357=0,"",[1]CHAMNORD!J357)</f>
        <v>1470</v>
      </c>
      <c r="AN356" s="22" t="str">
        <f t="shared" si="77"/>
        <v/>
      </c>
      <c r="AO356" s="23" t="str">
        <f>IF([2]CHAMNORD!J358=0,"",[2]CHAMNORD!J358)</f>
        <v/>
      </c>
      <c r="AP356" s="17" t="str">
        <f t="shared" si="81"/>
        <v/>
      </c>
      <c r="BB356" s="39"/>
      <c r="BD356" s="5">
        <v>46375</v>
      </c>
      <c r="BE356" s="42">
        <f t="shared" si="82"/>
        <v>18.893625850340136</v>
      </c>
      <c r="BF356" s="72" t="str">
        <f t="shared" si="78"/>
        <v/>
      </c>
      <c r="BG356" s="42" t="str">
        <f t="shared" si="83"/>
        <v/>
      </c>
      <c r="BH356" s="17" t="str">
        <f t="shared" si="84"/>
        <v/>
      </c>
      <c r="BT356" s="39"/>
    </row>
    <row r="357" spans="2:72">
      <c r="B357" s="5">
        <v>46376</v>
      </c>
      <c r="C357" s="23">
        <f>IF([1]CHAMNORD!H358=0,"",[1]CHAMNORD!H358)</f>
        <v>26877.79</v>
      </c>
      <c r="D357" s="22" t="str">
        <f t="shared" si="75"/>
        <v/>
      </c>
      <c r="E357" s="24" t="str">
        <f>IF([2]CHAMNORD!H359=0,"",[2]CHAMNORD!H359)</f>
        <v/>
      </c>
      <c r="F357" s="17" t="str">
        <f t="shared" si="79"/>
        <v/>
      </c>
      <c r="R357" s="39"/>
      <c r="T357" s="5">
        <v>46376</v>
      </c>
      <c r="U357" s="23">
        <f>IF([1]CHAMNORD!I358=0,"",[1]CHAMNORD!I358)</f>
        <v>26353.24</v>
      </c>
      <c r="V357" s="22" t="str">
        <f t="shared" si="76"/>
        <v/>
      </c>
      <c r="W357" s="24" t="str">
        <f>IF([2]CHAMNORD!I359=0,"",[2]CHAMNORD!I359)</f>
        <v/>
      </c>
      <c r="X357" s="17" t="str">
        <f t="shared" si="80"/>
        <v/>
      </c>
      <c r="AJ357" s="39"/>
      <c r="AL357" s="5">
        <v>46376</v>
      </c>
      <c r="AM357" s="23">
        <f>IF([1]CHAMNORD!J358=0,"",[1]CHAMNORD!J358)</f>
        <v>1306</v>
      </c>
      <c r="AN357" s="22" t="str">
        <f t="shared" si="77"/>
        <v/>
      </c>
      <c r="AO357" s="24" t="str">
        <f>IF([2]CHAMNORD!J359=0,"",[2]CHAMNORD!J359)</f>
        <v/>
      </c>
      <c r="AP357" s="17" t="str">
        <f t="shared" si="81"/>
        <v/>
      </c>
      <c r="BB357" s="39"/>
      <c r="BD357" s="5">
        <v>46376</v>
      </c>
      <c r="BE357" s="42">
        <f t="shared" si="82"/>
        <v>20.580237366003065</v>
      </c>
      <c r="BF357" s="72" t="str">
        <f t="shared" si="78"/>
        <v/>
      </c>
      <c r="BG357" s="43" t="str">
        <f t="shared" si="83"/>
        <v/>
      </c>
      <c r="BH357" s="17" t="str">
        <f t="shared" si="84"/>
        <v/>
      </c>
      <c r="BT357" s="39"/>
    </row>
    <row r="358" spans="2:72">
      <c r="B358" s="5">
        <v>46377</v>
      </c>
      <c r="C358" s="24">
        <f>IF([1]CHAMNORD!H359=0,"",[1]CHAMNORD!H359)</f>
        <v>22353.31</v>
      </c>
      <c r="D358" s="22" t="str">
        <f t="shared" si="75"/>
        <v/>
      </c>
      <c r="E358" s="21" t="str">
        <f>IF([2]CHAMNORD!H360=0,"",[2]CHAMNORD!H360)</f>
        <v/>
      </c>
      <c r="F358" s="17" t="str">
        <f t="shared" si="79"/>
        <v/>
      </c>
      <c r="R358" s="39"/>
      <c r="T358" s="5">
        <v>46377</v>
      </c>
      <c r="U358" s="24">
        <f>IF([1]CHAMNORD!I359=0,"",[1]CHAMNORD!I359)</f>
        <v>21926</v>
      </c>
      <c r="V358" s="22" t="str">
        <f t="shared" si="76"/>
        <v/>
      </c>
      <c r="W358" s="21" t="str">
        <f>IF([2]CHAMNORD!I360=0,"",[2]CHAMNORD!I360)</f>
        <v/>
      </c>
      <c r="X358" s="17" t="str">
        <f t="shared" si="80"/>
        <v/>
      </c>
      <c r="AJ358" s="39"/>
      <c r="AL358" s="5">
        <v>46377</v>
      </c>
      <c r="AM358" s="24">
        <f>IF([1]CHAMNORD!J359=0,"",[1]CHAMNORD!J359)</f>
        <v>1092</v>
      </c>
      <c r="AN358" s="22" t="str">
        <f t="shared" si="77"/>
        <v/>
      </c>
      <c r="AO358" s="21" t="str">
        <f>IF([2]CHAMNORD!J360=0,"",[2]CHAMNORD!J360)</f>
        <v/>
      </c>
      <c r="AP358" s="17" t="str">
        <f t="shared" si="81"/>
        <v/>
      </c>
      <c r="BB358" s="39"/>
      <c r="BD358" s="5">
        <v>46377</v>
      </c>
      <c r="BE358" s="43">
        <f t="shared" si="82"/>
        <v>20.470064102564105</v>
      </c>
      <c r="BF358" s="72" t="str">
        <f t="shared" si="78"/>
        <v/>
      </c>
      <c r="BG358" s="41" t="str">
        <f t="shared" si="83"/>
        <v/>
      </c>
      <c r="BH358" s="17" t="str">
        <f t="shared" si="84"/>
        <v/>
      </c>
      <c r="BT358" s="39"/>
    </row>
    <row r="359" spans="2:72">
      <c r="B359" s="5">
        <v>46378</v>
      </c>
      <c r="C359" s="21">
        <f>IF([1]CHAMNORD!H360=0,"",[1]CHAMNORD!H360)</f>
        <v>20949.68</v>
      </c>
      <c r="D359" s="22" t="str">
        <f t="shared" si="75"/>
        <v/>
      </c>
      <c r="E359" s="23" t="str">
        <f>IF([2]CHAMNORD!H361=0,"",[2]CHAMNORD!H361)</f>
        <v/>
      </c>
      <c r="F359" s="17" t="str">
        <f t="shared" si="79"/>
        <v/>
      </c>
      <c r="R359" s="39"/>
      <c r="T359" s="5">
        <v>46378</v>
      </c>
      <c r="U359" s="21">
        <f>IF([1]CHAMNORD!I360=0,"",[1]CHAMNORD!I360)</f>
        <v>20493.650000000001</v>
      </c>
      <c r="V359" s="22" t="str">
        <f t="shared" si="76"/>
        <v/>
      </c>
      <c r="W359" s="23" t="str">
        <f>IF([2]CHAMNORD!I361=0,"",[2]CHAMNORD!I361)</f>
        <v/>
      </c>
      <c r="X359" s="17" t="str">
        <f t="shared" si="80"/>
        <v/>
      </c>
      <c r="AJ359" s="39"/>
      <c r="AL359" s="5">
        <v>46378</v>
      </c>
      <c r="AM359" s="21">
        <f>IF([1]CHAMNORD!J360=0,"",[1]CHAMNORD!J360)</f>
        <v>1137</v>
      </c>
      <c r="AN359" s="22" t="str">
        <f t="shared" si="77"/>
        <v/>
      </c>
      <c r="AO359" s="23" t="str">
        <f>IF([2]CHAMNORD!J361=0,"",[2]CHAMNORD!J361)</f>
        <v/>
      </c>
      <c r="AP359" s="17" t="str">
        <f t="shared" si="81"/>
        <v/>
      </c>
      <c r="BB359" s="39"/>
      <c r="BD359" s="5">
        <v>46378</v>
      </c>
      <c r="BE359" s="41">
        <f t="shared" si="82"/>
        <v>18.425400175901494</v>
      </c>
      <c r="BF359" s="72" t="str">
        <f t="shared" si="78"/>
        <v/>
      </c>
      <c r="BG359" s="42" t="str">
        <f t="shared" si="83"/>
        <v/>
      </c>
      <c r="BH359" s="17" t="str">
        <f t="shared" si="84"/>
        <v/>
      </c>
      <c r="BT359" s="39"/>
    </row>
    <row r="360" spans="2:72">
      <c r="B360" s="5">
        <v>46379</v>
      </c>
      <c r="C360" s="23">
        <f>IF([1]CHAMNORD!H361=0,"",[1]CHAMNORD!H361)</f>
        <v>21503.119999999999</v>
      </c>
      <c r="D360" s="22" t="str">
        <f t="shared" si="75"/>
        <v/>
      </c>
      <c r="E360" s="23" t="str">
        <f>IF([2]CHAMNORD!H362=0,"",[2]CHAMNORD!H362)</f>
        <v/>
      </c>
      <c r="F360" s="17" t="str">
        <f t="shared" si="79"/>
        <v/>
      </c>
      <c r="R360" s="39"/>
      <c r="T360" s="5">
        <v>46379</v>
      </c>
      <c r="U360" s="23">
        <f>IF([1]CHAMNORD!I361=0,"",[1]CHAMNORD!I361)</f>
        <v>21220.7</v>
      </c>
      <c r="V360" s="22" t="str">
        <f t="shared" si="76"/>
        <v/>
      </c>
      <c r="W360" s="23" t="str">
        <f>IF([2]CHAMNORD!I362=0,"",[2]CHAMNORD!I362)</f>
        <v/>
      </c>
      <c r="X360" s="17" t="str">
        <f t="shared" si="80"/>
        <v/>
      </c>
      <c r="AJ360" s="39"/>
      <c r="AL360" s="5">
        <v>46379</v>
      </c>
      <c r="AM360" s="23">
        <f>IF([1]CHAMNORD!J361=0,"",[1]CHAMNORD!J361)</f>
        <v>1105</v>
      </c>
      <c r="AN360" s="22" t="str">
        <f t="shared" si="77"/>
        <v/>
      </c>
      <c r="AO360" s="23" t="str">
        <f>IF([2]CHAMNORD!J362=0,"",[2]CHAMNORD!J362)</f>
        <v/>
      </c>
      <c r="AP360" s="17" t="str">
        <f t="shared" si="81"/>
        <v/>
      </c>
      <c r="BB360" s="39"/>
      <c r="BD360" s="5">
        <v>46379</v>
      </c>
      <c r="BE360" s="42">
        <f t="shared" si="82"/>
        <v>19.459837104072399</v>
      </c>
      <c r="BF360" s="72" t="str">
        <f t="shared" si="78"/>
        <v/>
      </c>
      <c r="BG360" s="42" t="str">
        <f t="shared" si="83"/>
        <v/>
      </c>
      <c r="BH360" s="17" t="str">
        <f t="shared" si="84"/>
        <v/>
      </c>
      <c r="BT360" s="39"/>
    </row>
    <row r="361" spans="2:72">
      <c r="B361" s="5">
        <v>46380</v>
      </c>
      <c r="C361" s="23">
        <f>IF([1]CHAMNORD!H362=0,"",[1]CHAMNORD!H362)</f>
        <v>9706.5499999999993</v>
      </c>
      <c r="D361" s="22" t="str">
        <f t="shared" si="75"/>
        <v/>
      </c>
      <c r="E361" s="23" t="str">
        <f>IF([2]CHAMNORD!H363=0,"",[2]CHAMNORD!H363)</f>
        <v/>
      </c>
      <c r="F361" s="17" t="str">
        <f t="shared" si="79"/>
        <v/>
      </c>
      <c r="R361" s="39"/>
      <c r="T361" s="5">
        <v>46380</v>
      </c>
      <c r="U361" s="23">
        <f>IF([1]CHAMNORD!I362=0,"",[1]CHAMNORD!I362)</f>
        <v>9575.6</v>
      </c>
      <c r="V361" s="22" t="str">
        <f t="shared" si="76"/>
        <v/>
      </c>
      <c r="W361" s="23" t="str">
        <f>IF([2]CHAMNORD!I363=0,"",[2]CHAMNORD!I363)</f>
        <v/>
      </c>
      <c r="X361" s="17" t="str">
        <f t="shared" si="80"/>
        <v/>
      </c>
      <c r="AJ361" s="39"/>
      <c r="AL361" s="5">
        <v>46380</v>
      </c>
      <c r="AM361" s="23">
        <f>IF([1]CHAMNORD!J362=0,"",[1]CHAMNORD!J362)</f>
        <v>557</v>
      </c>
      <c r="AN361" s="22" t="str">
        <f t="shared" si="77"/>
        <v/>
      </c>
      <c r="AO361" s="23" t="str">
        <f>IF([2]CHAMNORD!J363=0,"",[2]CHAMNORD!J363)</f>
        <v/>
      </c>
      <c r="AP361" s="17" t="str">
        <f t="shared" si="81"/>
        <v/>
      </c>
      <c r="BB361" s="39"/>
      <c r="BD361" s="5">
        <v>46380</v>
      </c>
      <c r="BE361" s="42">
        <f t="shared" si="82"/>
        <v>17.426481149012567</v>
      </c>
      <c r="BF361" s="72" t="str">
        <f t="shared" si="78"/>
        <v/>
      </c>
      <c r="BG361" s="42" t="str">
        <f t="shared" si="83"/>
        <v/>
      </c>
      <c r="BH361" s="17" t="str">
        <f t="shared" si="84"/>
        <v/>
      </c>
      <c r="BT361" s="39"/>
    </row>
    <row r="362" spans="2:72">
      <c r="B362" s="5">
        <v>46381</v>
      </c>
      <c r="C362" s="23" t="str">
        <f>IF([1]CHAMNORD!H363=0,"",[1]CHAMNORD!H363)</f>
        <v/>
      </c>
      <c r="D362" s="22" t="str">
        <f t="shared" si="75"/>
        <v/>
      </c>
      <c r="E362" s="23" t="str">
        <f>IF([2]CHAMNORD!H364=0,"",[2]CHAMNORD!H364)</f>
        <v/>
      </c>
      <c r="F362" s="17" t="str">
        <f t="shared" si="79"/>
        <v/>
      </c>
      <c r="R362" s="39"/>
      <c r="T362" s="5">
        <v>46381</v>
      </c>
      <c r="U362" s="23" t="str">
        <f>IF([1]CHAMNORD!I363=0,"",[1]CHAMNORD!I363)</f>
        <v/>
      </c>
      <c r="V362" s="22" t="str">
        <f t="shared" si="76"/>
        <v/>
      </c>
      <c r="W362" s="23" t="str">
        <f>IF([2]CHAMNORD!I364=0,"",[2]CHAMNORD!I364)</f>
        <v/>
      </c>
      <c r="X362" s="17" t="str">
        <f t="shared" si="80"/>
        <v/>
      </c>
      <c r="AJ362" s="39"/>
      <c r="AL362" s="5">
        <v>46381</v>
      </c>
      <c r="AM362" s="23" t="str">
        <f>IF([1]CHAMNORD!J363=0,"",[1]CHAMNORD!J363)</f>
        <v/>
      </c>
      <c r="AN362" s="22" t="str">
        <f t="shared" si="77"/>
        <v/>
      </c>
      <c r="AO362" s="23" t="str">
        <f>IF([2]CHAMNORD!J364=0,"",[2]CHAMNORD!J364)</f>
        <v/>
      </c>
      <c r="AP362" s="17" t="str">
        <f t="shared" si="81"/>
        <v/>
      </c>
      <c r="BB362" s="39"/>
      <c r="BD362" s="5">
        <v>46381</v>
      </c>
      <c r="BE362" s="42" t="str">
        <f t="shared" si="82"/>
        <v/>
      </c>
      <c r="BF362" s="72" t="str">
        <f t="shared" si="78"/>
        <v/>
      </c>
      <c r="BG362" s="42" t="str">
        <f t="shared" si="83"/>
        <v/>
      </c>
      <c r="BH362" s="17" t="str">
        <f t="shared" si="84"/>
        <v/>
      </c>
      <c r="BT362" s="39"/>
    </row>
    <row r="363" spans="2:72">
      <c r="B363" s="5">
        <v>46382</v>
      </c>
      <c r="C363" s="23">
        <f>IF([1]CHAMNORD!H364=0,"",[1]CHAMNORD!H364)</f>
        <v>28837.69</v>
      </c>
      <c r="D363" s="22" t="str">
        <f t="shared" ref="D363:D368" si="85">IF(E362="","",C363)</f>
        <v/>
      </c>
      <c r="E363" s="23" t="str">
        <f>IF([2]CHAMNORD!H365=0,"",[2]CHAMNORD!H365)</f>
        <v/>
      </c>
      <c r="F363" s="17" t="str">
        <f t="shared" si="79"/>
        <v/>
      </c>
      <c r="R363" s="39"/>
      <c r="T363" s="5">
        <v>46382</v>
      </c>
      <c r="U363" s="23">
        <f>IF([1]CHAMNORD!I364=0,"",[1]CHAMNORD!I364)</f>
        <v>28421.83</v>
      </c>
      <c r="V363" s="22" t="str">
        <f t="shared" ref="V363:V368" si="86">IF(W362="","",U363)</f>
        <v/>
      </c>
      <c r="W363" s="23" t="str">
        <f>IF([2]CHAMNORD!I365=0,"",[2]CHAMNORD!I365)</f>
        <v/>
      </c>
      <c r="X363" s="17" t="str">
        <f t="shared" si="80"/>
        <v/>
      </c>
      <c r="AJ363" s="39"/>
      <c r="AL363" s="5">
        <v>46382</v>
      </c>
      <c r="AM363" s="23">
        <f>IF([1]CHAMNORD!J364=0,"",[1]CHAMNORD!J364)</f>
        <v>1303</v>
      </c>
      <c r="AN363" s="22" t="str">
        <f t="shared" ref="AN363:AN368" si="87">IF(AO362="","",AM363)</f>
        <v/>
      </c>
      <c r="AO363" s="23" t="str">
        <f>IF([2]CHAMNORD!J365=0,"",[2]CHAMNORD!J365)</f>
        <v/>
      </c>
      <c r="AP363" s="17" t="str">
        <f t="shared" si="81"/>
        <v/>
      </c>
      <c r="BB363" s="39"/>
      <c r="BD363" s="5">
        <v>46382</v>
      </c>
      <c r="BE363" s="42">
        <f t="shared" si="82"/>
        <v>22.131765157329241</v>
      </c>
      <c r="BF363" s="72" t="str">
        <f t="shared" ref="BF363:BF368" si="88">IF(BG362="","",BE363)</f>
        <v/>
      </c>
      <c r="BG363" s="42" t="str">
        <f t="shared" si="83"/>
        <v/>
      </c>
      <c r="BH363" s="17" t="str">
        <f t="shared" si="84"/>
        <v/>
      </c>
      <c r="BT363" s="39"/>
    </row>
    <row r="364" spans="2:72">
      <c r="B364" s="5">
        <v>46383</v>
      </c>
      <c r="C364" s="23">
        <f>IF([1]CHAMNORD!H365=0,"",[1]CHAMNORD!H365)</f>
        <v>30746.42</v>
      </c>
      <c r="D364" s="22" t="str">
        <f t="shared" si="85"/>
        <v/>
      </c>
      <c r="E364" s="24" t="str">
        <f>IF([2]CHAMNORD!H366=0,"",[2]CHAMNORD!H366)</f>
        <v/>
      </c>
      <c r="F364" s="17" t="str">
        <f t="shared" si="79"/>
        <v/>
      </c>
      <c r="R364" s="39"/>
      <c r="T364" s="5">
        <v>46383</v>
      </c>
      <c r="U364" s="23">
        <f>IF([1]CHAMNORD!I365=0,"",[1]CHAMNORD!I365)</f>
        <v>30371.78</v>
      </c>
      <c r="V364" s="22" t="str">
        <f t="shared" si="86"/>
        <v/>
      </c>
      <c r="W364" s="24" t="str">
        <f>IF([2]CHAMNORD!I366=0,"",[2]CHAMNORD!I366)</f>
        <v/>
      </c>
      <c r="X364" s="17" t="str">
        <f t="shared" si="80"/>
        <v/>
      </c>
      <c r="AJ364" s="39"/>
      <c r="AL364" s="5">
        <v>46383</v>
      </c>
      <c r="AM364" s="23">
        <f>IF([1]CHAMNORD!J365=0,"",[1]CHAMNORD!J365)</f>
        <v>1359</v>
      </c>
      <c r="AN364" s="22" t="str">
        <f t="shared" si="87"/>
        <v/>
      </c>
      <c r="AO364" s="24" t="str">
        <f>IF([2]CHAMNORD!J366=0,"",[2]CHAMNORD!J366)</f>
        <v/>
      </c>
      <c r="AP364" s="17" t="str">
        <f t="shared" si="81"/>
        <v/>
      </c>
      <c r="BB364" s="39"/>
      <c r="BD364" s="5">
        <v>46383</v>
      </c>
      <c r="BE364" s="42">
        <f t="shared" si="82"/>
        <v>22.624297277409859</v>
      </c>
      <c r="BF364" s="72" t="str">
        <f t="shared" si="88"/>
        <v/>
      </c>
      <c r="BG364" s="43" t="str">
        <f t="shared" si="83"/>
        <v/>
      </c>
      <c r="BH364" s="17" t="str">
        <f t="shared" si="84"/>
        <v/>
      </c>
      <c r="BT364" s="39"/>
    </row>
    <row r="365" spans="2:72">
      <c r="B365" s="5">
        <v>46384</v>
      </c>
      <c r="C365" s="24">
        <f>IF([1]CHAMNORD!H366=0,"",[1]CHAMNORD!H366)</f>
        <v>25905.62</v>
      </c>
      <c r="D365" s="22" t="str">
        <f t="shared" si="85"/>
        <v/>
      </c>
      <c r="E365" s="21" t="str">
        <f>IF([2]CHAMNORD!H367=0,"",[2]CHAMNORD!H367)</f>
        <v/>
      </c>
      <c r="F365" s="17" t="str">
        <f t="shared" si="79"/>
        <v/>
      </c>
      <c r="R365" s="39"/>
      <c r="T365" s="5">
        <v>46384</v>
      </c>
      <c r="U365" s="24">
        <f>IF([1]CHAMNORD!I366=0,"",[1]CHAMNORD!I366)</f>
        <v>25569.95</v>
      </c>
      <c r="V365" s="22" t="str">
        <f t="shared" si="86"/>
        <v/>
      </c>
      <c r="W365" s="21" t="str">
        <f>IF([2]CHAMNORD!I367=0,"",[2]CHAMNORD!I367)</f>
        <v/>
      </c>
      <c r="X365" s="17" t="str">
        <f t="shared" si="80"/>
        <v/>
      </c>
      <c r="AJ365" s="39"/>
      <c r="AL365" s="5">
        <v>46384</v>
      </c>
      <c r="AM365" s="24">
        <f>IF([1]CHAMNORD!J366=0,"",[1]CHAMNORD!J366)</f>
        <v>1180</v>
      </c>
      <c r="AN365" s="22" t="str">
        <f t="shared" si="87"/>
        <v/>
      </c>
      <c r="AO365" s="21" t="str">
        <f>IF([2]CHAMNORD!J367=0,"",[2]CHAMNORD!J367)</f>
        <v/>
      </c>
      <c r="AP365" s="17" t="str">
        <f t="shared" si="81"/>
        <v/>
      </c>
      <c r="BB365" s="39"/>
      <c r="BD365" s="5">
        <v>46384</v>
      </c>
      <c r="BE365" s="43">
        <f t="shared" si="82"/>
        <v>21.953915254237288</v>
      </c>
      <c r="BF365" s="72" t="str">
        <f t="shared" si="88"/>
        <v/>
      </c>
      <c r="BG365" s="41" t="str">
        <f t="shared" si="83"/>
        <v/>
      </c>
      <c r="BH365" s="17" t="str">
        <f t="shared" si="84"/>
        <v/>
      </c>
      <c r="BT365" s="39"/>
    </row>
    <row r="366" spans="2:72">
      <c r="B366" s="5">
        <v>46385</v>
      </c>
      <c r="C366" s="21">
        <f>IF([1]CHAMNORD!H367=0,"",[1]CHAMNORD!H367)</f>
        <v>21301.040000000001</v>
      </c>
      <c r="D366" s="22" t="str">
        <f t="shared" si="85"/>
        <v/>
      </c>
      <c r="E366" s="23" t="str">
        <f>IF([2]CHAMNORD!H368=0,"",[2]CHAMNORD!H368)</f>
        <v/>
      </c>
      <c r="F366" s="17" t="str">
        <f t="shared" si="79"/>
        <v/>
      </c>
      <c r="R366" s="39"/>
      <c r="T366" s="5">
        <v>46385</v>
      </c>
      <c r="U366" s="21">
        <f>IF([1]CHAMNORD!I367=0,"",[1]CHAMNORD!I367)</f>
        <v>20998.09</v>
      </c>
      <c r="V366" s="22" t="str">
        <f t="shared" si="86"/>
        <v/>
      </c>
      <c r="W366" s="23" t="str">
        <f>IF([2]CHAMNORD!I368=0,"",[2]CHAMNORD!I368)</f>
        <v/>
      </c>
      <c r="X366" s="17" t="str">
        <f t="shared" si="80"/>
        <v/>
      </c>
      <c r="AJ366" s="39"/>
      <c r="AL366" s="5">
        <v>46385</v>
      </c>
      <c r="AM366" s="21">
        <f>IF([1]CHAMNORD!J367=0,"",[1]CHAMNORD!J367)</f>
        <v>1057</v>
      </c>
      <c r="AN366" s="22" t="str">
        <f t="shared" si="87"/>
        <v/>
      </c>
      <c r="AO366" s="23" t="str">
        <f>IF([2]CHAMNORD!J368=0,"",[2]CHAMNORD!J368)</f>
        <v/>
      </c>
      <c r="AP366" s="17" t="str">
        <f t="shared" si="81"/>
        <v/>
      </c>
      <c r="BB366" s="39"/>
      <c r="BD366" s="5">
        <v>46385</v>
      </c>
      <c r="BE366" s="41">
        <f t="shared" si="82"/>
        <v>20.152355723746453</v>
      </c>
      <c r="BF366" s="72" t="str">
        <f t="shared" si="88"/>
        <v/>
      </c>
      <c r="BG366" s="42" t="str">
        <f t="shared" si="83"/>
        <v/>
      </c>
      <c r="BH366" s="17" t="str">
        <f t="shared" si="84"/>
        <v/>
      </c>
      <c r="BT366" s="39"/>
    </row>
    <row r="367" spans="2:72">
      <c r="B367" s="5">
        <v>46386</v>
      </c>
      <c r="C367" s="23">
        <f>IF([1]CHAMNORD!H368=0,"",[1]CHAMNORD!H368)</f>
        <v>22874.9</v>
      </c>
      <c r="D367" s="22" t="str">
        <f t="shared" si="85"/>
        <v/>
      </c>
      <c r="E367" s="23" t="str">
        <f>IF([2]CHAMNORD!H369=0,"",[2]CHAMNORD!H369)</f>
        <v/>
      </c>
      <c r="F367" s="17" t="str">
        <f t="shared" si="79"/>
        <v/>
      </c>
      <c r="R367" s="39"/>
      <c r="T367" s="5">
        <v>46386</v>
      </c>
      <c r="U367" s="23">
        <f>IF([1]CHAMNORD!I368=0,"",[1]CHAMNORD!I368)</f>
        <v>22598.61</v>
      </c>
      <c r="V367" s="22" t="str">
        <f t="shared" si="86"/>
        <v/>
      </c>
      <c r="W367" s="23" t="str">
        <f>IF([2]CHAMNORD!I369=0,"",[2]CHAMNORD!I369)</f>
        <v/>
      </c>
      <c r="X367" s="17" t="str">
        <f t="shared" si="80"/>
        <v/>
      </c>
      <c r="AJ367" s="39"/>
      <c r="AL367" s="5">
        <v>46386</v>
      </c>
      <c r="AM367" s="23">
        <f>IF([1]CHAMNORD!J368=0,"",[1]CHAMNORD!J368)</f>
        <v>1130</v>
      </c>
      <c r="AN367" s="22" t="str">
        <f t="shared" si="87"/>
        <v/>
      </c>
      <c r="AO367" s="23" t="str">
        <f>IF([2]CHAMNORD!J369=0,"",[2]CHAMNORD!J369)</f>
        <v/>
      </c>
      <c r="AP367" s="17" t="str">
        <f t="shared" si="81"/>
        <v/>
      </c>
      <c r="BB367" s="39"/>
      <c r="BD367" s="5">
        <v>46386</v>
      </c>
      <c r="BE367" s="42">
        <f t="shared" si="82"/>
        <v>20.243274336283186</v>
      </c>
      <c r="BF367" s="72" t="str">
        <f t="shared" si="88"/>
        <v/>
      </c>
      <c r="BG367" s="42" t="str">
        <f t="shared" si="83"/>
        <v/>
      </c>
      <c r="BH367" s="17" t="str">
        <f t="shared" si="84"/>
        <v/>
      </c>
      <c r="BT367" s="39"/>
    </row>
    <row r="368" spans="2:72" ht="18" thickBot="1">
      <c r="B368" s="8">
        <v>46387</v>
      </c>
      <c r="C368" s="25">
        <f>IF([1]CHAMNORD!H369=0,"",[1]CHAMNORD!H369)</f>
        <v>10578.09</v>
      </c>
      <c r="D368" s="26" t="str">
        <f t="shared" si="85"/>
        <v/>
      </c>
      <c r="E368" s="25" t="str">
        <f>IF([2]CHAMNORD!H370=0,"",[2]CHAMNORD!H370)</f>
        <v/>
      </c>
      <c r="F368" s="18" t="str">
        <f t="shared" si="79"/>
        <v/>
      </c>
      <c r="G368" s="13"/>
      <c r="H368" s="9"/>
      <c r="I368" s="9"/>
      <c r="J368" s="20"/>
      <c r="K368" s="13"/>
      <c r="L368" s="9"/>
      <c r="M368" s="9"/>
      <c r="N368" s="9"/>
      <c r="O368" s="9"/>
      <c r="P368" s="9"/>
      <c r="Q368" s="9"/>
      <c r="R368" s="40"/>
      <c r="T368" s="8">
        <v>46387</v>
      </c>
      <c r="U368" s="25">
        <f>IF([1]CHAMNORD!I369=0,"",[1]CHAMNORD!I369)</f>
        <v>10412.44</v>
      </c>
      <c r="V368" s="26" t="str">
        <f t="shared" si="86"/>
        <v/>
      </c>
      <c r="W368" s="25" t="str">
        <f>IF([2]CHAMNORD!I370=0,"",[2]CHAMNORD!I370)</f>
        <v/>
      </c>
      <c r="X368" s="18" t="str">
        <f t="shared" si="80"/>
        <v/>
      </c>
      <c r="Y368" s="13"/>
      <c r="Z368" s="9"/>
      <c r="AA368" s="9"/>
      <c r="AB368" s="20"/>
      <c r="AC368" s="13"/>
      <c r="AD368" s="9"/>
      <c r="AE368" s="9"/>
      <c r="AF368" s="9"/>
      <c r="AG368" s="9"/>
      <c r="AH368" s="9"/>
      <c r="AI368" s="9"/>
      <c r="AJ368" s="40"/>
      <c r="AL368" s="8">
        <v>46387</v>
      </c>
      <c r="AM368" s="25">
        <f>IF([1]CHAMNORD!J369=0,"",[1]CHAMNORD!J369)</f>
        <v>606</v>
      </c>
      <c r="AN368" s="26" t="str">
        <f t="shared" si="87"/>
        <v/>
      </c>
      <c r="AO368" s="25" t="str">
        <f>IF([2]CHAMNORD!J370=0,"",[2]CHAMNORD!J370)</f>
        <v/>
      </c>
      <c r="AP368" s="18" t="str">
        <f t="shared" si="81"/>
        <v/>
      </c>
      <c r="AQ368" s="13"/>
      <c r="AR368" s="9"/>
      <c r="AS368" s="9"/>
      <c r="AT368" s="20"/>
      <c r="AU368" s="13"/>
      <c r="AV368" s="9"/>
      <c r="AW368" s="9"/>
      <c r="AX368" s="9"/>
      <c r="AY368" s="9"/>
      <c r="AZ368" s="9"/>
      <c r="BA368" s="9"/>
      <c r="BB368" s="40"/>
      <c r="BD368" s="8">
        <v>46387</v>
      </c>
      <c r="BE368" s="44">
        <f t="shared" si="82"/>
        <v>17.455594059405939</v>
      </c>
      <c r="BF368" s="73" t="str">
        <f t="shared" si="88"/>
        <v/>
      </c>
      <c r="BG368" s="44" t="str">
        <f t="shared" si="83"/>
        <v/>
      </c>
      <c r="BH368" s="18" t="str">
        <f t="shared" si="84"/>
        <v/>
      </c>
      <c r="BI368" s="13"/>
      <c r="BJ368" s="9"/>
      <c r="BK368" s="9"/>
      <c r="BL368" s="20"/>
      <c r="BM368" s="13"/>
      <c r="BN368" s="9"/>
      <c r="BO368" s="9"/>
      <c r="BP368" s="9"/>
      <c r="BQ368" s="9"/>
      <c r="BR368" s="9"/>
      <c r="BS368" s="9"/>
      <c r="BT368" s="40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4E712-26A3-134B-933D-DC8D07B2C823}">
  <dimension ref="B1:DC368"/>
  <sheetViews>
    <sheetView tabSelected="1" topLeftCell="AQ1" zoomScale="50" workbookViewId="0">
      <selection activeCell="CC24" sqref="CC24"/>
    </sheetView>
  </sheetViews>
  <sheetFormatPr baseColWidth="10" defaultRowHeight="17"/>
  <cols>
    <col min="1" max="1" width="2.83203125" style="1" customWidth="1"/>
    <col min="2" max="2" width="7.1640625" style="1" bestFit="1" customWidth="1"/>
    <col min="3" max="3" width="8.83203125" style="1" bestFit="1" customWidth="1"/>
    <col min="4" max="4" width="8.83203125" style="1" customWidth="1"/>
    <col min="5" max="5" width="8.83203125" style="1" bestFit="1" customWidth="1"/>
    <col min="6" max="6" width="6.1640625" style="15" bestFit="1" customWidth="1"/>
    <col min="7" max="7" width="7.83203125" style="10" bestFit="1" customWidth="1"/>
    <col min="8" max="8" width="10.6640625" style="1" bestFit="1" customWidth="1"/>
    <col min="9" max="9" width="11" style="1" bestFit="1" customWidth="1"/>
    <col min="10" max="10" width="6.1640625" style="19" bestFit="1" customWidth="1"/>
    <col min="11" max="11" width="9.6640625" style="10" bestFit="1" customWidth="1"/>
    <col min="12" max="13" width="9.6640625" style="1" bestFit="1" customWidth="1"/>
    <col min="14" max="14" width="7" style="1" bestFit="1" customWidth="1"/>
    <col min="15" max="15" width="10.6640625" style="1" bestFit="1" customWidth="1"/>
    <col min="16" max="17" width="11" style="1" bestFit="1" customWidth="1"/>
    <col min="18" max="18" width="7" style="19" customWidth="1"/>
    <col min="19" max="19" width="2.83203125" style="1" customWidth="1"/>
    <col min="20" max="20" width="7.1640625" style="1" bestFit="1" customWidth="1"/>
    <col min="21" max="21" width="8.83203125" style="1" bestFit="1" customWidth="1"/>
    <col min="22" max="22" width="8.83203125" style="1" customWidth="1"/>
    <col min="23" max="23" width="8.83203125" style="1" bestFit="1" customWidth="1"/>
    <col min="24" max="24" width="6.1640625" style="15" bestFit="1" customWidth="1"/>
    <col min="25" max="25" width="7.83203125" style="10" bestFit="1" customWidth="1"/>
    <col min="26" max="26" width="10.6640625" style="1" bestFit="1" customWidth="1"/>
    <col min="27" max="27" width="11" style="1" bestFit="1" customWidth="1"/>
    <col min="28" max="28" width="6.1640625" style="19" bestFit="1" customWidth="1"/>
    <col min="29" max="29" width="9.6640625" style="10" bestFit="1" customWidth="1"/>
    <col min="30" max="31" width="9.6640625" style="1" bestFit="1" customWidth="1"/>
    <col min="32" max="32" width="7" style="1" bestFit="1" customWidth="1"/>
    <col min="33" max="33" width="10.6640625" style="1" bestFit="1" customWidth="1"/>
    <col min="34" max="35" width="11" style="1" bestFit="1" customWidth="1"/>
    <col min="36" max="36" width="7" style="19" customWidth="1"/>
    <col min="37" max="37" width="3" style="1" customWidth="1"/>
    <col min="38" max="38" width="7.1640625" style="1" bestFit="1" customWidth="1"/>
    <col min="39" max="39" width="8.83203125" style="1" bestFit="1" customWidth="1"/>
    <col min="40" max="40" width="8.83203125" style="1" customWidth="1"/>
    <col min="41" max="41" width="9" style="1" bestFit="1" customWidth="1"/>
    <col min="42" max="42" width="6.33203125" style="15" bestFit="1" customWidth="1"/>
    <col min="43" max="43" width="7.83203125" style="10" bestFit="1" customWidth="1"/>
    <col min="44" max="44" width="10.83203125" style="1" bestFit="1"/>
    <col min="45" max="45" width="11.1640625" style="1" bestFit="1" customWidth="1"/>
    <col min="46" max="46" width="6.33203125" style="19" bestFit="1" customWidth="1"/>
    <col min="47" max="47" width="9.6640625" style="10" bestFit="1" customWidth="1"/>
    <col min="48" max="49" width="9.83203125" style="1" bestFit="1" customWidth="1"/>
    <col min="50" max="50" width="7.1640625" style="1" bestFit="1" customWidth="1"/>
    <col min="51" max="51" width="10.6640625" style="1" bestFit="1" customWidth="1"/>
    <col min="52" max="53" width="11.1640625" style="1" bestFit="1" customWidth="1"/>
    <col min="54" max="54" width="7" style="19" customWidth="1"/>
    <col min="55" max="55" width="2.6640625" style="1" customWidth="1"/>
    <col min="56" max="56" width="7.33203125" style="1" bestFit="1" customWidth="1"/>
    <col min="57" max="57" width="9" style="1" bestFit="1" customWidth="1"/>
    <col min="58" max="58" width="8.83203125" style="1" customWidth="1"/>
    <col min="59" max="59" width="9" style="1" bestFit="1" customWidth="1"/>
    <col min="60" max="60" width="6.33203125" style="15" bestFit="1" customWidth="1"/>
    <col min="61" max="61" width="7.83203125" style="10" bestFit="1" customWidth="1"/>
    <col min="62" max="62" width="10.83203125" style="1" bestFit="1"/>
    <col min="63" max="63" width="11.1640625" style="1" bestFit="1" customWidth="1"/>
    <col min="64" max="64" width="6.33203125" style="19" bestFit="1" customWidth="1"/>
    <col min="65" max="65" width="9.6640625" style="10" bestFit="1" customWidth="1"/>
    <col min="66" max="67" width="9.83203125" style="1" bestFit="1" customWidth="1"/>
    <col min="68" max="68" width="7.1640625" style="1" bestFit="1" customWidth="1"/>
    <col min="69" max="69" width="10.6640625" style="1" bestFit="1" customWidth="1"/>
    <col min="70" max="71" width="11.1640625" style="1" bestFit="1" customWidth="1"/>
    <col min="72" max="72" width="7" style="19" customWidth="1"/>
    <col min="73" max="73" width="2.83203125" style="1" customWidth="1"/>
    <col min="74" max="74" width="10.83203125" style="1"/>
    <col min="75" max="77" width="11" style="1" bestFit="1" customWidth="1"/>
    <col min="78" max="78" width="10.83203125" style="1"/>
    <col min="79" max="81" width="11" style="1" bestFit="1" customWidth="1"/>
    <col min="82" max="82" width="10.83203125" style="1"/>
    <col min="83" max="83" width="11" style="1" bestFit="1" customWidth="1"/>
    <col min="84" max="84" width="11.1640625" style="1" bestFit="1" customWidth="1"/>
    <col min="85" max="85" width="11" style="1" bestFit="1" customWidth="1"/>
    <col min="86" max="86" width="2.83203125" style="1" customWidth="1"/>
    <col min="87" max="87" width="10.83203125" style="1"/>
    <col min="88" max="90" width="11" style="1" bestFit="1" customWidth="1"/>
    <col min="91" max="91" width="10.83203125" style="1"/>
    <col min="92" max="94" width="11" style="1" bestFit="1" customWidth="1"/>
    <col min="95" max="95" width="10.83203125" style="1"/>
    <col min="96" max="96" width="11" style="1" bestFit="1" customWidth="1"/>
    <col min="97" max="97" width="11.1640625" style="1" bestFit="1" customWidth="1"/>
    <col min="98" max="98" width="11" style="1" bestFit="1" customWidth="1"/>
    <col min="99" max="99" width="2.83203125" style="1" customWidth="1"/>
    <col min="100" max="106" width="10.83203125" style="1"/>
    <col min="107" max="107" width="12.1640625" style="1" bestFit="1" customWidth="1"/>
    <col min="108" max="16384" width="10.83203125" style="1"/>
  </cols>
  <sheetData>
    <row r="1" spans="2:107" ht="18" thickBot="1"/>
    <row r="2" spans="2:107">
      <c r="B2" s="27" t="s">
        <v>68</v>
      </c>
      <c r="C2" s="28"/>
      <c r="D2" s="28"/>
      <c r="E2" s="28"/>
      <c r="F2" s="29"/>
      <c r="G2" s="28"/>
      <c r="H2" s="28"/>
      <c r="I2" s="28"/>
      <c r="J2" s="29"/>
      <c r="K2" s="28"/>
      <c r="L2" s="28"/>
      <c r="M2" s="28"/>
      <c r="N2" s="28"/>
      <c r="O2" s="35"/>
      <c r="P2" s="35"/>
      <c r="Q2" s="35"/>
      <c r="R2" s="36"/>
      <c r="T2" s="27" t="s">
        <v>72</v>
      </c>
      <c r="U2" s="28"/>
      <c r="V2" s="28"/>
      <c r="W2" s="28"/>
      <c r="X2" s="29"/>
      <c r="Y2" s="28"/>
      <c r="Z2" s="28"/>
      <c r="AA2" s="28"/>
      <c r="AB2" s="29"/>
      <c r="AC2" s="28"/>
      <c r="AD2" s="28"/>
      <c r="AE2" s="28"/>
      <c r="AF2" s="28"/>
      <c r="AG2" s="35"/>
      <c r="AH2" s="35"/>
      <c r="AI2" s="35"/>
      <c r="AJ2" s="36"/>
      <c r="AL2" s="27" t="s">
        <v>74</v>
      </c>
      <c r="AM2" s="28"/>
      <c r="AN2" s="28"/>
      <c r="AO2" s="28"/>
      <c r="AP2" s="29"/>
      <c r="AQ2" s="28"/>
      <c r="AR2" s="28"/>
      <c r="AS2" s="28"/>
      <c r="AT2" s="29"/>
      <c r="AU2" s="28"/>
      <c r="AV2" s="28"/>
      <c r="AW2" s="28"/>
      <c r="AX2" s="28"/>
      <c r="AY2" s="35"/>
      <c r="AZ2" s="35"/>
      <c r="BA2" s="35"/>
      <c r="BB2" s="36"/>
      <c r="BD2" s="27" t="s">
        <v>73</v>
      </c>
      <c r="BE2" s="28"/>
      <c r="BF2" s="28"/>
      <c r="BG2" s="28"/>
      <c r="BH2" s="29"/>
      <c r="BI2" s="28"/>
      <c r="BJ2" s="28"/>
      <c r="BK2" s="28"/>
      <c r="BL2" s="29"/>
      <c r="BM2" s="28"/>
      <c r="BN2" s="28"/>
      <c r="BO2" s="28"/>
      <c r="BP2" s="28"/>
      <c r="BQ2" s="35"/>
      <c r="BR2" s="35"/>
      <c r="BS2" s="35"/>
      <c r="BT2" s="36"/>
      <c r="BV2" s="27" t="s">
        <v>76</v>
      </c>
      <c r="BW2" s="28"/>
      <c r="BX2" s="28"/>
      <c r="BY2" s="29"/>
      <c r="BZ2" s="28"/>
      <c r="CA2" s="28"/>
      <c r="CB2" s="28"/>
      <c r="CC2" s="28"/>
      <c r="CD2" s="35"/>
      <c r="CE2" s="35"/>
      <c r="CF2" s="35"/>
      <c r="CG2" s="36"/>
      <c r="CI2" s="27" t="s">
        <v>77</v>
      </c>
      <c r="CJ2" s="28"/>
      <c r="CK2" s="28"/>
      <c r="CL2" s="29"/>
      <c r="CM2" s="28"/>
      <c r="CN2" s="28"/>
      <c r="CO2" s="28"/>
      <c r="CP2" s="28"/>
      <c r="CQ2" s="35"/>
      <c r="CR2" s="35"/>
      <c r="CS2" s="35"/>
      <c r="CT2" s="36"/>
      <c r="CV2" s="27" t="s">
        <v>78</v>
      </c>
      <c r="CW2" s="28"/>
      <c r="CX2" s="28"/>
      <c r="CY2" s="28"/>
      <c r="CZ2" s="35"/>
      <c r="DA2" s="35"/>
      <c r="DB2" s="35"/>
      <c r="DC2" s="36"/>
    </row>
    <row r="3" spans="2:107" s="4" customFormat="1">
      <c r="B3" s="2" t="s">
        <v>0</v>
      </c>
      <c r="C3" s="3">
        <v>2025</v>
      </c>
      <c r="D3" s="3"/>
      <c r="E3" s="3">
        <v>2026</v>
      </c>
      <c r="F3" s="16" t="s">
        <v>69</v>
      </c>
      <c r="G3" s="11" t="s">
        <v>1</v>
      </c>
      <c r="H3" s="3">
        <v>2025</v>
      </c>
      <c r="I3" s="3">
        <v>2026</v>
      </c>
      <c r="J3" s="16" t="s">
        <v>69</v>
      </c>
      <c r="K3" s="3" t="s">
        <v>2</v>
      </c>
      <c r="L3" s="3">
        <v>2025</v>
      </c>
      <c r="M3" s="3">
        <v>2026</v>
      </c>
      <c r="N3" s="16" t="s">
        <v>69</v>
      </c>
      <c r="O3" s="3" t="s">
        <v>70</v>
      </c>
      <c r="P3" s="3">
        <v>2025</v>
      </c>
      <c r="Q3" s="30">
        <v>2026</v>
      </c>
      <c r="R3" s="37" t="s">
        <v>69</v>
      </c>
      <c r="T3" s="2" t="s">
        <v>0</v>
      </c>
      <c r="U3" s="3">
        <v>2025</v>
      </c>
      <c r="V3" s="3"/>
      <c r="W3" s="3">
        <v>2026</v>
      </c>
      <c r="X3" s="16" t="s">
        <v>69</v>
      </c>
      <c r="Y3" s="11" t="s">
        <v>1</v>
      </c>
      <c r="Z3" s="3">
        <v>2025</v>
      </c>
      <c r="AA3" s="3">
        <v>2026</v>
      </c>
      <c r="AB3" s="16" t="s">
        <v>69</v>
      </c>
      <c r="AC3" s="3" t="s">
        <v>2</v>
      </c>
      <c r="AD3" s="3">
        <v>2025</v>
      </c>
      <c r="AE3" s="3">
        <v>2026</v>
      </c>
      <c r="AF3" s="16" t="s">
        <v>69</v>
      </c>
      <c r="AG3" s="3" t="s">
        <v>70</v>
      </c>
      <c r="AH3" s="3">
        <v>2025</v>
      </c>
      <c r="AI3" s="30">
        <v>2026</v>
      </c>
      <c r="AJ3" s="37" t="s">
        <v>69</v>
      </c>
      <c r="AL3" s="2" t="s">
        <v>0</v>
      </c>
      <c r="AM3" s="3">
        <v>2025</v>
      </c>
      <c r="AN3" s="3"/>
      <c r="AO3" s="3">
        <v>2026</v>
      </c>
      <c r="AP3" s="16" t="s">
        <v>69</v>
      </c>
      <c r="AQ3" s="11" t="s">
        <v>1</v>
      </c>
      <c r="AR3" s="3">
        <v>2025</v>
      </c>
      <c r="AS3" s="3">
        <v>2026</v>
      </c>
      <c r="AT3" s="16" t="s">
        <v>69</v>
      </c>
      <c r="AU3" s="3" t="s">
        <v>2</v>
      </c>
      <c r="AV3" s="3">
        <v>2025</v>
      </c>
      <c r="AW3" s="3">
        <v>2026</v>
      </c>
      <c r="AX3" s="16" t="s">
        <v>69</v>
      </c>
      <c r="AY3" s="3" t="s">
        <v>70</v>
      </c>
      <c r="AZ3" s="3">
        <v>2025</v>
      </c>
      <c r="BA3" s="30">
        <v>2026</v>
      </c>
      <c r="BB3" s="37" t="s">
        <v>69</v>
      </c>
      <c r="BD3" s="2" t="s">
        <v>0</v>
      </c>
      <c r="BE3" s="3">
        <v>2025</v>
      </c>
      <c r="BF3" s="3"/>
      <c r="BG3" s="3">
        <v>2026</v>
      </c>
      <c r="BH3" s="16" t="s">
        <v>69</v>
      </c>
      <c r="BI3" s="11" t="s">
        <v>1</v>
      </c>
      <c r="BJ3" s="3">
        <v>2025</v>
      </c>
      <c r="BK3" s="3">
        <v>2026</v>
      </c>
      <c r="BL3" s="16" t="s">
        <v>69</v>
      </c>
      <c r="BM3" s="3" t="s">
        <v>2</v>
      </c>
      <c r="BN3" s="3">
        <v>2025</v>
      </c>
      <c r="BO3" s="3">
        <v>2026</v>
      </c>
      <c r="BP3" s="16" t="s">
        <v>69</v>
      </c>
      <c r="BQ3" s="3" t="s">
        <v>70</v>
      </c>
      <c r="BR3" s="3">
        <v>2025</v>
      </c>
      <c r="BS3" s="30">
        <v>2026</v>
      </c>
      <c r="BT3" s="37" t="s">
        <v>69</v>
      </c>
      <c r="BV3" s="46" t="s">
        <v>1</v>
      </c>
      <c r="BW3" s="3">
        <v>2025</v>
      </c>
      <c r="BX3" s="3">
        <v>2026</v>
      </c>
      <c r="BY3" s="16" t="s">
        <v>75</v>
      </c>
      <c r="BZ3" s="3" t="s">
        <v>2</v>
      </c>
      <c r="CA3" s="3">
        <v>2025</v>
      </c>
      <c r="CB3" s="3">
        <v>2026</v>
      </c>
      <c r="CC3" s="16" t="s">
        <v>75</v>
      </c>
      <c r="CD3" s="3" t="s">
        <v>70</v>
      </c>
      <c r="CE3" s="3">
        <v>2025</v>
      </c>
      <c r="CF3" s="30">
        <v>2026</v>
      </c>
      <c r="CG3" s="37" t="s">
        <v>75</v>
      </c>
      <c r="CI3" s="46" t="s">
        <v>1</v>
      </c>
      <c r="CJ3" s="3">
        <v>2025</v>
      </c>
      <c r="CK3" s="3">
        <v>2026</v>
      </c>
      <c r="CL3" s="16" t="s">
        <v>75</v>
      </c>
      <c r="CM3" s="3" t="s">
        <v>2</v>
      </c>
      <c r="CN3" s="3">
        <v>2025</v>
      </c>
      <c r="CO3" s="3">
        <v>2026</v>
      </c>
      <c r="CP3" s="16" t="s">
        <v>75</v>
      </c>
      <c r="CQ3" s="3" t="s">
        <v>70</v>
      </c>
      <c r="CR3" s="3">
        <v>2025</v>
      </c>
      <c r="CS3" s="30">
        <v>2026</v>
      </c>
      <c r="CT3" s="37" t="s">
        <v>75</v>
      </c>
      <c r="CV3" s="2" t="s">
        <v>2</v>
      </c>
      <c r="CW3" s="3">
        <v>2025</v>
      </c>
      <c r="CX3" s="3">
        <v>2026</v>
      </c>
      <c r="CY3" s="16" t="s">
        <v>75</v>
      </c>
      <c r="CZ3" s="3" t="s">
        <v>70</v>
      </c>
      <c r="DA3" s="3">
        <v>2025</v>
      </c>
      <c r="DB3" s="30">
        <v>2026</v>
      </c>
      <c r="DC3" s="37" t="s">
        <v>75</v>
      </c>
    </row>
    <row r="4" spans="2:107">
      <c r="B4" s="5">
        <v>46023</v>
      </c>
      <c r="C4" s="21">
        <f>IF([1]AIX!H5=0,"",[1]AIX!H5)</f>
        <v>36941.949999999997</v>
      </c>
      <c r="D4" s="22">
        <f t="shared" ref="D4:D67" si="0">IF(E3="","",C4)</f>
        <v>36941.949999999997</v>
      </c>
      <c r="E4" s="21">
        <f>IF([2]AIX!H6=0,"",[2]AIX!H6)</f>
        <v>32161</v>
      </c>
      <c r="F4" s="17">
        <f t="shared" ref="F4:F67" si="1">IF(E4="","",(E4/C5)-1)</f>
        <v>0.80860534208065271</v>
      </c>
      <c r="G4" s="12" t="s">
        <v>15</v>
      </c>
      <c r="H4" s="7">
        <f>SUM(C4:C8)</f>
        <v>103645.04999999999</v>
      </c>
      <c r="I4" s="7">
        <f>SUM(E4:E7)</f>
        <v>80603.959999999992</v>
      </c>
      <c r="J4" s="17">
        <f>IF(I4="","",(I4/H4)-1)</f>
        <v>-0.22230767412433106</v>
      </c>
      <c r="K4" s="12" t="s">
        <v>3</v>
      </c>
      <c r="L4" s="7">
        <f>SUM(C4:C34)</f>
        <v>404104.14000000007</v>
      </c>
      <c r="M4" s="7">
        <f>IF(SUM(E4:E34)=0,"",SUM(E4:E34))</f>
        <v>384720.66000000009</v>
      </c>
      <c r="N4" s="17">
        <f>IF(M4="","",(M4/L4)-1)</f>
        <v>-4.7966546445181169E-2</v>
      </c>
      <c r="O4" s="32" t="s">
        <v>71</v>
      </c>
      <c r="P4" s="31">
        <f>SUM(D4:D368)</f>
        <v>2410665.0699999998</v>
      </c>
      <c r="Q4" s="31">
        <f>SUM(E4:E368)</f>
        <v>2298335.2199999993</v>
      </c>
      <c r="R4" s="38">
        <f t="shared" ref="R4" si="2">IF(Q4="","",(Q4/P4)-1)</f>
        <v>-4.6597037223425009E-2</v>
      </c>
      <c r="T4" s="5">
        <v>46023</v>
      </c>
      <c r="U4" s="21">
        <f>IF([1]AIX!I5=0,"",[1]AIX!I5)</f>
        <v>36036.5</v>
      </c>
      <c r="V4" s="22">
        <f t="shared" ref="V4:V67" si="3">IF(W3="","",U4)</f>
        <v>36036.5</v>
      </c>
      <c r="W4" s="21">
        <f>IF([2]AIX!I6=0,"",[2]AIX!I6)</f>
        <v>31332.53</v>
      </c>
      <c r="X4" s="17">
        <f t="shared" ref="X4:X67" si="4">IF(W4="","",(W4/U5)-1)</f>
        <v>0.80831399445833729</v>
      </c>
      <c r="Y4" s="12" t="s">
        <v>15</v>
      </c>
      <c r="Z4" s="7">
        <f>SUM(U4:U8)</f>
        <v>101129.89</v>
      </c>
      <c r="AA4" s="7">
        <f>SUM(W4:W7)</f>
        <v>78893.2</v>
      </c>
      <c r="AB4" s="17">
        <f>IF(AA4="","",(AA4/Z4)-1)</f>
        <v>-0.21988246996016714</v>
      </c>
      <c r="AC4" s="12" t="s">
        <v>3</v>
      </c>
      <c r="AD4" s="7">
        <f>SUM(U4:U34)</f>
        <v>396071.49000000011</v>
      </c>
      <c r="AE4" s="7">
        <f>IF(SUM(W4:W34)=0,"",SUM(W4:W34))</f>
        <v>376787.68999999994</v>
      </c>
      <c r="AF4" s="17">
        <f>IF(AE4="","",(AE4/AD4)-1)</f>
        <v>-4.8687675045735235E-2</v>
      </c>
      <c r="AG4" s="32" t="s">
        <v>71</v>
      </c>
      <c r="AH4" s="31">
        <f>SUM(V4:V368)</f>
        <v>2371018.3499999982</v>
      </c>
      <c r="AI4" s="31">
        <f>SUM(W4:W368)</f>
        <v>2249482.9399999995</v>
      </c>
      <c r="AJ4" s="38">
        <f t="shared" ref="AJ4" si="5">IF(AI4="","",(AI4/AH4)-1)</f>
        <v>-5.1258738676568605E-2</v>
      </c>
      <c r="AL4" s="5">
        <v>46023</v>
      </c>
      <c r="AM4" s="21">
        <f>IF([1]AIX!J5=0,"",[1]AIX!J5)</f>
        <v>1660</v>
      </c>
      <c r="AN4" s="22">
        <f t="shared" ref="AN4:AN67" si="6">IF(AO3="","",AM4)</f>
        <v>1660</v>
      </c>
      <c r="AO4" s="21">
        <f>IF([2]AIX!J6=0,"",[2]AIX!J6)</f>
        <v>1445</v>
      </c>
      <c r="AP4" s="17">
        <f t="shared" ref="AP4:AP67" si="7">IF(AO4="","",(AO4/AM5)-1)</f>
        <v>0.53072033898305082</v>
      </c>
      <c r="AQ4" s="12" t="s">
        <v>15</v>
      </c>
      <c r="AR4" s="7">
        <f>SUM(AM4:AM8)</f>
        <v>5249</v>
      </c>
      <c r="AS4" s="7">
        <f>SUM(AO4:AO7)</f>
        <v>3952</v>
      </c>
      <c r="AT4" s="17">
        <f>IF(AS4="","",(AS4/AR4)-1)</f>
        <v>-0.24709468470184792</v>
      </c>
      <c r="AU4" s="12" t="s">
        <v>3</v>
      </c>
      <c r="AV4" s="7">
        <f>SUM(AM4:AM34)</f>
        <v>23014</v>
      </c>
      <c r="AW4" s="7">
        <f>IF(SUM(AO4:AO34)=0,"",SUM(AO4:AO34))</f>
        <v>20855</v>
      </c>
      <c r="AX4" s="17">
        <f>IF(AW4="","",(AW4/AV4)-1)</f>
        <v>-9.381246197966453E-2</v>
      </c>
      <c r="AY4" s="32" t="s">
        <v>71</v>
      </c>
      <c r="AZ4" s="31">
        <f>SUM(AN4:AN368)</f>
        <v>141983</v>
      </c>
      <c r="BA4" s="31">
        <f>SUM(AO4:AO368)</f>
        <v>130715</v>
      </c>
      <c r="BB4" s="38">
        <f t="shared" ref="BB4" si="8">IF(BA4="","",(BA4/AZ4)-1)</f>
        <v>-7.9361613714317936E-2</v>
      </c>
      <c r="BD4" s="5">
        <v>46023</v>
      </c>
      <c r="BE4" s="41">
        <f>IFERROR(C4/AM4,"")</f>
        <v>22.254186746987951</v>
      </c>
      <c r="BF4" s="22">
        <f t="shared" ref="BF4:BF67" si="9">IF(BG3="","",BE4)</f>
        <v>22.254186746987951</v>
      </c>
      <c r="BG4" s="41">
        <f>IFERROR(E4/AO4,"")</f>
        <v>22.25674740484429</v>
      </c>
      <c r="BH4" s="17">
        <f t="shared" ref="BH4:BH67" si="10">IF(BG4="","",(BG4/BE5)-1)</f>
        <v>0.18153871482639183</v>
      </c>
      <c r="BI4" s="12" t="s">
        <v>15</v>
      </c>
      <c r="BJ4" s="45">
        <f t="shared" ref="BJ4:BK19" si="11">IFERROR(H4/AR4,"")</f>
        <v>19.745675366736521</v>
      </c>
      <c r="BK4" s="45">
        <f t="shared" si="11"/>
        <v>20.395738866396758</v>
      </c>
      <c r="BL4" s="17">
        <f>IF(BK4="","",(BK4/BJ4)-1)</f>
        <v>3.2921816427476269E-2</v>
      </c>
      <c r="BM4" s="12" t="s">
        <v>3</v>
      </c>
      <c r="BN4" s="45">
        <f t="shared" ref="BN4:BO15" si="12">IFERROR(L4/AV4,"")</f>
        <v>17.559057095680892</v>
      </c>
      <c r="BO4" s="45">
        <f t="shared" si="12"/>
        <v>18.447406377367543</v>
      </c>
      <c r="BP4" s="17">
        <f>IF(BO4="","",(BO4/BN4)-1)</f>
        <v>5.0592083438532942E-2</v>
      </c>
      <c r="BQ4" s="32" t="s">
        <v>71</v>
      </c>
      <c r="BR4" s="45">
        <f t="shared" ref="BR4:BS4" si="13">IFERROR(P4/AZ4,"")</f>
        <v>16.978547220441882</v>
      </c>
      <c r="BS4" s="45">
        <f t="shared" si="13"/>
        <v>17.582796312588449</v>
      </c>
      <c r="BT4" s="38">
        <f t="shared" ref="BT4" si="14">IF(BS4="","",(BS4/BR4)-1)</f>
        <v>3.5588974975377274E-2</v>
      </c>
      <c r="BV4" s="47" t="s">
        <v>15</v>
      </c>
      <c r="BW4" s="45"/>
      <c r="BX4" s="45"/>
      <c r="BY4" s="50">
        <f>BX4-BW4</f>
        <v>0</v>
      </c>
      <c r="BZ4" s="12" t="s">
        <v>3</v>
      </c>
      <c r="CA4" s="53">
        <f>'[1]INDICES QSP 🍔'!F12</f>
        <v>240</v>
      </c>
      <c r="CB4" s="53">
        <f>'[2]INDICES QSP 🍔'!F12</f>
        <v>200</v>
      </c>
      <c r="CC4" s="50">
        <f>CB4-CA4</f>
        <v>-40</v>
      </c>
      <c r="CD4" s="32" t="s">
        <v>71</v>
      </c>
      <c r="CE4" s="4">
        <v>387</v>
      </c>
      <c r="CF4" s="4">
        <v>285</v>
      </c>
      <c r="CG4" s="52">
        <f>CF4-CE4</f>
        <v>-102</v>
      </c>
      <c r="CI4" s="47" t="s">
        <v>15</v>
      </c>
      <c r="CJ4" s="45"/>
      <c r="CK4" s="45"/>
      <c r="CL4" s="50">
        <f>CK4-CJ4</f>
        <v>0</v>
      </c>
      <c r="CM4" s="12" t="s">
        <v>3</v>
      </c>
      <c r="CN4" s="53">
        <v>382</v>
      </c>
      <c r="CO4" s="53">
        <v>349</v>
      </c>
      <c r="CP4" s="50">
        <f>CO4-CN4</f>
        <v>-33</v>
      </c>
      <c r="CQ4" s="32" t="s">
        <v>71</v>
      </c>
      <c r="CR4" s="4">
        <v>376</v>
      </c>
      <c r="CS4" s="4">
        <v>273</v>
      </c>
      <c r="CT4" s="52">
        <f>CS4-CR4</f>
        <v>-103</v>
      </c>
      <c r="CV4" s="47" t="s">
        <v>3</v>
      </c>
      <c r="CW4" s="55">
        <v>34</v>
      </c>
      <c r="CX4" s="55">
        <f>[2]OPH!$K$6</f>
        <v>41.08584005869406</v>
      </c>
      <c r="CY4" s="58">
        <f>CX4-CW4</f>
        <v>7.0858400586940604</v>
      </c>
      <c r="CZ4" s="32" t="s">
        <v>71</v>
      </c>
      <c r="DA4" s="4">
        <v>49</v>
      </c>
      <c r="DB4" s="60">
        <f>[2]OPH!$W$6</f>
        <v>50.142069196055488</v>
      </c>
      <c r="DC4" s="62">
        <f>DB4-DA4</f>
        <v>1.1420691960554876</v>
      </c>
    </row>
    <row r="5" spans="2:107">
      <c r="B5" s="5">
        <v>46024</v>
      </c>
      <c r="C5" s="23">
        <f>IF([1]AIX!H6=0,"",[1]AIX!H6)</f>
        <v>17782.21</v>
      </c>
      <c r="D5" s="22">
        <f t="shared" si="0"/>
        <v>17782.21</v>
      </c>
      <c r="E5" s="23">
        <f>IF([2]AIX!H7=0,"",[2]AIX!H7)</f>
        <v>17063.2</v>
      </c>
      <c r="F5" s="17">
        <f t="shared" si="1"/>
        <v>-6.2441447921136817E-2</v>
      </c>
      <c r="G5" s="12" t="s">
        <v>16</v>
      </c>
      <c r="H5" s="7">
        <f>SUM(C9:C15)</f>
        <v>82341.84</v>
      </c>
      <c r="I5" s="7">
        <f>SUM(E8:E14)</f>
        <v>76944.19</v>
      </c>
      <c r="J5" s="17">
        <f t="shared" ref="J5:J56" si="15">IF(I5="","",(I5/H5)-1)</f>
        <v>-6.5551729230242994E-2</v>
      </c>
      <c r="K5" s="12" t="s">
        <v>4</v>
      </c>
      <c r="L5" s="6">
        <f>SUM(C35:C62)</f>
        <v>382054.81000000011</v>
      </c>
      <c r="M5" s="7">
        <f>IF(SUM(E35:E62)=0,"",SUM(E35:E62))</f>
        <v>383624.50999999995</v>
      </c>
      <c r="N5" s="17">
        <f t="shared" ref="N5:N15" si="16">IF(M5="","",(M5/L5)-1)</f>
        <v>4.1085727987557608E-3</v>
      </c>
      <c r="R5" s="39"/>
      <c r="T5" s="5">
        <v>46024</v>
      </c>
      <c r="U5" s="23">
        <f>IF([1]AIX!I6=0,"",[1]AIX!I6)</f>
        <v>17326.93</v>
      </c>
      <c r="V5" s="22">
        <f t="shared" si="3"/>
        <v>17326.93</v>
      </c>
      <c r="W5" s="23">
        <f>IF([2]AIX!I7=0,"",[2]AIX!I7)</f>
        <v>16719.599999999999</v>
      </c>
      <c r="X5" s="17">
        <f t="shared" si="4"/>
        <v>-6.3369708920608669E-2</v>
      </c>
      <c r="Y5" s="12" t="s">
        <v>16</v>
      </c>
      <c r="Z5" s="7">
        <f>SUM(U9:U15)</f>
        <v>80600.090000000011</v>
      </c>
      <c r="AA5" s="7">
        <f>SUM(W8:W14)</f>
        <v>75284.039999999994</v>
      </c>
      <c r="AB5" s="17">
        <f t="shared" ref="AB5:AB56" si="17">IF(AA5="","",(AA5/Z5)-1)</f>
        <v>-6.5955881686980966E-2</v>
      </c>
      <c r="AC5" s="12" t="s">
        <v>4</v>
      </c>
      <c r="AD5" s="6">
        <f>SUM(U35:U62)</f>
        <v>376029.61000000004</v>
      </c>
      <c r="AE5" s="7">
        <f>IF(SUM(W35:W62)=0,"",SUM(W35:W62))</f>
        <v>375717.3899999999</v>
      </c>
      <c r="AF5" s="17">
        <f t="shared" ref="AF5:AF15" si="18">IF(AE5="","",(AE5/AD5)-1)</f>
        <v>-8.3030695375330144E-4</v>
      </c>
      <c r="AJ5" s="39"/>
      <c r="AL5" s="5">
        <v>46024</v>
      </c>
      <c r="AM5" s="23">
        <f>IF([1]AIX!J6=0,"",[1]AIX!J6)</f>
        <v>944</v>
      </c>
      <c r="AN5" s="22">
        <f t="shared" si="6"/>
        <v>944</v>
      </c>
      <c r="AO5" s="23">
        <f>IF([2]AIX!J7=0,"",[2]AIX!J7)</f>
        <v>930</v>
      </c>
      <c r="AP5" s="17">
        <f t="shared" si="7"/>
        <v>-6.6265060240963902E-2</v>
      </c>
      <c r="AQ5" s="12" t="s">
        <v>16</v>
      </c>
      <c r="AR5" s="7">
        <f>SUM(AM9:AM15)</f>
        <v>4735</v>
      </c>
      <c r="AS5" s="7">
        <f>SUM(AO8:AO14)</f>
        <v>4181</v>
      </c>
      <c r="AT5" s="17">
        <f t="shared" ref="AT5:AT56" si="19">IF(AS5="","",(AS5/AR5)-1)</f>
        <v>-0.11700105596620913</v>
      </c>
      <c r="AU5" s="12" t="s">
        <v>4</v>
      </c>
      <c r="AV5" s="6">
        <f>SUM(AM35:AM62)</f>
        <v>22103</v>
      </c>
      <c r="AW5" s="7">
        <f>IF(SUM(AO35:AO62)=0,"",SUM(AO35:AO62))</f>
        <v>21170</v>
      </c>
      <c r="AX5" s="17">
        <f t="shared" ref="AX5:AX15" si="20">IF(AW5="","",(AW5/AV5)-1)</f>
        <v>-4.2211464507080465E-2</v>
      </c>
      <c r="BB5" s="39"/>
      <c r="BD5" s="5">
        <v>46024</v>
      </c>
      <c r="BE5" s="42">
        <f t="shared" ref="BE5:BE68" si="21">IFERROR(C5/AM5,"")</f>
        <v>18.837086864406778</v>
      </c>
      <c r="BF5" s="22">
        <f t="shared" si="9"/>
        <v>18.837086864406778</v>
      </c>
      <c r="BG5" s="42">
        <f t="shared" ref="BG5:BG68" si="22">IFERROR(E5/AO5,"")</f>
        <v>18.34752688172043</v>
      </c>
      <c r="BH5" s="17">
        <f t="shared" si="10"/>
        <v>4.094965452201782E-3</v>
      </c>
      <c r="BI5" s="12" t="s">
        <v>16</v>
      </c>
      <c r="BJ5" s="45">
        <f t="shared" si="11"/>
        <v>17.390040126715945</v>
      </c>
      <c r="BK5" s="45">
        <f t="shared" si="11"/>
        <v>18.40329825400622</v>
      </c>
      <c r="BL5" s="17">
        <f t="shared" ref="BL5:BL56" si="23">IF(BK5="","",(BK5/BJ5)-1)</f>
        <v>5.8266577874862335E-2</v>
      </c>
      <c r="BM5" s="12" t="s">
        <v>4</v>
      </c>
      <c r="BN5" s="45">
        <f t="shared" si="12"/>
        <v>17.285201556349822</v>
      </c>
      <c r="BO5" s="45">
        <f t="shared" si="12"/>
        <v>18.121138875767592</v>
      </c>
      <c r="BP5" s="17">
        <f t="shared" ref="BP5:BP15" si="24">IF(BO5="","",(BO5/BN5)-1)</f>
        <v>4.8361444712843538E-2</v>
      </c>
      <c r="BT5" s="39"/>
      <c r="BV5" s="47" t="s">
        <v>16</v>
      </c>
      <c r="BW5" s="45"/>
      <c r="BX5" s="45"/>
      <c r="BY5" s="50">
        <f t="shared" ref="BY5:BY56" si="25">BX5-BW5</f>
        <v>0</v>
      </c>
      <c r="BZ5" s="12" t="s">
        <v>4</v>
      </c>
      <c r="CA5" s="53">
        <f>'[1]INDICES QSP 🍔'!F13</f>
        <v>268</v>
      </c>
      <c r="CB5" s="53">
        <f>'[2]INDICES QSP 🍔'!F13</f>
        <v>189</v>
      </c>
      <c r="CC5" s="50">
        <f t="shared" ref="CC5:CC15" si="26">CB5-CA5</f>
        <v>-79</v>
      </c>
      <c r="CG5" s="39"/>
      <c r="CI5" s="47" t="s">
        <v>16</v>
      </c>
      <c r="CJ5" s="45"/>
      <c r="CK5" s="45"/>
      <c r="CL5" s="50">
        <f t="shared" ref="CL5:CL56" si="27">CK5-CJ5</f>
        <v>0</v>
      </c>
      <c r="CM5" s="12" t="s">
        <v>4</v>
      </c>
      <c r="CN5" s="53">
        <v>410</v>
      </c>
      <c r="CO5" s="53">
        <v>294</v>
      </c>
      <c r="CP5" s="50">
        <f t="shared" ref="CP5:CP15" si="28">CO5-CN5</f>
        <v>-116</v>
      </c>
      <c r="CT5" s="39"/>
      <c r="CV5" s="47" t="s">
        <v>4</v>
      </c>
      <c r="CW5" s="55">
        <v>52</v>
      </c>
      <c r="CX5" s="55">
        <f>[2]OPH!$L$6</f>
        <v>51.408925874755006</v>
      </c>
      <c r="CY5" s="58">
        <f t="shared" ref="CY5:CY15" si="29">CX5-CW5</f>
        <v>-0.59107412524499381</v>
      </c>
      <c r="DC5" s="39"/>
    </row>
    <row r="6" spans="2:107">
      <c r="B6" s="5">
        <v>46025</v>
      </c>
      <c r="C6" s="23">
        <f>IF([1]AIX!H7=0,"",[1]AIX!H7)</f>
        <v>18199.61</v>
      </c>
      <c r="D6" s="22">
        <f t="shared" si="0"/>
        <v>18199.61</v>
      </c>
      <c r="E6" s="23">
        <f>IF([2]AIX!H8=0,"",[2]AIX!H8)</f>
        <v>16145.71</v>
      </c>
      <c r="F6" s="17">
        <f t="shared" si="1"/>
        <v>7.3198989396103586E-2</v>
      </c>
      <c r="G6" s="12" t="s">
        <v>17</v>
      </c>
      <c r="H6" s="7">
        <f>SUM(C16:C22)</f>
        <v>83330.13</v>
      </c>
      <c r="I6" s="7">
        <f>SUM(E15:E21)</f>
        <v>82770.28</v>
      </c>
      <c r="J6" s="17">
        <f t="shared" si="15"/>
        <v>-6.7184582575354757E-3</v>
      </c>
      <c r="K6" s="12" t="s">
        <v>5</v>
      </c>
      <c r="L6" s="6">
        <f>SUM(C63:C93)</f>
        <v>411812.7</v>
      </c>
      <c r="M6" s="7">
        <f>IF(SUM(E63:E93)=0,"",SUM(E63:E93))</f>
        <v>385296.22999999992</v>
      </c>
      <c r="N6" s="17">
        <f t="shared" si="16"/>
        <v>-6.4389636356528279E-2</v>
      </c>
      <c r="R6" s="39"/>
      <c r="T6" s="5">
        <v>46025</v>
      </c>
      <c r="U6" s="23">
        <f>IF([1]AIX!I7=0,"",[1]AIX!I7)</f>
        <v>17850.8</v>
      </c>
      <c r="V6" s="22">
        <f t="shared" si="3"/>
        <v>17850.8</v>
      </c>
      <c r="W6" s="23">
        <f>IF([2]AIX!I8=0,"",[2]AIX!I8)</f>
        <v>15888.6</v>
      </c>
      <c r="X6" s="17">
        <f t="shared" si="4"/>
        <v>8.4377311926880916E-2</v>
      </c>
      <c r="Y6" s="12" t="s">
        <v>17</v>
      </c>
      <c r="Z6" s="7">
        <f>SUM(U16:U22)</f>
        <v>81803.329999999987</v>
      </c>
      <c r="AA6" s="7">
        <f>SUM(W15:W21)</f>
        <v>80959.81</v>
      </c>
      <c r="AB6" s="17">
        <f t="shared" si="17"/>
        <v>-1.0311560666295461E-2</v>
      </c>
      <c r="AC6" s="12" t="s">
        <v>5</v>
      </c>
      <c r="AD6" s="6">
        <f>SUM(U63:U93)</f>
        <v>405076.80000000005</v>
      </c>
      <c r="AE6" s="7">
        <f>IF(SUM(W63:W93)=0,"",SUM(W63:W93))</f>
        <v>377521.33</v>
      </c>
      <c r="AF6" s="17">
        <f t="shared" si="18"/>
        <v>-6.8025297918814509E-2</v>
      </c>
      <c r="AJ6" s="39"/>
      <c r="AL6" s="5">
        <v>46025</v>
      </c>
      <c r="AM6" s="23">
        <f>IF([1]AIX!J7=0,"",[1]AIX!J7)</f>
        <v>996</v>
      </c>
      <c r="AN6" s="22">
        <f t="shared" si="6"/>
        <v>996</v>
      </c>
      <c r="AO6" s="23">
        <f>IF([2]AIX!J8=0,"",[2]AIX!J8)</f>
        <v>819</v>
      </c>
      <c r="AP6" s="17">
        <f t="shared" si="7"/>
        <v>-3.8732394366197131E-2</v>
      </c>
      <c r="AQ6" s="12" t="s">
        <v>17</v>
      </c>
      <c r="AR6" s="7">
        <f>SUM(AM16:AM22)</f>
        <v>4954</v>
      </c>
      <c r="AS6" s="7">
        <f>SUM(AO15:AO21)</f>
        <v>4528</v>
      </c>
      <c r="AT6" s="17">
        <f t="shared" si="19"/>
        <v>-8.59911182882519E-2</v>
      </c>
      <c r="AU6" s="12" t="s">
        <v>5</v>
      </c>
      <c r="AV6" s="6">
        <f>SUM(AM63:AM93)</f>
        <v>24095</v>
      </c>
      <c r="AW6" s="7">
        <f>IF(SUM(AO63:AO93)=0,"",SUM(AO63:AO93))</f>
        <v>21495</v>
      </c>
      <c r="AX6" s="17">
        <f t="shared" si="20"/>
        <v>-0.10790620460676492</v>
      </c>
      <c r="BB6" s="39"/>
      <c r="BD6" s="5">
        <v>46025</v>
      </c>
      <c r="BE6" s="42">
        <f t="shared" si="21"/>
        <v>18.272700803212853</v>
      </c>
      <c r="BF6" s="22">
        <f t="shared" si="9"/>
        <v>18.272700803212853</v>
      </c>
      <c r="BG6" s="42">
        <f t="shared" si="22"/>
        <v>19.713931623931622</v>
      </c>
      <c r="BH6" s="17">
        <f t="shared" si="10"/>
        <v>0.11644143951829089</v>
      </c>
      <c r="BI6" s="12" t="s">
        <v>17</v>
      </c>
      <c r="BJ6" s="45">
        <f t="shared" si="11"/>
        <v>16.820777149777957</v>
      </c>
      <c r="BK6" s="45">
        <f t="shared" si="11"/>
        <v>18.279655477031802</v>
      </c>
      <c r="BL6" s="17">
        <f t="shared" si="23"/>
        <v>8.6730732727952731E-2</v>
      </c>
      <c r="BM6" s="12" t="s">
        <v>5</v>
      </c>
      <c r="BN6" s="45">
        <f t="shared" si="12"/>
        <v>17.091209794563188</v>
      </c>
      <c r="BO6" s="45">
        <f t="shared" si="12"/>
        <v>17.924923470574548</v>
      </c>
      <c r="BP6" s="17">
        <f t="shared" si="24"/>
        <v>4.8780261083482213E-2</v>
      </c>
      <c r="BT6" s="39"/>
      <c r="BV6" s="47" t="s">
        <v>17</v>
      </c>
      <c r="BW6" s="45"/>
      <c r="BX6" s="45"/>
      <c r="BY6" s="50">
        <f t="shared" si="25"/>
        <v>0</v>
      </c>
      <c r="BZ6" s="12" t="s">
        <v>5</v>
      </c>
      <c r="CA6" s="53">
        <f>'[1]INDICES QSP 🍔'!F14</f>
        <v>248</v>
      </c>
      <c r="CB6" s="53">
        <f>'[2]INDICES QSP 🍔'!F14</f>
        <v>195</v>
      </c>
      <c r="CC6" s="50">
        <f t="shared" si="26"/>
        <v>-53</v>
      </c>
      <c r="CG6" s="39"/>
      <c r="CI6" s="47" t="s">
        <v>17</v>
      </c>
      <c r="CJ6" s="45"/>
      <c r="CK6" s="45"/>
      <c r="CL6" s="50">
        <f t="shared" si="27"/>
        <v>0</v>
      </c>
      <c r="CM6" s="12" t="s">
        <v>5</v>
      </c>
      <c r="CN6" s="53">
        <v>363</v>
      </c>
      <c r="CO6" s="53">
        <v>267</v>
      </c>
      <c r="CP6" s="50">
        <f t="shared" si="28"/>
        <v>-96</v>
      </c>
      <c r="CT6" s="39"/>
      <c r="CV6" s="47" t="s">
        <v>5</v>
      </c>
      <c r="CW6" s="55">
        <v>33</v>
      </c>
      <c r="CX6" s="55">
        <f>[2]OPH!$M$6</f>
        <v>43.501227356057548</v>
      </c>
      <c r="CY6" s="58">
        <f t="shared" si="29"/>
        <v>10.501227356057548</v>
      </c>
      <c r="DC6" s="39"/>
    </row>
    <row r="7" spans="2:107">
      <c r="B7" s="5">
        <v>46026</v>
      </c>
      <c r="C7" s="23">
        <f>IF([1]AIX!H8=0,"",[1]AIX!H8)</f>
        <v>15044.47</v>
      </c>
      <c r="D7" s="22">
        <f t="shared" si="0"/>
        <v>15044.47</v>
      </c>
      <c r="E7" s="24">
        <f>IF([2]AIX!H9=0,"",[2]AIX!H9)</f>
        <v>15234.05</v>
      </c>
      <c r="F7" s="17">
        <f t="shared" si="1"/>
        <v>-2.8242990761513376E-2</v>
      </c>
      <c r="G7" s="12" t="s">
        <v>18</v>
      </c>
      <c r="H7" s="7">
        <f>SUM(C23:C29)</f>
        <v>84510.819999999992</v>
      </c>
      <c r="I7" s="7">
        <f>SUM(E22:E28)</f>
        <v>79413.179999999993</v>
      </c>
      <c r="J7" s="17">
        <f t="shared" si="15"/>
        <v>-6.0319376856123319E-2</v>
      </c>
      <c r="K7" s="12" t="s">
        <v>6</v>
      </c>
      <c r="L7" s="6">
        <f>SUM(C94:C123)</f>
        <v>477517.13</v>
      </c>
      <c r="M7" s="7">
        <f>IF(SUM(E94:E123)=0,"",SUM(E94:E123))</f>
        <v>469413.27999999997</v>
      </c>
      <c r="N7" s="17">
        <f t="shared" si="16"/>
        <v>-1.6970804796049954E-2</v>
      </c>
      <c r="R7" s="39"/>
      <c r="T7" s="5">
        <v>46026</v>
      </c>
      <c r="U7" s="23">
        <f>IF([1]AIX!I8=0,"",[1]AIX!I8)</f>
        <v>14652.28</v>
      </c>
      <c r="V7" s="22">
        <f t="shared" si="3"/>
        <v>14652.28</v>
      </c>
      <c r="W7" s="24">
        <f>IF([2]AIX!I9=0,"",[2]AIX!I9)</f>
        <v>14952.47</v>
      </c>
      <c r="X7" s="17">
        <f t="shared" si="4"/>
        <v>-2.036966910343585E-2</v>
      </c>
      <c r="Y7" s="12" t="s">
        <v>18</v>
      </c>
      <c r="Z7" s="7">
        <f>SUM(U23:U29)</f>
        <v>83145.77</v>
      </c>
      <c r="AA7" s="7">
        <f>SUM(W22:W28)</f>
        <v>77971.28</v>
      </c>
      <c r="AB7" s="17">
        <f t="shared" si="17"/>
        <v>-6.2233953693615507E-2</v>
      </c>
      <c r="AC7" s="12" t="s">
        <v>6</v>
      </c>
      <c r="AD7" s="6">
        <f>SUM(U94:U123)</f>
        <v>469302.10000000003</v>
      </c>
      <c r="AE7" s="7">
        <f>IF(SUM(W94:W123)=0,"",SUM(W94:W123))</f>
        <v>458295.83999999997</v>
      </c>
      <c r="AF7" s="17">
        <f t="shared" si="18"/>
        <v>-2.3452398785345441E-2</v>
      </c>
      <c r="AJ7" s="39"/>
      <c r="AL7" s="5">
        <v>46026</v>
      </c>
      <c r="AM7" s="23">
        <f>IF([1]AIX!J8=0,"",[1]AIX!J8)</f>
        <v>852</v>
      </c>
      <c r="AN7" s="22">
        <f t="shared" si="6"/>
        <v>852</v>
      </c>
      <c r="AO7" s="24">
        <f>IF([2]AIX!J9=0,"",[2]AIX!J9)</f>
        <v>758</v>
      </c>
      <c r="AP7" s="17">
        <f t="shared" si="7"/>
        <v>-4.8933500627352577E-2</v>
      </c>
      <c r="AQ7" s="12" t="s">
        <v>18</v>
      </c>
      <c r="AR7" s="7">
        <f>SUM(AM23:AM29)</f>
        <v>5014</v>
      </c>
      <c r="AS7" s="7">
        <f>SUM(AO22:AO28)</f>
        <v>4480</v>
      </c>
      <c r="AT7" s="17">
        <f t="shared" si="19"/>
        <v>-0.10650179497407264</v>
      </c>
      <c r="AU7" s="12" t="s">
        <v>6</v>
      </c>
      <c r="AV7" s="6">
        <f>SUM(AM94:AM123)</f>
        <v>28518</v>
      </c>
      <c r="AW7" s="7">
        <f>IF(SUM(AO94:AO123)=0,"",SUM(AO94:AO123))</f>
        <v>27051</v>
      </c>
      <c r="AX7" s="17">
        <f t="shared" si="20"/>
        <v>-5.1441195034714893E-2</v>
      </c>
      <c r="BB7" s="39"/>
      <c r="BD7" s="5">
        <v>46026</v>
      </c>
      <c r="BE7" s="42">
        <f t="shared" si="21"/>
        <v>17.657828638497651</v>
      </c>
      <c r="BF7" s="22">
        <f t="shared" si="9"/>
        <v>17.657828638497651</v>
      </c>
      <c r="BG7" s="43">
        <f t="shared" si="22"/>
        <v>20.097691292875989</v>
      </c>
      <c r="BH7" s="17">
        <f t="shared" si="10"/>
        <v>2.1755061165005252E-2</v>
      </c>
      <c r="BI7" s="12" t="s">
        <v>18</v>
      </c>
      <c r="BJ7" s="45">
        <f t="shared" si="11"/>
        <v>16.854970083765455</v>
      </c>
      <c r="BK7" s="45">
        <f t="shared" si="11"/>
        <v>17.726156249999999</v>
      </c>
      <c r="BL7" s="17">
        <f t="shared" si="23"/>
        <v>5.1687197420401398E-2</v>
      </c>
      <c r="BM7" s="12" t="s">
        <v>6</v>
      </c>
      <c r="BN7" s="45">
        <f t="shared" si="12"/>
        <v>16.744411599691425</v>
      </c>
      <c r="BO7" s="45">
        <f t="shared" si="12"/>
        <v>17.352899338286939</v>
      </c>
      <c r="BP7" s="17">
        <f t="shared" si="24"/>
        <v>3.6339750427941464E-2</v>
      </c>
      <c r="BT7" s="39"/>
      <c r="BV7" s="47" t="s">
        <v>18</v>
      </c>
      <c r="BW7" s="45"/>
      <c r="BX7" s="45"/>
      <c r="BY7" s="50">
        <f t="shared" si="25"/>
        <v>0</v>
      </c>
      <c r="BZ7" s="12" t="s">
        <v>6</v>
      </c>
      <c r="CA7" s="53">
        <f>'[1]INDICES QSP 🍔'!F15</f>
        <v>305</v>
      </c>
      <c r="CB7" s="53">
        <f>'[2]INDICES QSP 🍔'!F15</f>
        <v>334</v>
      </c>
      <c r="CC7" s="50">
        <f t="shared" si="26"/>
        <v>29</v>
      </c>
      <c r="CG7" s="39"/>
      <c r="CI7" s="47" t="s">
        <v>18</v>
      </c>
      <c r="CJ7" s="45"/>
      <c r="CK7" s="45"/>
      <c r="CL7" s="50">
        <f t="shared" si="27"/>
        <v>0</v>
      </c>
      <c r="CM7" s="12" t="s">
        <v>6</v>
      </c>
      <c r="CN7" s="53">
        <v>344</v>
      </c>
      <c r="CO7" s="53">
        <v>272</v>
      </c>
      <c r="CP7" s="50">
        <f t="shared" si="28"/>
        <v>-72</v>
      </c>
      <c r="CT7" s="39"/>
      <c r="CV7" s="47" t="s">
        <v>6</v>
      </c>
      <c r="CW7" s="53">
        <v>37</v>
      </c>
      <c r="CX7" s="55">
        <f>[2]OPH!$N$6</f>
        <v>56.088950476756082</v>
      </c>
      <c r="CY7" s="58">
        <f t="shared" si="29"/>
        <v>19.088950476756082</v>
      </c>
      <c r="DC7" s="39"/>
    </row>
    <row r="8" spans="2:107">
      <c r="B8" s="5">
        <v>46027</v>
      </c>
      <c r="C8" s="24">
        <f>IF([1]AIX!H9=0,"",[1]AIX!H9)</f>
        <v>15676.81</v>
      </c>
      <c r="D8" s="22">
        <f t="shared" si="0"/>
        <v>15676.81</v>
      </c>
      <c r="E8" s="21">
        <f>IF([2]AIX!H10=0,"",[2]AIX!H10)</f>
        <v>8688.06</v>
      </c>
      <c r="F8" s="17">
        <f t="shared" si="1"/>
        <v>2.7343611428409131E-2</v>
      </c>
      <c r="G8" s="12" t="s">
        <v>19</v>
      </c>
      <c r="H8" s="7">
        <f>SUM(C30:C36)</f>
        <v>82827.95</v>
      </c>
      <c r="I8" s="7">
        <f>SUM(E29:E35)</f>
        <v>80986.48000000001</v>
      </c>
      <c r="J8" s="17">
        <f t="shared" si="15"/>
        <v>-2.2232471043892588E-2</v>
      </c>
      <c r="K8" s="12" t="s">
        <v>7</v>
      </c>
      <c r="L8" s="6">
        <f>SUM(C124:C154)</f>
        <v>487644.75000000006</v>
      </c>
      <c r="M8" s="7">
        <f>IF(SUM(E124:E154)=0,"",SUM(E124:E154))</f>
        <v>471842.93000000011</v>
      </c>
      <c r="N8" s="17">
        <f t="shared" si="16"/>
        <v>-3.2404368138896134E-2</v>
      </c>
      <c r="R8" s="39"/>
      <c r="T8" s="5">
        <v>46027</v>
      </c>
      <c r="U8" s="24">
        <f>IF([1]AIX!I9=0,"",[1]AIX!I9)</f>
        <v>15263.38</v>
      </c>
      <c r="V8" s="22">
        <f t="shared" si="3"/>
        <v>15263.38</v>
      </c>
      <c r="W8" s="21">
        <f>IF([2]AIX!I10=0,"",[2]AIX!I10)</f>
        <v>8519.86</v>
      </c>
      <c r="X8" s="17">
        <f t="shared" si="4"/>
        <v>2.915255383812565E-2</v>
      </c>
      <c r="Y8" s="12" t="s">
        <v>19</v>
      </c>
      <c r="Z8" s="7">
        <f>SUM(U30:U36)</f>
        <v>81377.94</v>
      </c>
      <c r="AA8" s="7">
        <f>SUM(W29:W35)</f>
        <v>79283.609999999986</v>
      </c>
      <c r="AB8" s="17">
        <f t="shared" si="17"/>
        <v>-2.5735844382396733E-2</v>
      </c>
      <c r="AC8" s="12" t="s">
        <v>7</v>
      </c>
      <c r="AD8" s="6">
        <f>SUM(U124:U154)</f>
        <v>480666.22</v>
      </c>
      <c r="AE8" s="7">
        <f>IF(SUM(W124:W154)=0,"",SUM(W124:W154))</f>
        <v>462146.93</v>
      </c>
      <c r="AF8" s="17">
        <f t="shared" si="18"/>
        <v>-3.8528378382820416E-2</v>
      </c>
      <c r="AJ8" s="39"/>
      <c r="AL8" s="5">
        <v>46027</v>
      </c>
      <c r="AM8" s="24">
        <f>IF([1]AIX!J9=0,"",[1]AIX!J9)</f>
        <v>797</v>
      </c>
      <c r="AN8" s="22">
        <f t="shared" si="6"/>
        <v>797</v>
      </c>
      <c r="AO8" s="21">
        <f>IF([2]AIX!J10=0,"",[2]AIX!J10)</f>
        <v>486</v>
      </c>
      <c r="AP8" s="17">
        <f t="shared" si="7"/>
        <v>-2.4096385542168641E-2</v>
      </c>
      <c r="AQ8" s="12" t="s">
        <v>19</v>
      </c>
      <c r="AR8" s="7">
        <f>SUM(AM30:AM36)</f>
        <v>4787</v>
      </c>
      <c r="AS8" s="7">
        <f>SUM(AO29:AO35)</f>
        <v>4530</v>
      </c>
      <c r="AT8" s="17">
        <f t="shared" si="19"/>
        <v>-5.3687069145602728E-2</v>
      </c>
      <c r="AU8" s="12" t="s">
        <v>7</v>
      </c>
      <c r="AV8" s="6">
        <f>SUM(AM124:AM154)</f>
        <v>29476</v>
      </c>
      <c r="AW8" s="7">
        <f>IF(SUM(AO124:AO154)=0,"",SUM(AO124:AO154))</f>
        <v>28009</v>
      </c>
      <c r="AX8" s="17">
        <f t="shared" si="20"/>
        <v>-4.976930384041256E-2</v>
      </c>
      <c r="BB8" s="39"/>
      <c r="BD8" s="5">
        <v>46027</v>
      </c>
      <c r="BE8" s="43">
        <f t="shared" si="21"/>
        <v>19.669774153074027</v>
      </c>
      <c r="BF8" s="22">
        <f t="shared" si="9"/>
        <v>19.669774153074027</v>
      </c>
      <c r="BG8" s="41">
        <f t="shared" si="22"/>
        <v>17.876666666666665</v>
      </c>
      <c r="BH8" s="17">
        <f t="shared" si="10"/>
        <v>5.2710120352567502E-2</v>
      </c>
      <c r="BI8" s="12" t="s">
        <v>19</v>
      </c>
      <c r="BJ8" s="45">
        <f t="shared" si="11"/>
        <v>17.302684353457281</v>
      </c>
      <c r="BK8" s="45">
        <f t="shared" si="11"/>
        <v>17.877810154525388</v>
      </c>
      <c r="BL8" s="17">
        <f t="shared" si="23"/>
        <v>3.3239108413440466E-2</v>
      </c>
      <c r="BM8" s="12" t="s">
        <v>7</v>
      </c>
      <c r="BN8" s="45">
        <f t="shared" si="12"/>
        <v>16.543789862939342</v>
      </c>
      <c r="BO8" s="45">
        <f t="shared" si="12"/>
        <v>16.846118390517336</v>
      </c>
      <c r="BP8" s="17">
        <f t="shared" si="24"/>
        <v>1.8274441955724807E-2</v>
      </c>
      <c r="BT8" s="39"/>
      <c r="BV8" s="47" t="s">
        <v>19</v>
      </c>
      <c r="BW8" s="45"/>
      <c r="BX8" s="45"/>
      <c r="BY8" s="50">
        <f t="shared" si="25"/>
        <v>0</v>
      </c>
      <c r="BZ8" s="12" t="s">
        <v>7</v>
      </c>
      <c r="CA8" s="53">
        <f>'[1]INDICES QSP 🍔'!F16</f>
        <v>258</v>
      </c>
      <c r="CB8" s="53">
        <f>'[2]INDICES QSP 🍔'!F16</f>
        <v>349</v>
      </c>
      <c r="CC8" s="50">
        <f t="shared" si="26"/>
        <v>91</v>
      </c>
      <c r="CG8" s="39"/>
      <c r="CI8" s="47" t="s">
        <v>19</v>
      </c>
      <c r="CJ8" s="45"/>
      <c r="CK8" s="45"/>
      <c r="CL8" s="50">
        <f t="shared" si="27"/>
        <v>0</v>
      </c>
      <c r="CM8" s="12" t="s">
        <v>7</v>
      </c>
      <c r="CN8" s="53">
        <v>341</v>
      </c>
      <c r="CO8" s="53">
        <v>282</v>
      </c>
      <c r="CP8" s="50">
        <f t="shared" si="28"/>
        <v>-59</v>
      </c>
      <c r="CT8" s="39"/>
      <c r="CV8" s="47" t="s">
        <v>7</v>
      </c>
      <c r="CW8" s="53">
        <v>74</v>
      </c>
      <c r="CX8" s="55">
        <f>[2]OPH!$O$6</f>
        <v>72.029597616475129</v>
      </c>
      <c r="CY8" s="58">
        <f t="shared" si="29"/>
        <v>-1.9704023835248705</v>
      </c>
      <c r="DC8" s="39"/>
    </row>
    <row r="9" spans="2:107">
      <c r="B9" s="5">
        <v>46028</v>
      </c>
      <c r="C9" s="21">
        <f>IF([1]AIX!H10=0,"",[1]AIX!H10)</f>
        <v>8456.82</v>
      </c>
      <c r="D9" s="22">
        <f t="shared" si="0"/>
        <v>8456.82</v>
      </c>
      <c r="E9" s="23">
        <f>IF([2]AIX!H11=0,"",[2]AIX!H11)</f>
        <v>8801.6299999999992</v>
      </c>
      <c r="F9" s="17">
        <f t="shared" si="1"/>
        <v>-7.3311686534132781E-2</v>
      </c>
      <c r="G9" s="12" t="s">
        <v>20</v>
      </c>
      <c r="H9" s="7">
        <f>SUM(C37:C43)</f>
        <v>94686.36</v>
      </c>
      <c r="I9" s="7">
        <f>SUM(E36:E42)</f>
        <v>91687.87000000001</v>
      </c>
      <c r="J9" s="17">
        <f t="shared" si="15"/>
        <v>-3.1667602387503213E-2</v>
      </c>
      <c r="K9" s="12" t="s">
        <v>8</v>
      </c>
      <c r="L9" s="6">
        <f>SUM(C155:C184)</f>
        <v>510529.2099999999</v>
      </c>
      <c r="M9" s="7">
        <f>IF(SUM(E155:E184)=0,"",SUM(E155:E184))</f>
        <v>203437.61</v>
      </c>
      <c r="N9" s="17">
        <f t="shared" si="16"/>
        <v>-0.60151621882712636</v>
      </c>
      <c r="R9" s="39"/>
      <c r="T9" s="5">
        <v>46028</v>
      </c>
      <c r="U9" s="21">
        <f>IF([1]AIX!I10=0,"",[1]AIX!I10)</f>
        <v>8278.52</v>
      </c>
      <c r="V9" s="22">
        <f t="shared" si="3"/>
        <v>8278.52</v>
      </c>
      <c r="W9" s="23">
        <f>IF([2]AIX!I11=0,"",[2]AIX!I11)</f>
        <v>8624.1</v>
      </c>
      <c r="X9" s="17">
        <f t="shared" si="4"/>
        <v>-7.2431065024796903E-2</v>
      </c>
      <c r="Y9" s="12" t="s">
        <v>20</v>
      </c>
      <c r="Z9" s="7">
        <f>SUM(U37:U43)</f>
        <v>93283.1</v>
      </c>
      <c r="AA9" s="7">
        <f>SUM(W36:W42)</f>
        <v>89815.300000000017</v>
      </c>
      <c r="AB9" s="17">
        <f t="shared" si="17"/>
        <v>-3.7175008120441833E-2</v>
      </c>
      <c r="AC9" s="12" t="s">
        <v>8</v>
      </c>
      <c r="AD9" s="6">
        <f>SUM(U155:U184)</f>
        <v>502596.42000000004</v>
      </c>
      <c r="AE9" s="7">
        <f>IF(SUM(W155:W184)=0,"",SUM(W155:W184))</f>
        <v>199013.76000000001</v>
      </c>
      <c r="AF9" s="17">
        <f t="shared" si="18"/>
        <v>-0.60402869562819417</v>
      </c>
      <c r="AJ9" s="39"/>
      <c r="AL9" s="5">
        <v>46028</v>
      </c>
      <c r="AM9" s="21">
        <f>IF([1]AIX!J10=0,"",[1]AIX!J10)</f>
        <v>498</v>
      </c>
      <c r="AN9" s="22">
        <f t="shared" si="6"/>
        <v>498</v>
      </c>
      <c r="AO9" s="23">
        <f>IF([2]AIX!J11=0,"",[2]AIX!J11)</f>
        <v>487</v>
      </c>
      <c r="AP9" s="17">
        <f t="shared" si="7"/>
        <v>-0.15008726003490402</v>
      </c>
      <c r="AQ9" s="12" t="s">
        <v>20</v>
      </c>
      <c r="AR9" s="7">
        <f>SUM(AM37:AM43)</f>
        <v>5421</v>
      </c>
      <c r="AS9" s="7">
        <f>SUM(AO36:AO42)</f>
        <v>4996</v>
      </c>
      <c r="AT9" s="17">
        <f t="shared" si="19"/>
        <v>-7.8398819406013676E-2</v>
      </c>
      <c r="AU9" s="12" t="s">
        <v>8</v>
      </c>
      <c r="AV9" s="6">
        <f>SUM(AM155:AM184)</f>
        <v>31908</v>
      </c>
      <c r="AW9" s="7">
        <f>IF(SUM(AO155:AO184)=0,"",SUM(AO155:AO184))</f>
        <v>12135</v>
      </c>
      <c r="AX9" s="17">
        <f t="shared" si="20"/>
        <v>-0.61968785257615644</v>
      </c>
      <c r="BB9" s="39"/>
      <c r="BD9" s="5">
        <v>46028</v>
      </c>
      <c r="BE9" s="41">
        <f t="shared" si="21"/>
        <v>16.981566265060241</v>
      </c>
      <c r="BF9" s="22">
        <f t="shared" si="9"/>
        <v>16.981566265060241</v>
      </c>
      <c r="BG9" s="42">
        <f t="shared" si="22"/>
        <v>18.073162217659135</v>
      </c>
      <c r="BH9" s="17">
        <f t="shared" si="10"/>
        <v>9.0333477650804683E-2</v>
      </c>
      <c r="BI9" s="12" t="s">
        <v>20</v>
      </c>
      <c r="BJ9" s="45">
        <f t="shared" si="11"/>
        <v>17.466585500830107</v>
      </c>
      <c r="BK9" s="45">
        <f t="shared" si="11"/>
        <v>18.352255804643718</v>
      </c>
      <c r="BL9" s="17">
        <f t="shared" si="23"/>
        <v>5.0706550732054545E-2</v>
      </c>
      <c r="BM9" s="12" t="s">
        <v>8</v>
      </c>
      <c r="BN9" s="45">
        <f t="shared" si="12"/>
        <v>16.000037921524381</v>
      </c>
      <c r="BO9" s="45">
        <f t="shared" si="12"/>
        <v>16.764533168520806</v>
      </c>
      <c r="BP9" s="17">
        <f t="shared" si="24"/>
        <v>4.7780839692134203E-2</v>
      </c>
      <c r="BT9" s="39"/>
      <c r="BV9" s="47" t="s">
        <v>20</v>
      </c>
      <c r="BW9" s="45"/>
      <c r="BX9" s="45"/>
      <c r="BY9" s="50">
        <f t="shared" si="25"/>
        <v>0</v>
      </c>
      <c r="BZ9" s="12" t="s">
        <v>8</v>
      </c>
      <c r="CA9" s="53">
        <f>'[1]INDICES QSP 🍔'!F17</f>
        <v>274</v>
      </c>
      <c r="CB9" s="53">
        <f>'[2]INDICES QSP 🍔'!F17</f>
        <v>304</v>
      </c>
      <c r="CC9" s="50">
        <f t="shared" si="26"/>
        <v>30</v>
      </c>
      <c r="CG9" s="39"/>
      <c r="CI9" s="47" t="s">
        <v>20</v>
      </c>
      <c r="CJ9" s="45"/>
      <c r="CK9" s="45"/>
      <c r="CL9" s="50">
        <f t="shared" si="27"/>
        <v>0</v>
      </c>
      <c r="CM9" s="12" t="s">
        <v>8</v>
      </c>
      <c r="CN9" s="53">
        <v>372</v>
      </c>
      <c r="CO9" s="53">
        <v>244</v>
      </c>
      <c r="CP9" s="50">
        <f t="shared" si="28"/>
        <v>-128</v>
      </c>
      <c r="CT9" s="39"/>
      <c r="CV9" s="47" t="s">
        <v>8</v>
      </c>
      <c r="CW9" s="53">
        <v>20</v>
      </c>
      <c r="CX9" s="55">
        <f>[2]OPH!$P$6</f>
        <v>26.188293832656804</v>
      </c>
      <c r="CY9" s="58">
        <f t="shared" si="29"/>
        <v>6.1882938326568038</v>
      </c>
      <c r="DC9" s="39"/>
    </row>
    <row r="10" spans="2:107">
      <c r="B10" s="5">
        <v>46029</v>
      </c>
      <c r="C10" s="23">
        <f>IF([1]AIX!H11=0,"",[1]AIX!H11)</f>
        <v>9497.94</v>
      </c>
      <c r="D10" s="22">
        <f t="shared" si="0"/>
        <v>9497.94</v>
      </c>
      <c r="E10" s="23">
        <f>IF([2]AIX!H12=0,"",[2]AIX!H12)</f>
        <v>9807.25</v>
      </c>
      <c r="F10" s="17">
        <f t="shared" si="1"/>
        <v>-0.10372064798787817</v>
      </c>
      <c r="G10" s="12" t="s">
        <v>21</v>
      </c>
      <c r="H10" s="7">
        <f>SUM(C44:C50)</f>
        <v>95727.15</v>
      </c>
      <c r="I10" s="7">
        <f>SUM(E43:E49)</f>
        <v>102149.56</v>
      </c>
      <c r="J10" s="17">
        <f t="shared" si="15"/>
        <v>6.7090788767867782E-2</v>
      </c>
      <c r="K10" s="12" t="s">
        <v>9</v>
      </c>
      <c r="L10" s="6">
        <f>SUM(C185:C215)</f>
        <v>543587.42000000004</v>
      </c>
      <c r="M10" s="7" t="str">
        <f>IF(SUM(E185:E215)=0,"",SUM(E185:E215))</f>
        <v/>
      </c>
      <c r="N10" s="17" t="str">
        <f t="shared" si="16"/>
        <v/>
      </c>
      <c r="R10" s="39"/>
      <c r="T10" s="5">
        <v>46029</v>
      </c>
      <c r="U10" s="23">
        <f>IF([1]AIX!I11=0,"",[1]AIX!I11)</f>
        <v>9297.5300000000007</v>
      </c>
      <c r="V10" s="22">
        <f t="shared" si="3"/>
        <v>9297.5300000000007</v>
      </c>
      <c r="W10" s="23">
        <f>IF([2]AIX!I12=0,"",[2]AIX!I12)</f>
        <v>9610.0499999999993</v>
      </c>
      <c r="X10" s="17">
        <f t="shared" si="4"/>
        <v>-9.7708887286493296E-2</v>
      </c>
      <c r="Y10" s="12" t="s">
        <v>21</v>
      </c>
      <c r="Z10" s="7">
        <f>SUM(U44:U50)</f>
        <v>94184.57</v>
      </c>
      <c r="AA10" s="7">
        <f>SUM(W43:W49)</f>
        <v>99934.26999999999</v>
      </c>
      <c r="AB10" s="17">
        <f t="shared" si="17"/>
        <v>6.1047154539219939E-2</v>
      </c>
      <c r="AC10" s="12" t="s">
        <v>9</v>
      </c>
      <c r="AD10" s="6">
        <f>SUM(U185:U215)</f>
        <v>534857.92000000004</v>
      </c>
      <c r="AE10" s="7" t="str">
        <f>IF(SUM(W185:W215)=0,"",SUM(W185:W215))</f>
        <v/>
      </c>
      <c r="AF10" s="17" t="str">
        <f t="shared" si="18"/>
        <v/>
      </c>
      <c r="AJ10" s="39"/>
      <c r="AL10" s="5">
        <v>46029</v>
      </c>
      <c r="AM10" s="23">
        <f>IF([1]AIX!J11=0,"",[1]AIX!J11)</f>
        <v>573</v>
      </c>
      <c r="AN10" s="22">
        <f t="shared" si="6"/>
        <v>573</v>
      </c>
      <c r="AO10" s="23">
        <f>IF([2]AIX!J12=0,"",[2]AIX!J12)</f>
        <v>561</v>
      </c>
      <c r="AP10" s="17">
        <f t="shared" si="7"/>
        <v>-0.11792452830188682</v>
      </c>
      <c r="AQ10" s="12" t="s">
        <v>21</v>
      </c>
      <c r="AR10" s="7">
        <f>SUM(AM44:AM50)</f>
        <v>5517</v>
      </c>
      <c r="AS10" s="7">
        <f>SUM(AO43:AO49)</f>
        <v>5575</v>
      </c>
      <c r="AT10" s="17">
        <f t="shared" si="19"/>
        <v>1.0512959941997524E-2</v>
      </c>
      <c r="AU10" s="12" t="s">
        <v>9</v>
      </c>
      <c r="AV10" s="6">
        <f>SUM(AM185:AM215)</f>
        <v>33046</v>
      </c>
      <c r="AW10" s="7" t="str">
        <f>IF(SUM(AO185:AO215)=0,"",SUM(AO185:AO215))</f>
        <v/>
      </c>
      <c r="AX10" s="17" t="str">
        <f t="shared" si="20"/>
        <v/>
      </c>
      <c r="BB10" s="39"/>
      <c r="BD10" s="5">
        <v>46029</v>
      </c>
      <c r="BE10" s="42">
        <f t="shared" si="21"/>
        <v>16.57581151832461</v>
      </c>
      <c r="BF10" s="22">
        <f t="shared" si="9"/>
        <v>16.57581151832461</v>
      </c>
      <c r="BG10" s="42">
        <f t="shared" si="22"/>
        <v>17.481729055258466</v>
      </c>
      <c r="BH10" s="17">
        <f t="shared" si="10"/>
        <v>1.6102794794490949E-2</v>
      </c>
      <c r="BI10" s="12" t="s">
        <v>21</v>
      </c>
      <c r="BJ10" s="45">
        <f t="shared" si="11"/>
        <v>17.351305057096248</v>
      </c>
      <c r="BK10" s="45">
        <f t="shared" si="11"/>
        <v>18.322791031390135</v>
      </c>
      <c r="BL10" s="17">
        <f t="shared" si="23"/>
        <v>5.5989216436291844E-2</v>
      </c>
      <c r="BM10" s="12" t="s">
        <v>9</v>
      </c>
      <c r="BN10" s="45">
        <f t="shared" si="12"/>
        <v>16.449416570840647</v>
      </c>
      <c r="BO10" s="45" t="str">
        <f t="shared" si="12"/>
        <v/>
      </c>
      <c r="BP10" s="17" t="str">
        <f t="shared" si="24"/>
        <v/>
      </c>
      <c r="BT10" s="39"/>
      <c r="BV10" s="47" t="s">
        <v>21</v>
      </c>
      <c r="BW10" s="45"/>
      <c r="BX10" s="45"/>
      <c r="BY10" s="50">
        <f t="shared" si="25"/>
        <v>0</v>
      </c>
      <c r="BZ10" s="12" t="s">
        <v>9</v>
      </c>
      <c r="CA10" s="53">
        <f>'[1]INDICES QSP 🍔'!F18</f>
        <v>235</v>
      </c>
      <c r="CB10" s="53">
        <f>'[2]INDICES QSP 🍔'!F18</f>
        <v>0</v>
      </c>
      <c r="CC10" s="50">
        <f t="shared" si="26"/>
        <v>-235</v>
      </c>
      <c r="CG10" s="39"/>
      <c r="CI10" s="47" t="s">
        <v>21</v>
      </c>
      <c r="CJ10" s="45"/>
      <c r="CK10" s="45"/>
      <c r="CL10" s="50">
        <f t="shared" si="27"/>
        <v>0</v>
      </c>
      <c r="CM10" s="12" t="s">
        <v>9</v>
      </c>
      <c r="CN10" s="53">
        <v>395</v>
      </c>
      <c r="CO10" s="53"/>
      <c r="CP10" s="50">
        <f t="shared" si="28"/>
        <v>-395</v>
      </c>
      <c r="CT10" s="39"/>
      <c r="CV10" s="47" t="s">
        <v>9</v>
      </c>
      <c r="CW10" s="53">
        <v>59</v>
      </c>
      <c r="CX10" s="53"/>
      <c r="CY10" s="58">
        <f t="shared" si="29"/>
        <v>-59</v>
      </c>
      <c r="DC10" s="39"/>
    </row>
    <row r="11" spans="2:107">
      <c r="B11" s="5">
        <v>46030</v>
      </c>
      <c r="C11" s="23">
        <f>IF([1]AIX!H12=0,"",[1]AIX!H12)</f>
        <v>10942.18</v>
      </c>
      <c r="D11" s="22">
        <f t="shared" si="0"/>
        <v>10942.18</v>
      </c>
      <c r="E11" s="23">
        <f>IF([2]AIX!H13=0,"",[2]AIX!H13)</f>
        <v>7688.78</v>
      </c>
      <c r="F11" s="17">
        <f t="shared" si="1"/>
        <v>-0.1327683966302311</v>
      </c>
      <c r="G11" s="12" t="s">
        <v>22</v>
      </c>
      <c r="H11" s="7">
        <f>SUM(C51:C57)</f>
        <v>90232.360000000015</v>
      </c>
      <c r="I11" s="7">
        <f>SUM(E50:E56)</f>
        <v>100274.80000000002</v>
      </c>
      <c r="J11" s="17">
        <f t="shared" si="15"/>
        <v>0.1112953268649961</v>
      </c>
      <c r="K11" s="12" t="s">
        <v>10</v>
      </c>
      <c r="L11" s="6">
        <f>SUM(C216:C246)</f>
        <v>552859.80000000005</v>
      </c>
      <c r="M11" s="7" t="str">
        <f>IF(SUM(E216:E246)=0,"",SUM(E216:E246))</f>
        <v/>
      </c>
      <c r="N11" s="17" t="str">
        <f t="shared" si="16"/>
        <v/>
      </c>
      <c r="R11" s="39"/>
      <c r="T11" s="5">
        <v>46030</v>
      </c>
      <c r="U11" s="23">
        <f>IF([1]AIX!I12=0,"",[1]AIX!I12)</f>
        <v>10650.72</v>
      </c>
      <c r="V11" s="22">
        <f t="shared" si="3"/>
        <v>10650.72</v>
      </c>
      <c r="W11" s="23">
        <f>IF([2]AIX!I13=0,"",[2]AIX!I13)</f>
        <v>7507.25</v>
      </c>
      <c r="X11" s="17">
        <f t="shared" si="4"/>
        <v>-0.13794687302278097</v>
      </c>
      <c r="Y11" s="12" t="s">
        <v>22</v>
      </c>
      <c r="Z11" s="7">
        <f>SUM(U51:U57)</f>
        <v>88932.859999999986</v>
      </c>
      <c r="AA11" s="7">
        <f>SUM(W50:W56)</f>
        <v>98118.1</v>
      </c>
      <c r="AB11" s="17">
        <f t="shared" si="17"/>
        <v>0.10328285855194608</v>
      </c>
      <c r="AC11" s="12" t="s">
        <v>10</v>
      </c>
      <c r="AD11" s="6">
        <f>SUM(U216:U246)</f>
        <v>543845.26</v>
      </c>
      <c r="AE11" s="7" t="str">
        <f>IF(SUM(W216:W246)=0,"",SUM(W216:W246))</f>
        <v/>
      </c>
      <c r="AF11" s="17" t="str">
        <f t="shared" si="18"/>
        <v/>
      </c>
      <c r="AJ11" s="39"/>
      <c r="AL11" s="5">
        <v>46030</v>
      </c>
      <c r="AM11" s="23">
        <f>IF([1]AIX!J12=0,"",[1]AIX!J12)</f>
        <v>636</v>
      </c>
      <c r="AN11" s="22">
        <f t="shared" si="6"/>
        <v>636</v>
      </c>
      <c r="AO11" s="23">
        <f>IF([2]AIX!J13=0,"",[2]AIX!J13)</f>
        <v>433</v>
      </c>
      <c r="AP11" s="17">
        <f t="shared" si="7"/>
        <v>-0.19814814814814818</v>
      </c>
      <c r="AQ11" s="12" t="s">
        <v>22</v>
      </c>
      <c r="AR11" s="7">
        <f>SUM(AM51:AM57)</f>
        <v>5281</v>
      </c>
      <c r="AS11" s="7">
        <f>SUM(AO50:AO56)</f>
        <v>5474</v>
      </c>
      <c r="AT11" s="17">
        <f t="shared" si="19"/>
        <v>3.6546108691535739E-2</v>
      </c>
      <c r="AU11" s="12" t="s">
        <v>10</v>
      </c>
      <c r="AV11" s="6">
        <f>SUM(AM216:AM246)</f>
        <v>31992</v>
      </c>
      <c r="AW11" s="7" t="str">
        <f>IF(SUM(AO216:AO246)=0,"",SUM(AO216:AO246))</f>
        <v/>
      </c>
      <c r="AX11" s="17" t="str">
        <f t="shared" si="20"/>
        <v/>
      </c>
      <c r="BB11" s="39"/>
      <c r="BD11" s="5">
        <v>46030</v>
      </c>
      <c r="BE11" s="42">
        <f t="shared" si="21"/>
        <v>17.204685534591196</v>
      </c>
      <c r="BF11" s="22">
        <f t="shared" si="9"/>
        <v>17.204685534591196</v>
      </c>
      <c r="BG11" s="42">
        <f t="shared" si="22"/>
        <v>17.756997690531175</v>
      </c>
      <c r="BH11" s="17">
        <f t="shared" si="10"/>
        <v>8.1535948775231404E-2</v>
      </c>
      <c r="BI11" s="12" t="s">
        <v>22</v>
      </c>
      <c r="BJ11" s="45">
        <f t="shared" si="11"/>
        <v>17.086226093542894</v>
      </c>
      <c r="BK11" s="45">
        <f t="shared" si="11"/>
        <v>18.318377785896971</v>
      </c>
      <c r="BL11" s="17">
        <f t="shared" si="23"/>
        <v>7.2113741537092491E-2</v>
      </c>
      <c r="BM11" s="12" t="s">
        <v>10</v>
      </c>
      <c r="BN11" s="45">
        <f t="shared" si="12"/>
        <v>17.281189047261815</v>
      </c>
      <c r="BO11" s="45" t="str">
        <f t="shared" si="12"/>
        <v/>
      </c>
      <c r="BP11" s="17" t="str">
        <f t="shared" si="24"/>
        <v/>
      </c>
      <c r="BT11" s="39"/>
      <c r="BV11" s="47" t="s">
        <v>22</v>
      </c>
      <c r="BW11" s="45"/>
      <c r="BX11" s="45"/>
      <c r="BY11" s="50">
        <f t="shared" si="25"/>
        <v>0</v>
      </c>
      <c r="BZ11" s="12" t="s">
        <v>10</v>
      </c>
      <c r="CA11" s="53">
        <f>'[1]INDICES QSP 🍔'!F19</f>
        <v>220</v>
      </c>
      <c r="CB11" s="53">
        <f>'[2]INDICES QSP 🍔'!F19</f>
        <v>0</v>
      </c>
      <c r="CC11" s="50">
        <f t="shared" si="26"/>
        <v>-220</v>
      </c>
      <c r="CG11" s="39"/>
      <c r="CI11" s="47" t="s">
        <v>22</v>
      </c>
      <c r="CJ11" s="45"/>
      <c r="CK11" s="45"/>
      <c r="CL11" s="50">
        <f t="shared" si="27"/>
        <v>0</v>
      </c>
      <c r="CM11" s="12" t="s">
        <v>10</v>
      </c>
      <c r="CN11" s="53">
        <v>374</v>
      </c>
      <c r="CO11" s="53"/>
      <c r="CP11" s="50">
        <f t="shared" si="28"/>
        <v>-374</v>
      </c>
      <c r="CT11" s="39"/>
      <c r="CV11" s="47" t="s">
        <v>10</v>
      </c>
      <c r="CW11" s="53">
        <v>61</v>
      </c>
      <c r="CX11" s="53"/>
      <c r="CY11" s="58">
        <f t="shared" si="29"/>
        <v>-61</v>
      </c>
      <c r="DC11" s="39"/>
    </row>
    <row r="12" spans="2:107">
      <c r="B12" s="5">
        <v>46031</v>
      </c>
      <c r="C12" s="23">
        <f>IF([1]AIX!H13=0,"",[1]AIX!H13)</f>
        <v>8865.89</v>
      </c>
      <c r="D12" s="22">
        <f t="shared" si="0"/>
        <v>8865.89</v>
      </c>
      <c r="E12" s="23">
        <f>IF([2]AIX!H14=0,"",[2]AIX!H14)</f>
        <v>12240.46</v>
      </c>
      <c r="F12" s="17">
        <f t="shared" si="1"/>
        <v>-8.8451848757205909E-2</v>
      </c>
      <c r="G12" s="12" t="s">
        <v>23</v>
      </c>
      <c r="H12" s="7">
        <f>SUM(C58:C64)</f>
        <v>103975.64000000001</v>
      </c>
      <c r="I12" s="7">
        <f>SUM(E57:E63)</f>
        <v>93959.98000000001</v>
      </c>
      <c r="J12" s="17">
        <f t="shared" si="15"/>
        <v>-9.6326985820909594E-2</v>
      </c>
      <c r="K12" s="12" t="s">
        <v>11</v>
      </c>
      <c r="L12" s="6">
        <f>SUM(C247:C276)</f>
        <v>377679.99</v>
      </c>
      <c r="M12" s="7" t="str">
        <f>IF(SUM(E247:E276)=0,"",SUM(E247:E276))</f>
        <v/>
      </c>
      <c r="N12" s="17" t="str">
        <f t="shared" si="16"/>
        <v/>
      </c>
      <c r="R12" s="39"/>
      <c r="T12" s="5">
        <v>46031</v>
      </c>
      <c r="U12" s="23">
        <f>IF([1]AIX!I13=0,"",[1]AIX!I13)</f>
        <v>8708.57</v>
      </c>
      <c r="V12" s="22">
        <f t="shared" si="3"/>
        <v>8708.57</v>
      </c>
      <c r="W12" s="23">
        <f>IF([2]AIX!I14=0,"",[2]AIX!I14)</f>
        <v>11927.49</v>
      </c>
      <c r="X12" s="17">
        <f t="shared" si="4"/>
        <v>-9.6486463761331298E-2</v>
      </c>
      <c r="Y12" s="12" t="s">
        <v>23</v>
      </c>
      <c r="Z12" s="7">
        <f>SUM(U58:U64)</f>
        <v>102258.79000000001</v>
      </c>
      <c r="AA12" s="7">
        <f>SUM(W57:W63)</f>
        <v>92342.89</v>
      </c>
      <c r="AB12" s="17">
        <f t="shared" si="17"/>
        <v>-9.6968681127558853E-2</v>
      </c>
      <c r="AC12" s="12" t="s">
        <v>11</v>
      </c>
      <c r="AD12" s="6">
        <f>SUM(U247:U276)</f>
        <v>369827.24000000005</v>
      </c>
      <c r="AE12" s="7" t="str">
        <f>IF(SUM(W247:W276)=0,"",SUM(W247:W276))</f>
        <v/>
      </c>
      <c r="AF12" s="17" t="str">
        <f t="shared" si="18"/>
        <v/>
      </c>
      <c r="AJ12" s="39"/>
      <c r="AL12" s="5">
        <v>46031</v>
      </c>
      <c r="AM12" s="23">
        <f>IF([1]AIX!J13=0,"",[1]AIX!J13)</f>
        <v>540</v>
      </c>
      <c r="AN12" s="22">
        <f t="shared" si="6"/>
        <v>540</v>
      </c>
      <c r="AO12" s="23">
        <f>IF([2]AIX!J14=0,"",[2]AIX!J14)</f>
        <v>680</v>
      </c>
      <c r="AP12" s="17">
        <f t="shared" si="7"/>
        <v>-0.184652278177458</v>
      </c>
      <c r="AQ12" s="12" t="s">
        <v>23</v>
      </c>
      <c r="AR12" s="7">
        <f>SUM(AM58:AM64)</f>
        <v>6066</v>
      </c>
      <c r="AS12" s="7">
        <f>SUM(AO57:AO63)</f>
        <v>5341</v>
      </c>
      <c r="AT12" s="17">
        <f t="shared" si="19"/>
        <v>-0.1195186284207056</v>
      </c>
      <c r="AU12" s="12" t="s">
        <v>11</v>
      </c>
      <c r="AV12" s="6">
        <f>SUM(AM247:AM276)</f>
        <v>22035</v>
      </c>
      <c r="AW12" s="7" t="str">
        <f>IF(SUM(AO247:AO276)=0,"",SUM(AO247:AO276))</f>
        <v/>
      </c>
      <c r="AX12" s="17" t="str">
        <f t="shared" si="20"/>
        <v/>
      </c>
      <c r="BB12" s="39"/>
      <c r="BD12" s="5">
        <v>46031</v>
      </c>
      <c r="BE12" s="42">
        <f t="shared" si="21"/>
        <v>16.418314814814813</v>
      </c>
      <c r="BF12" s="22">
        <f t="shared" si="9"/>
        <v>16.418314814814813</v>
      </c>
      <c r="BG12" s="42">
        <f t="shared" si="22"/>
        <v>18.000676470588235</v>
      </c>
      <c r="BH12" s="17">
        <f t="shared" si="10"/>
        <v>0.11798699725954465</v>
      </c>
      <c r="BI12" s="12" t="s">
        <v>23</v>
      </c>
      <c r="BJ12" s="45">
        <f t="shared" si="11"/>
        <v>17.140725354434554</v>
      </c>
      <c r="BK12" s="45">
        <f t="shared" si="11"/>
        <v>17.592207451788056</v>
      </c>
      <c r="BL12" s="17">
        <f t="shared" si="23"/>
        <v>2.6339731138431466E-2</v>
      </c>
      <c r="BM12" s="12" t="s">
        <v>11</v>
      </c>
      <c r="BN12" s="45">
        <f t="shared" si="12"/>
        <v>17.140004084411164</v>
      </c>
      <c r="BO12" s="45" t="str">
        <f t="shared" si="12"/>
        <v/>
      </c>
      <c r="BP12" s="17" t="str">
        <f t="shared" si="24"/>
        <v/>
      </c>
      <c r="BT12" s="39"/>
      <c r="BV12" s="47" t="s">
        <v>23</v>
      </c>
      <c r="BW12" s="45"/>
      <c r="BX12" s="45"/>
      <c r="BY12" s="50">
        <f t="shared" si="25"/>
        <v>0</v>
      </c>
      <c r="BZ12" s="12" t="s">
        <v>11</v>
      </c>
      <c r="CA12" s="53">
        <f>'[1]INDICES QSP 🍔'!F20</f>
        <v>249</v>
      </c>
      <c r="CB12" s="53">
        <f>'[2]INDICES QSP 🍔'!F20</f>
        <v>0</v>
      </c>
      <c r="CC12" s="50">
        <f t="shared" si="26"/>
        <v>-249</v>
      </c>
      <c r="CG12" s="39"/>
      <c r="CI12" s="47" t="s">
        <v>23</v>
      </c>
      <c r="CJ12" s="45"/>
      <c r="CK12" s="45"/>
      <c r="CL12" s="50">
        <f t="shared" si="27"/>
        <v>0</v>
      </c>
      <c r="CM12" s="12" t="s">
        <v>11</v>
      </c>
      <c r="CN12" s="53">
        <v>420</v>
      </c>
      <c r="CO12" s="53"/>
      <c r="CP12" s="50">
        <f t="shared" si="28"/>
        <v>-420</v>
      </c>
      <c r="CT12" s="39"/>
      <c r="CV12" s="47" t="s">
        <v>11</v>
      </c>
      <c r="CW12" s="53">
        <v>45</v>
      </c>
      <c r="CX12" s="53"/>
      <c r="CY12" s="58">
        <f t="shared" si="29"/>
        <v>-45</v>
      </c>
      <c r="DC12" s="39"/>
    </row>
    <row r="13" spans="2:107">
      <c r="B13" s="5">
        <v>46032</v>
      </c>
      <c r="C13" s="23">
        <f>IF([1]AIX!H14=0,"",[1]AIX!H14)</f>
        <v>13428.21</v>
      </c>
      <c r="D13" s="22">
        <f t="shared" si="0"/>
        <v>13428.21</v>
      </c>
      <c r="E13" s="23">
        <f>IF([2]AIX!H15=0,"",[2]AIX!H15)</f>
        <v>14780.17</v>
      </c>
      <c r="F13" s="17">
        <f t="shared" si="1"/>
        <v>-9.5931678177399671E-2</v>
      </c>
      <c r="G13" s="12" t="s">
        <v>24</v>
      </c>
      <c r="H13" s="7">
        <f>SUM(C65:C71)</f>
        <v>105930.92000000001</v>
      </c>
      <c r="I13" s="7">
        <f>SUM(E64:E70)</f>
        <v>92643.989999999991</v>
      </c>
      <c r="J13" s="17">
        <f t="shared" si="15"/>
        <v>-0.12543013881121789</v>
      </c>
      <c r="K13" s="12" t="s">
        <v>12</v>
      </c>
      <c r="L13" s="6">
        <f>SUM(C277:C307)</f>
        <v>410919.45</v>
      </c>
      <c r="M13" s="7" t="str">
        <f>IF(SUM(E277:E307)=0,"",SUM(E277:E307))</f>
        <v/>
      </c>
      <c r="N13" s="17" t="str">
        <f t="shared" si="16"/>
        <v/>
      </c>
      <c r="R13" s="39"/>
      <c r="T13" s="5">
        <v>46032</v>
      </c>
      <c r="U13" s="23">
        <f>IF([1]AIX!I14=0,"",[1]AIX!I14)</f>
        <v>13201.23</v>
      </c>
      <c r="V13" s="22">
        <f t="shared" si="3"/>
        <v>13201.23</v>
      </c>
      <c r="W13" s="23">
        <f>IF([2]AIX!I15=0,"",[2]AIX!I15)</f>
        <v>14476.26</v>
      </c>
      <c r="X13" s="17">
        <f t="shared" si="4"/>
        <v>-9.5115549468649307E-2</v>
      </c>
      <c r="Y13" s="12" t="s">
        <v>24</v>
      </c>
      <c r="Z13" s="7">
        <f>SUM(U65:U71)</f>
        <v>104220.03</v>
      </c>
      <c r="AA13" s="7">
        <f>SUM(W64:W70)</f>
        <v>90785.59</v>
      </c>
      <c r="AB13" s="17">
        <f t="shared" si="17"/>
        <v>-0.12890458772656277</v>
      </c>
      <c r="AC13" s="12" t="s">
        <v>12</v>
      </c>
      <c r="AD13" s="6">
        <f>SUM(U277:U307)</f>
        <v>403201.07</v>
      </c>
      <c r="AE13" s="7" t="str">
        <f>IF(SUM(W277:W307)=0,"",SUM(W277:W307))</f>
        <v/>
      </c>
      <c r="AF13" s="17" t="str">
        <f t="shared" si="18"/>
        <v/>
      </c>
      <c r="AJ13" s="39"/>
      <c r="AL13" s="5">
        <v>46032</v>
      </c>
      <c r="AM13" s="23">
        <f>IF([1]AIX!J14=0,"",[1]AIX!J14)</f>
        <v>834</v>
      </c>
      <c r="AN13" s="22">
        <f t="shared" si="6"/>
        <v>834</v>
      </c>
      <c r="AO13" s="23">
        <f>IF([2]AIX!J15=0,"",[2]AIX!J15)</f>
        <v>785</v>
      </c>
      <c r="AP13" s="17">
        <f t="shared" si="7"/>
        <v>-0.12777777777777777</v>
      </c>
      <c r="AQ13" s="12" t="s">
        <v>24</v>
      </c>
      <c r="AR13" s="7">
        <f>SUM(AM65:AM71)</f>
        <v>6115</v>
      </c>
      <c r="AS13" s="7">
        <f>SUM(AO64:AO70)</f>
        <v>5235</v>
      </c>
      <c r="AT13" s="17">
        <f t="shared" si="19"/>
        <v>-0.14390842191332787</v>
      </c>
      <c r="AU13" s="12" t="s">
        <v>12</v>
      </c>
      <c r="AV13" s="6">
        <f>SUM(AM277:AM307)</f>
        <v>23321</v>
      </c>
      <c r="AW13" s="7" t="str">
        <f>IF(SUM(AO277:AO307)=0,"",SUM(AO277:AO307))</f>
        <v/>
      </c>
      <c r="AX13" s="17" t="str">
        <f t="shared" si="20"/>
        <v/>
      </c>
      <c r="BB13" s="39"/>
      <c r="BD13" s="5">
        <v>46032</v>
      </c>
      <c r="BE13" s="42">
        <f t="shared" si="21"/>
        <v>16.100971223021581</v>
      </c>
      <c r="BF13" s="22">
        <f t="shared" si="9"/>
        <v>16.100971223021581</v>
      </c>
      <c r="BG13" s="42">
        <f t="shared" si="22"/>
        <v>18.828242038216562</v>
      </c>
      <c r="BH13" s="17">
        <f t="shared" si="10"/>
        <v>3.6511451771134018E-2</v>
      </c>
      <c r="BI13" s="12" t="s">
        <v>24</v>
      </c>
      <c r="BJ13" s="45">
        <f t="shared" si="11"/>
        <v>17.323126737530664</v>
      </c>
      <c r="BK13" s="45">
        <f t="shared" si="11"/>
        <v>17.697037249283667</v>
      </c>
      <c r="BL13" s="17">
        <f t="shared" si="23"/>
        <v>2.1584470137421707E-2</v>
      </c>
      <c r="BM13" s="12" t="s">
        <v>12</v>
      </c>
      <c r="BN13" s="45">
        <f t="shared" si="12"/>
        <v>17.620147077741091</v>
      </c>
      <c r="BO13" s="45" t="str">
        <f t="shared" si="12"/>
        <v/>
      </c>
      <c r="BP13" s="17" t="str">
        <f t="shared" si="24"/>
        <v/>
      </c>
      <c r="BT13" s="39"/>
      <c r="BV13" s="47" t="s">
        <v>24</v>
      </c>
      <c r="BW13" s="45"/>
      <c r="BX13" s="45"/>
      <c r="BY13" s="50">
        <f t="shared" si="25"/>
        <v>0</v>
      </c>
      <c r="BZ13" s="12" t="s">
        <v>12</v>
      </c>
      <c r="CA13" s="53">
        <f>'[1]INDICES QSP 🍔'!F21</f>
        <v>270</v>
      </c>
      <c r="CB13" s="53">
        <f>'[2]INDICES QSP 🍔'!F21</f>
        <v>0</v>
      </c>
      <c r="CC13" s="50">
        <f t="shared" si="26"/>
        <v>-270</v>
      </c>
      <c r="CG13" s="39"/>
      <c r="CI13" s="47" t="s">
        <v>24</v>
      </c>
      <c r="CJ13" s="45"/>
      <c r="CK13" s="45"/>
      <c r="CL13" s="50">
        <f t="shared" si="27"/>
        <v>0</v>
      </c>
      <c r="CM13" s="12" t="s">
        <v>12</v>
      </c>
      <c r="CN13" s="53">
        <v>467</v>
      </c>
      <c r="CO13" s="53"/>
      <c r="CP13" s="50">
        <f t="shared" si="28"/>
        <v>-467</v>
      </c>
      <c r="CT13" s="39"/>
      <c r="CV13" s="47" t="s">
        <v>12</v>
      </c>
      <c r="CW13" s="53">
        <v>71</v>
      </c>
      <c r="CX13" s="53"/>
      <c r="CY13" s="58">
        <f t="shared" si="29"/>
        <v>-71</v>
      </c>
      <c r="DC13" s="39"/>
    </row>
    <row r="14" spans="2:107">
      <c r="B14" s="5">
        <v>46033</v>
      </c>
      <c r="C14" s="23">
        <f>IF([1]AIX!H15=0,"",[1]AIX!H15)</f>
        <v>16348.51</v>
      </c>
      <c r="D14" s="22">
        <f t="shared" si="0"/>
        <v>16348.51</v>
      </c>
      <c r="E14" s="24">
        <f>IF([2]AIX!H16=0,"",[2]AIX!H16)</f>
        <v>14937.84</v>
      </c>
      <c r="F14" s="17">
        <f t="shared" si="1"/>
        <v>9.1573668668833985E-3</v>
      </c>
      <c r="G14" s="12" t="s">
        <v>25</v>
      </c>
      <c r="H14" s="7">
        <f>SUM(C72:C78)</f>
        <v>79777.72</v>
      </c>
      <c r="I14" s="7">
        <f>SUM(E71:E77)</f>
        <v>80007.390000000014</v>
      </c>
      <c r="J14" s="17">
        <f t="shared" si="15"/>
        <v>2.8788739512737305E-3</v>
      </c>
      <c r="K14" s="12" t="s">
        <v>13</v>
      </c>
      <c r="L14" s="6">
        <f>SUM(C308:C337)</f>
        <v>353210.34000000008</v>
      </c>
      <c r="M14" s="7" t="str">
        <f>IF(SUM(E308:E337)=0,"",SUM(E308:E337))</f>
        <v/>
      </c>
      <c r="N14" s="17" t="str">
        <f t="shared" si="16"/>
        <v/>
      </c>
      <c r="R14" s="39"/>
      <c r="T14" s="5">
        <v>46033</v>
      </c>
      <c r="U14" s="23">
        <f>IF([1]AIX!I15=0,"",[1]AIX!I15)</f>
        <v>15997.91</v>
      </c>
      <c r="V14" s="22">
        <f t="shared" si="3"/>
        <v>15997.91</v>
      </c>
      <c r="W14" s="24">
        <f>IF([2]AIX!I16=0,"",[2]AIX!I16)</f>
        <v>14619.03</v>
      </c>
      <c r="X14" s="17">
        <f t="shared" si="4"/>
        <v>1.0605843790894465E-2</v>
      </c>
      <c r="Y14" s="12" t="s">
        <v>25</v>
      </c>
      <c r="Z14" s="7">
        <f>SUM(U72:U78)</f>
        <v>78713.189999999988</v>
      </c>
      <c r="AA14" s="7">
        <f>SUM(W71:W77)</f>
        <v>78448.56</v>
      </c>
      <c r="AB14" s="17">
        <f t="shared" si="17"/>
        <v>-3.3619524250000365E-3</v>
      </c>
      <c r="AC14" s="12" t="s">
        <v>13</v>
      </c>
      <c r="AD14" s="6">
        <f>SUM(U308:U337)</f>
        <v>346059.57</v>
      </c>
      <c r="AE14" s="7" t="str">
        <f>IF(SUM(W308:W337)=0,"",SUM(W308:W337))</f>
        <v/>
      </c>
      <c r="AF14" s="17" t="str">
        <f t="shared" si="18"/>
        <v/>
      </c>
      <c r="AJ14" s="39"/>
      <c r="AL14" s="5">
        <v>46033</v>
      </c>
      <c r="AM14" s="23">
        <f>IF([1]AIX!J15=0,"",[1]AIX!J15)</f>
        <v>900</v>
      </c>
      <c r="AN14" s="22">
        <f t="shared" si="6"/>
        <v>900</v>
      </c>
      <c r="AO14" s="24">
        <f>IF([2]AIX!J16=0,"",[2]AIX!J16)</f>
        <v>749</v>
      </c>
      <c r="AP14" s="17">
        <f t="shared" si="7"/>
        <v>-6.6312997347479641E-3</v>
      </c>
      <c r="AQ14" s="12" t="s">
        <v>25</v>
      </c>
      <c r="AR14" s="7">
        <f>SUM(AM72:AM78)</f>
        <v>4633</v>
      </c>
      <c r="AS14" s="7">
        <f>SUM(AO71:AO77)</f>
        <v>4484</v>
      </c>
      <c r="AT14" s="17">
        <f t="shared" si="19"/>
        <v>-3.2160587092596615E-2</v>
      </c>
      <c r="AU14" s="12" t="s">
        <v>13</v>
      </c>
      <c r="AV14" s="6">
        <f>SUM(AM308:AM337)</f>
        <v>20031</v>
      </c>
      <c r="AW14" s="7" t="str">
        <f>IF(SUM(AO308:AO337)=0,"",SUM(AO308:AO337))</f>
        <v/>
      </c>
      <c r="AX14" s="17" t="str">
        <f t="shared" si="20"/>
        <v/>
      </c>
      <c r="BB14" s="39"/>
      <c r="BD14" s="5">
        <v>46033</v>
      </c>
      <c r="BE14" s="42">
        <f t="shared" si="21"/>
        <v>18.165011111111113</v>
      </c>
      <c r="BF14" s="22">
        <f t="shared" si="9"/>
        <v>18.165011111111113</v>
      </c>
      <c r="BG14" s="43">
        <f t="shared" si="22"/>
        <v>19.943711615487317</v>
      </c>
      <c r="BH14" s="17">
        <f t="shared" si="10"/>
        <v>1.5894064910053629E-2</v>
      </c>
      <c r="BI14" s="12" t="s">
        <v>25</v>
      </c>
      <c r="BJ14" s="45">
        <f t="shared" si="11"/>
        <v>17.219451759119362</v>
      </c>
      <c r="BK14" s="45">
        <f t="shared" si="11"/>
        <v>17.842861284567352</v>
      </c>
      <c r="BL14" s="17">
        <f t="shared" si="23"/>
        <v>3.620379639077842E-2</v>
      </c>
      <c r="BM14" s="12" t="s">
        <v>13</v>
      </c>
      <c r="BN14" s="45">
        <f t="shared" si="12"/>
        <v>17.633185562378319</v>
      </c>
      <c r="BO14" s="45" t="str">
        <f t="shared" si="12"/>
        <v/>
      </c>
      <c r="BP14" s="17" t="str">
        <f t="shared" si="24"/>
        <v/>
      </c>
      <c r="BT14" s="39"/>
      <c r="BV14" s="47" t="s">
        <v>25</v>
      </c>
      <c r="BW14" s="45"/>
      <c r="BX14" s="45"/>
      <c r="BY14" s="50">
        <f t="shared" si="25"/>
        <v>0</v>
      </c>
      <c r="BZ14" s="12" t="s">
        <v>13</v>
      </c>
      <c r="CA14" s="53">
        <f>'[1]INDICES QSP 🍔'!F22</f>
        <v>226</v>
      </c>
      <c r="CB14" s="53">
        <f>'[2]INDICES QSP 🍔'!F22</f>
        <v>0</v>
      </c>
      <c r="CC14" s="50">
        <f t="shared" si="26"/>
        <v>-226</v>
      </c>
      <c r="CG14" s="39"/>
      <c r="CI14" s="47" t="s">
        <v>25</v>
      </c>
      <c r="CJ14" s="45"/>
      <c r="CK14" s="45"/>
      <c r="CL14" s="50">
        <f t="shared" si="27"/>
        <v>0</v>
      </c>
      <c r="CM14" s="12" t="s">
        <v>13</v>
      </c>
      <c r="CN14" s="53">
        <v>358</v>
      </c>
      <c r="CO14" s="53"/>
      <c r="CP14" s="50">
        <f t="shared" si="28"/>
        <v>-358</v>
      </c>
      <c r="CT14" s="39"/>
      <c r="CV14" s="47" t="s">
        <v>13</v>
      </c>
      <c r="CW14" s="53">
        <v>47</v>
      </c>
      <c r="CX14" s="53"/>
      <c r="CY14" s="58">
        <f t="shared" si="29"/>
        <v>-47</v>
      </c>
      <c r="DC14" s="39"/>
    </row>
    <row r="15" spans="2:107" ht="18" thickBot="1">
      <c r="B15" s="5">
        <v>46034</v>
      </c>
      <c r="C15" s="24">
        <f>IF([1]AIX!H16=0,"",[1]AIX!H16)</f>
        <v>14802.29</v>
      </c>
      <c r="D15" s="22">
        <f t="shared" si="0"/>
        <v>14802.29</v>
      </c>
      <c r="E15" s="21">
        <f>IF([2]AIX!H17=0,"",[2]AIX!H17)</f>
        <v>7845.08</v>
      </c>
      <c r="F15" s="17">
        <f t="shared" si="1"/>
        <v>-0.12169126167287847</v>
      </c>
      <c r="G15" s="12" t="s">
        <v>26</v>
      </c>
      <c r="H15" s="7">
        <f>SUM(C79:C85)</f>
        <v>86350.949999999983</v>
      </c>
      <c r="I15" s="7">
        <f>SUM(E78:E84)</f>
        <v>86982.349999999991</v>
      </c>
      <c r="J15" s="17">
        <f t="shared" si="15"/>
        <v>7.3120214658901617E-3</v>
      </c>
      <c r="K15" s="12" t="s">
        <v>14</v>
      </c>
      <c r="L15" s="6">
        <f>SUM(C338:C368)</f>
        <v>387399.77</v>
      </c>
      <c r="M15" s="7" t="str">
        <f>IF(SUM(E338:E368)=0,"",SUM(E338:E368))</f>
        <v/>
      </c>
      <c r="N15" s="17" t="str">
        <f t="shared" si="16"/>
        <v/>
      </c>
      <c r="R15" s="39"/>
      <c r="T15" s="5">
        <v>46034</v>
      </c>
      <c r="U15" s="24">
        <f>IF([1]AIX!I16=0,"",[1]AIX!I16)</f>
        <v>14465.61</v>
      </c>
      <c r="V15" s="22">
        <f t="shared" si="3"/>
        <v>14465.61</v>
      </c>
      <c r="W15" s="21">
        <f>IF([2]AIX!I17=0,"",[2]AIX!I17)</f>
        <v>7709.89</v>
      </c>
      <c r="X15" s="17">
        <f t="shared" si="4"/>
        <v>-0.11657887711104553</v>
      </c>
      <c r="Y15" s="12" t="s">
        <v>26</v>
      </c>
      <c r="Z15" s="7">
        <f>SUM(U79:U85)</f>
        <v>85180.58</v>
      </c>
      <c r="AA15" s="7">
        <f>SUM(W78:W84)</f>
        <v>85403.49</v>
      </c>
      <c r="AB15" s="17">
        <f t="shared" si="17"/>
        <v>2.6169110377036731E-3</v>
      </c>
      <c r="AC15" s="12" t="s">
        <v>14</v>
      </c>
      <c r="AD15" s="6">
        <f>SUM(U338:U368)</f>
        <v>377064.30000000005</v>
      </c>
      <c r="AE15" s="7" t="str">
        <f>IF(SUM(W338:W368)=0,"",SUM(W338:W368))</f>
        <v/>
      </c>
      <c r="AF15" s="17" t="str">
        <f t="shared" si="18"/>
        <v/>
      </c>
      <c r="AJ15" s="39"/>
      <c r="AL15" s="5">
        <v>46034</v>
      </c>
      <c r="AM15" s="24">
        <f>IF([1]AIX!J16=0,"",[1]AIX!J16)</f>
        <v>754</v>
      </c>
      <c r="AN15" s="22">
        <f t="shared" si="6"/>
        <v>754</v>
      </c>
      <c r="AO15" s="21">
        <f>IF([2]AIX!J17=0,"",[2]AIX!J17)</f>
        <v>453</v>
      </c>
      <c r="AP15" s="17">
        <f t="shared" si="7"/>
        <v>-0.18231046931407946</v>
      </c>
      <c r="AQ15" s="12" t="s">
        <v>26</v>
      </c>
      <c r="AR15" s="7">
        <f>SUM(AM79:AM85)</f>
        <v>5218</v>
      </c>
      <c r="AS15" s="7">
        <f>SUM(AO78:AO84)</f>
        <v>4944</v>
      </c>
      <c r="AT15" s="17">
        <f t="shared" si="19"/>
        <v>-5.2510540436949027E-2</v>
      </c>
      <c r="AU15" s="12" t="s">
        <v>14</v>
      </c>
      <c r="AV15" s="6">
        <f>SUM(AM338:AM368)</f>
        <v>20889</v>
      </c>
      <c r="AW15" s="7" t="str">
        <f>IF(SUM(AO338:AO368)=0,"",SUM(AO338:AO368))</f>
        <v/>
      </c>
      <c r="AX15" s="17" t="str">
        <f t="shared" si="20"/>
        <v/>
      </c>
      <c r="BB15" s="39"/>
      <c r="BD15" s="5">
        <v>46034</v>
      </c>
      <c r="BE15" s="43">
        <f t="shared" si="21"/>
        <v>19.631684350132627</v>
      </c>
      <c r="BF15" s="22">
        <f t="shared" si="9"/>
        <v>19.631684350132627</v>
      </c>
      <c r="BG15" s="41">
        <f t="shared" si="22"/>
        <v>17.318057395143487</v>
      </c>
      <c r="BH15" s="17">
        <f t="shared" si="10"/>
        <v>7.4134748417715723E-2</v>
      </c>
      <c r="BI15" s="12" t="s">
        <v>26</v>
      </c>
      <c r="BJ15" s="45">
        <f t="shared" si="11"/>
        <v>16.548668072058256</v>
      </c>
      <c r="BK15" s="45">
        <f t="shared" si="11"/>
        <v>17.593517394822005</v>
      </c>
      <c r="BL15" s="17">
        <f t="shared" si="23"/>
        <v>6.3137970875609906E-2</v>
      </c>
      <c r="BM15" s="12" t="s">
        <v>14</v>
      </c>
      <c r="BN15" s="45">
        <f t="shared" si="12"/>
        <v>18.545635023217962</v>
      </c>
      <c r="BO15" s="45" t="str">
        <f t="shared" si="12"/>
        <v/>
      </c>
      <c r="BP15" s="17" t="str">
        <f t="shared" si="24"/>
        <v/>
      </c>
      <c r="BT15" s="39"/>
      <c r="BV15" s="47" t="s">
        <v>26</v>
      </c>
      <c r="BW15" s="45"/>
      <c r="BX15" s="45"/>
      <c r="BY15" s="50">
        <f t="shared" si="25"/>
        <v>0</v>
      </c>
      <c r="BZ15" s="12" t="s">
        <v>14</v>
      </c>
      <c r="CA15" s="53">
        <f>'[1]INDICES QSP 🍔'!F23</f>
        <v>228</v>
      </c>
      <c r="CB15" s="53">
        <f>'[2]INDICES QSP 🍔'!F23</f>
        <v>0</v>
      </c>
      <c r="CC15" s="50">
        <f t="shared" si="26"/>
        <v>-228</v>
      </c>
      <c r="CG15" s="39"/>
      <c r="CI15" s="47" t="s">
        <v>26</v>
      </c>
      <c r="CJ15" s="45"/>
      <c r="CK15" s="45"/>
      <c r="CL15" s="50">
        <f t="shared" si="27"/>
        <v>0</v>
      </c>
      <c r="CM15" s="12" t="s">
        <v>14</v>
      </c>
      <c r="CN15" s="53">
        <v>405</v>
      </c>
      <c r="CO15" s="53"/>
      <c r="CP15" s="50">
        <f t="shared" si="28"/>
        <v>-405</v>
      </c>
      <c r="CT15" s="39"/>
      <c r="CV15" s="48" t="s">
        <v>14</v>
      </c>
      <c r="CW15" s="54">
        <v>61</v>
      </c>
      <c r="CX15" s="54"/>
      <c r="CY15" s="59">
        <f t="shared" si="29"/>
        <v>-61</v>
      </c>
      <c r="CZ15" s="9"/>
      <c r="DA15" s="9"/>
      <c r="DB15" s="9"/>
      <c r="DC15" s="40"/>
    </row>
    <row r="16" spans="2:107" ht="18" thickBot="1">
      <c r="B16" s="5">
        <v>46035</v>
      </c>
      <c r="C16" s="21">
        <f>IF([1]AIX!H17=0,"",[1]AIX!H17)</f>
        <v>8932.0300000000007</v>
      </c>
      <c r="D16" s="22">
        <f t="shared" si="0"/>
        <v>8932.0300000000007</v>
      </c>
      <c r="E16" s="23">
        <f>IF([2]AIX!H18=0,"",[2]AIX!H18)</f>
        <v>9969.4599999999991</v>
      </c>
      <c r="F16" s="17">
        <f t="shared" si="1"/>
        <v>8.0347767286771399E-2</v>
      </c>
      <c r="G16" s="12" t="s">
        <v>27</v>
      </c>
      <c r="H16" s="7">
        <f>SUM(C86:C92)</f>
        <v>95017.25</v>
      </c>
      <c r="I16" s="7">
        <f>SUM(E85:E91)</f>
        <v>86576.6</v>
      </c>
      <c r="J16" s="17">
        <f t="shared" si="15"/>
        <v>-8.8832817198982283E-2</v>
      </c>
      <c r="R16" s="39"/>
      <c r="T16" s="5">
        <v>46035</v>
      </c>
      <c r="U16" s="21">
        <f>IF([1]AIX!I17=0,"",[1]AIX!I17)</f>
        <v>8727.31</v>
      </c>
      <c r="V16" s="22">
        <f t="shared" si="3"/>
        <v>8727.31</v>
      </c>
      <c r="W16" s="23">
        <f>IF([2]AIX!I18=0,"",[2]AIX!I18)</f>
        <v>9765.73</v>
      </c>
      <c r="X16" s="17">
        <f t="shared" si="4"/>
        <v>7.7909420433824872E-2</v>
      </c>
      <c r="Y16" s="12" t="s">
        <v>27</v>
      </c>
      <c r="Z16" s="7">
        <f>SUM(U86:U92)</f>
        <v>92894.8</v>
      </c>
      <c r="AA16" s="7">
        <f>SUM(W85:W91)</f>
        <v>84554.68</v>
      </c>
      <c r="AB16" s="17">
        <f t="shared" si="17"/>
        <v>-8.9780267571489603E-2</v>
      </c>
      <c r="AJ16" s="39"/>
      <c r="AL16" s="5">
        <v>46035</v>
      </c>
      <c r="AM16" s="21">
        <f>IF([1]AIX!J17=0,"",[1]AIX!J17)</f>
        <v>554</v>
      </c>
      <c r="AN16" s="22">
        <f t="shared" si="6"/>
        <v>554</v>
      </c>
      <c r="AO16" s="23">
        <f>IF([2]AIX!J18=0,"",[2]AIX!J18)</f>
        <v>555</v>
      </c>
      <c r="AP16" s="17">
        <f t="shared" si="7"/>
        <v>-4.9657534246575374E-2</v>
      </c>
      <c r="AQ16" s="12" t="s">
        <v>27</v>
      </c>
      <c r="AR16" s="7">
        <f>SUM(AM86:AM92)</f>
        <v>5605</v>
      </c>
      <c r="AS16" s="7">
        <f>SUM(AO85:AO91)</f>
        <v>4766</v>
      </c>
      <c r="AT16" s="17">
        <f t="shared" si="19"/>
        <v>-0.14968777876895634</v>
      </c>
      <c r="BB16" s="39"/>
      <c r="BD16" s="5">
        <v>46035</v>
      </c>
      <c r="BE16" s="41">
        <f t="shared" si="21"/>
        <v>16.122797833935021</v>
      </c>
      <c r="BF16" s="22">
        <f t="shared" si="9"/>
        <v>16.122797833935021</v>
      </c>
      <c r="BG16" s="42">
        <f t="shared" si="22"/>
        <v>17.962990990990988</v>
      </c>
      <c r="BH16" s="17">
        <f t="shared" si="10"/>
        <v>0.13679837134319728</v>
      </c>
      <c r="BI16" s="12" t="s">
        <v>27</v>
      </c>
      <c r="BJ16" s="45">
        <f t="shared" si="11"/>
        <v>16.952230151650312</v>
      </c>
      <c r="BK16" s="45">
        <f t="shared" si="11"/>
        <v>18.165463701216954</v>
      </c>
      <c r="BL16" s="17">
        <f t="shared" si="23"/>
        <v>7.1567784221507447E-2</v>
      </c>
      <c r="BT16" s="39"/>
      <c r="BV16" s="47" t="s">
        <v>27</v>
      </c>
      <c r="BW16" s="45"/>
      <c r="BX16" s="45"/>
      <c r="BY16" s="50">
        <f t="shared" si="25"/>
        <v>0</v>
      </c>
      <c r="BZ16" s="10"/>
      <c r="CG16" s="39"/>
      <c r="CI16" s="47" t="s">
        <v>27</v>
      </c>
      <c r="CJ16" s="45"/>
      <c r="CK16" s="45"/>
      <c r="CL16" s="50">
        <f t="shared" si="27"/>
        <v>0</v>
      </c>
      <c r="CM16" s="10"/>
      <c r="CT16" s="39"/>
    </row>
    <row r="17" spans="2:107">
      <c r="B17" s="5">
        <v>46036</v>
      </c>
      <c r="C17" s="23">
        <f>IF([1]AIX!H18=0,"",[1]AIX!H18)</f>
        <v>9228.01</v>
      </c>
      <c r="D17" s="22">
        <f t="shared" si="0"/>
        <v>9228.01</v>
      </c>
      <c r="E17" s="23">
        <f>IF([2]AIX!H19=0,"",[2]AIX!H19)</f>
        <v>11371.5</v>
      </c>
      <c r="F17" s="17">
        <f t="shared" si="1"/>
        <v>5.9045401629802097E-2</v>
      </c>
      <c r="G17" s="12" t="s">
        <v>28</v>
      </c>
      <c r="H17" s="7">
        <f>SUM(C93:C99)</f>
        <v>114649.73000000001</v>
      </c>
      <c r="I17" s="7">
        <f>SUM(E92:E98)</f>
        <v>101544.53</v>
      </c>
      <c r="J17" s="17">
        <f t="shared" si="15"/>
        <v>-0.11430641834045319</v>
      </c>
      <c r="R17" s="39"/>
      <c r="T17" s="5">
        <v>46036</v>
      </c>
      <c r="U17" s="23">
        <f>IF([1]AIX!I18=0,"",[1]AIX!I18)</f>
        <v>9059.8799999999992</v>
      </c>
      <c r="V17" s="22">
        <f t="shared" si="3"/>
        <v>9059.8799999999992</v>
      </c>
      <c r="W17" s="23">
        <f>IF([2]AIX!I19=0,"",[2]AIX!I19)</f>
        <v>11128.6</v>
      </c>
      <c r="X17" s="17">
        <f t="shared" si="4"/>
        <v>5.7003696654015279E-2</v>
      </c>
      <c r="Y17" s="12" t="s">
        <v>28</v>
      </c>
      <c r="Z17" s="7">
        <f>SUM(U93:U99)</f>
        <v>112067.42000000001</v>
      </c>
      <c r="AA17" s="7">
        <f>SUM(W92:W98)</f>
        <v>98954.880000000005</v>
      </c>
      <c r="AB17" s="17">
        <f t="shared" si="17"/>
        <v>-0.11700581667713961</v>
      </c>
      <c r="AJ17" s="39"/>
      <c r="AL17" s="5">
        <v>46036</v>
      </c>
      <c r="AM17" s="23">
        <f>IF([1]AIX!J18=0,"",[1]AIX!J18)</f>
        <v>584</v>
      </c>
      <c r="AN17" s="22">
        <f t="shared" si="6"/>
        <v>584</v>
      </c>
      <c r="AO17" s="23">
        <f>IF([2]AIX!J19=0,"",[2]AIX!J19)</f>
        <v>631</v>
      </c>
      <c r="AP17" s="17">
        <f t="shared" si="7"/>
        <v>2.9363784665579207E-2</v>
      </c>
      <c r="AQ17" s="12" t="s">
        <v>28</v>
      </c>
      <c r="AR17" s="7">
        <f>SUM(AM93:AM99)</f>
        <v>6772</v>
      </c>
      <c r="AS17" s="7">
        <f>SUM(AO92:AO98)</f>
        <v>5695</v>
      </c>
      <c r="AT17" s="17">
        <f t="shared" si="19"/>
        <v>-0.15903721204961607</v>
      </c>
      <c r="BB17" s="39"/>
      <c r="BD17" s="5">
        <v>46036</v>
      </c>
      <c r="BE17" s="42">
        <f t="shared" si="21"/>
        <v>15.80138698630137</v>
      </c>
      <c r="BF17" s="22">
        <f t="shared" si="9"/>
        <v>15.80138698630137</v>
      </c>
      <c r="BG17" s="42">
        <f t="shared" si="22"/>
        <v>18.021394611727416</v>
      </c>
      <c r="BH17" s="17">
        <f t="shared" si="10"/>
        <v>2.8834914737034367E-2</v>
      </c>
      <c r="BI17" s="12" t="s">
        <v>28</v>
      </c>
      <c r="BJ17" s="45">
        <f t="shared" si="11"/>
        <v>16.929966036621384</v>
      </c>
      <c r="BK17" s="45">
        <f t="shared" si="11"/>
        <v>17.830470588235293</v>
      </c>
      <c r="BL17" s="17">
        <f t="shared" si="23"/>
        <v>5.3189979806576027E-2</v>
      </c>
      <c r="BT17" s="39"/>
      <c r="BV17" s="47" t="s">
        <v>28</v>
      </c>
      <c r="BW17" s="45"/>
      <c r="BX17" s="45"/>
      <c r="BY17" s="50">
        <f t="shared" si="25"/>
        <v>0</v>
      </c>
      <c r="BZ17" s="10"/>
      <c r="CG17" s="39"/>
      <c r="CI17" s="47" t="s">
        <v>28</v>
      </c>
      <c r="CJ17" s="45"/>
      <c r="CK17" s="45"/>
      <c r="CL17" s="50">
        <f t="shared" si="27"/>
        <v>0</v>
      </c>
      <c r="CM17" s="10"/>
      <c r="CT17" s="39"/>
      <c r="CV17" s="27" t="s">
        <v>79</v>
      </c>
      <c r="CW17" s="28"/>
      <c r="CX17" s="28"/>
      <c r="CY17" s="28"/>
      <c r="CZ17" s="35"/>
      <c r="DA17" s="35"/>
      <c r="DB17" s="35"/>
      <c r="DC17" s="36"/>
    </row>
    <row r="18" spans="2:107">
      <c r="B18" s="5">
        <v>46037</v>
      </c>
      <c r="C18" s="23">
        <f>IF([1]AIX!H19=0,"",[1]AIX!H19)</f>
        <v>10737.5</v>
      </c>
      <c r="D18" s="22">
        <f t="shared" si="0"/>
        <v>10737.5</v>
      </c>
      <c r="E18" s="23">
        <f>IF([2]AIX!H20=0,"",[2]AIX!H20)</f>
        <v>9178.98</v>
      </c>
      <c r="F18" s="17">
        <f t="shared" si="1"/>
        <v>-1.377537151385122E-2</v>
      </c>
      <c r="G18" s="12" t="s">
        <v>29</v>
      </c>
      <c r="H18" s="7">
        <f>SUM(C100:C106)</f>
        <v>111968.51999999999</v>
      </c>
      <c r="I18" s="7">
        <f>SUM(E99:E105)</f>
        <v>124173.59</v>
      </c>
      <c r="J18" s="17">
        <f t="shared" si="15"/>
        <v>0.10900447732987817</v>
      </c>
      <c r="R18" s="39"/>
      <c r="T18" s="5">
        <v>46037</v>
      </c>
      <c r="U18" s="23">
        <f>IF([1]AIX!I19=0,"",[1]AIX!I19)</f>
        <v>10528.44</v>
      </c>
      <c r="V18" s="22">
        <f t="shared" si="3"/>
        <v>10528.44</v>
      </c>
      <c r="W18" s="23">
        <f>IF([2]AIX!I20=0,"",[2]AIX!I20)</f>
        <v>9012.49</v>
      </c>
      <c r="X18" s="17">
        <f t="shared" si="4"/>
        <v>-1.6109082374004435E-2</v>
      </c>
      <c r="Y18" s="12" t="s">
        <v>29</v>
      </c>
      <c r="Z18" s="7">
        <f>SUM(U100:U106)</f>
        <v>110147.23</v>
      </c>
      <c r="AA18" s="7">
        <f>SUM(W99:W105)</f>
        <v>121048.08000000002</v>
      </c>
      <c r="AB18" s="17">
        <f t="shared" si="17"/>
        <v>9.8966174637346915E-2</v>
      </c>
      <c r="AJ18" s="39"/>
      <c r="AL18" s="5">
        <v>46037</v>
      </c>
      <c r="AM18" s="23">
        <f>IF([1]AIX!J19=0,"",[1]AIX!J19)</f>
        <v>613</v>
      </c>
      <c r="AN18" s="22">
        <f t="shared" si="6"/>
        <v>613</v>
      </c>
      <c r="AO18" s="23">
        <f>IF([2]AIX!J20=0,"",[2]AIX!J20)</f>
        <v>561</v>
      </c>
      <c r="AP18" s="17">
        <f t="shared" si="7"/>
        <v>1.08108108108107E-2</v>
      </c>
      <c r="AQ18" s="12" t="s">
        <v>29</v>
      </c>
      <c r="AR18" s="7">
        <f>SUM(AM100:AM106)</f>
        <v>6687</v>
      </c>
      <c r="AS18" s="7">
        <f>SUM(AO99:AO105)</f>
        <v>7147</v>
      </c>
      <c r="AT18" s="17">
        <f t="shared" si="19"/>
        <v>6.8790189920741707E-2</v>
      </c>
      <c r="BB18" s="39"/>
      <c r="BD18" s="5">
        <v>46037</v>
      </c>
      <c r="BE18" s="42">
        <f t="shared" si="21"/>
        <v>17.5163132137031</v>
      </c>
      <c r="BF18" s="22">
        <f t="shared" si="9"/>
        <v>17.5163132137031</v>
      </c>
      <c r="BG18" s="42">
        <f t="shared" si="22"/>
        <v>16.36181818181818</v>
      </c>
      <c r="BH18" s="17">
        <f t="shared" si="10"/>
        <v>-2.4323228503007832E-2</v>
      </c>
      <c r="BI18" s="12" t="s">
        <v>29</v>
      </c>
      <c r="BJ18" s="45">
        <f t="shared" si="11"/>
        <v>16.744208165096452</v>
      </c>
      <c r="BK18" s="45">
        <f t="shared" si="11"/>
        <v>17.374225549181475</v>
      </c>
      <c r="BL18" s="17">
        <f t="shared" si="23"/>
        <v>3.7625988513347641E-2</v>
      </c>
      <c r="BT18" s="39"/>
      <c r="BV18" s="47" t="s">
        <v>29</v>
      </c>
      <c r="BW18" s="45"/>
      <c r="BX18" s="45"/>
      <c r="BY18" s="50">
        <f t="shared" si="25"/>
        <v>0</v>
      </c>
      <c r="BZ18" s="10"/>
      <c r="CG18" s="39"/>
      <c r="CI18" s="47" t="s">
        <v>29</v>
      </c>
      <c r="CJ18" s="45"/>
      <c r="CK18" s="45"/>
      <c r="CL18" s="50">
        <f t="shared" si="27"/>
        <v>0</v>
      </c>
      <c r="CM18" s="10"/>
      <c r="CT18" s="39"/>
      <c r="CV18" s="2" t="s">
        <v>2</v>
      </c>
      <c r="CW18" s="3">
        <v>2025</v>
      </c>
      <c r="CX18" s="3">
        <v>2026</v>
      </c>
      <c r="CY18" s="16" t="s">
        <v>75</v>
      </c>
      <c r="CZ18" s="3" t="s">
        <v>70</v>
      </c>
      <c r="DA18" s="3">
        <v>2025</v>
      </c>
      <c r="DB18" s="30">
        <v>2026</v>
      </c>
      <c r="DC18" s="37" t="s">
        <v>75</v>
      </c>
    </row>
    <row r="19" spans="2:107">
      <c r="B19" s="5">
        <v>46038</v>
      </c>
      <c r="C19" s="23">
        <f>IF([1]AIX!H20=0,"",[1]AIX!H20)</f>
        <v>9307.19</v>
      </c>
      <c r="D19" s="22">
        <f t="shared" si="0"/>
        <v>9307.19</v>
      </c>
      <c r="E19" s="23">
        <f>IF([2]AIX!H21=0,"",[2]AIX!H21)</f>
        <v>14330.52</v>
      </c>
      <c r="F19" s="17">
        <f t="shared" si="1"/>
        <v>-3.0277521389961759E-2</v>
      </c>
      <c r="G19" s="12" t="s">
        <v>30</v>
      </c>
      <c r="H19" s="7">
        <f>SUM(C107:C113)</f>
        <v>98661.43</v>
      </c>
      <c r="I19" s="7">
        <f>SUM(E106:E112)</f>
        <v>114352.06</v>
      </c>
      <c r="J19" s="17">
        <f t="shared" si="15"/>
        <v>0.15903509608567412</v>
      </c>
      <c r="R19" s="39"/>
      <c r="T19" s="5">
        <v>46038</v>
      </c>
      <c r="U19" s="23">
        <f>IF([1]AIX!I20=0,"",[1]AIX!I20)</f>
        <v>9160.0499999999993</v>
      </c>
      <c r="V19" s="22">
        <f t="shared" si="3"/>
        <v>9160.0499999999993</v>
      </c>
      <c r="W19" s="23">
        <f>IF([2]AIX!I21=0,"",[2]AIX!I21)</f>
        <v>14028.15</v>
      </c>
      <c r="X19" s="17">
        <f t="shared" si="4"/>
        <v>-3.2502679417521607E-2</v>
      </c>
      <c r="Y19" s="12" t="s">
        <v>30</v>
      </c>
      <c r="Z19" s="7">
        <f>SUM(U107:U113)</f>
        <v>97263.03</v>
      </c>
      <c r="AA19" s="7">
        <f>SUM(W106:W112)</f>
        <v>111584.54000000001</v>
      </c>
      <c r="AB19" s="17">
        <f t="shared" si="17"/>
        <v>0.14724515573903063</v>
      </c>
      <c r="AJ19" s="39"/>
      <c r="AL19" s="5">
        <v>46038</v>
      </c>
      <c r="AM19" s="23">
        <f>IF([1]AIX!J20=0,"",[1]AIX!J20)</f>
        <v>555</v>
      </c>
      <c r="AN19" s="22">
        <f t="shared" si="6"/>
        <v>555</v>
      </c>
      <c r="AO19" s="23">
        <f>IF([2]AIX!J21=0,"",[2]AIX!J21)</f>
        <v>828</v>
      </c>
      <c r="AP19" s="17">
        <f t="shared" si="7"/>
        <v>-9.210526315789469E-2</v>
      </c>
      <c r="AQ19" s="12" t="s">
        <v>30</v>
      </c>
      <c r="AR19" s="7">
        <f>SUM(AM107:AM113)</f>
        <v>5884</v>
      </c>
      <c r="AS19" s="7">
        <f>SUM(AO106:AO112)</f>
        <v>6641</v>
      </c>
      <c r="AT19" s="17">
        <f t="shared" si="19"/>
        <v>0.12865397688647184</v>
      </c>
      <c r="BB19" s="39"/>
      <c r="BD19" s="5">
        <v>46038</v>
      </c>
      <c r="BE19" s="42">
        <f t="shared" si="21"/>
        <v>16.769711711711711</v>
      </c>
      <c r="BF19" s="22">
        <f t="shared" si="9"/>
        <v>16.769711711711711</v>
      </c>
      <c r="BG19" s="42">
        <f t="shared" si="22"/>
        <v>17.307391304347828</v>
      </c>
      <c r="BH19" s="17">
        <f t="shared" si="10"/>
        <v>6.8100121367578481E-2</v>
      </c>
      <c r="BI19" s="12" t="s">
        <v>30</v>
      </c>
      <c r="BJ19" s="45">
        <f t="shared" si="11"/>
        <v>16.767748130523451</v>
      </c>
      <c r="BK19" s="45">
        <f t="shared" si="11"/>
        <v>17.219102544797469</v>
      </c>
      <c r="BL19" s="17">
        <f t="shared" si="23"/>
        <v>2.691801014427142E-2</v>
      </c>
      <c r="BT19" s="39"/>
      <c r="BV19" s="47" t="s">
        <v>30</v>
      </c>
      <c r="BW19" s="45"/>
      <c r="BX19" s="45"/>
      <c r="BY19" s="50">
        <f t="shared" si="25"/>
        <v>0</v>
      </c>
      <c r="BZ19" s="10"/>
      <c r="CG19" s="39"/>
      <c r="CI19" s="47" t="s">
        <v>30</v>
      </c>
      <c r="CJ19" s="45"/>
      <c r="CK19" s="45"/>
      <c r="CL19" s="50">
        <f t="shared" si="27"/>
        <v>0</v>
      </c>
      <c r="CM19" s="10"/>
      <c r="CT19" s="39"/>
      <c r="CV19" s="47" t="s">
        <v>3</v>
      </c>
      <c r="CW19" s="63">
        <v>0.94399999999999995</v>
      </c>
      <c r="CX19" s="63">
        <v>0.89700000000000002</v>
      </c>
      <c r="CY19" s="70">
        <f>CX19-CW19</f>
        <v>-4.6999999999999931E-2</v>
      </c>
      <c r="CZ19" s="32" t="s">
        <v>71</v>
      </c>
      <c r="DA19" s="65">
        <f>AVERAGE(CW19:CW30)</f>
        <v>0.9405</v>
      </c>
      <c r="DB19" s="68">
        <f>AVERAGE(CX19:CX30)</f>
        <v>0.9385</v>
      </c>
      <c r="DC19" s="38">
        <f>DB19-DA19</f>
        <v>-2.0000000000000018E-3</v>
      </c>
    </row>
    <row r="20" spans="2:107">
      <c r="B20" s="5">
        <v>46039</v>
      </c>
      <c r="C20" s="23">
        <f>IF([1]AIX!H21=0,"",[1]AIX!H21)</f>
        <v>14777.96</v>
      </c>
      <c r="D20" s="22">
        <f t="shared" si="0"/>
        <v>14777.96</v>
      </c>
      <c r="E20" s="23">
        <f>IF([2]AIX!H22=0,"",[2]AIX!H22)</f>
        <v>14126.15</v>
      </c>
      <c r="F20" s="17">
        <f t="shared" si="1"/>
        <v>-3.1946920060058948E-2</v>
      </c>
      <c r="G20" s="12" t="s">
        <v>31</v>
      </c>
      <c r="H20" s="7">
        <f>SUM(C114:C120)</f>
        <v>113253.34</v>
      </c>
      <c r="I20" s="7">
        <f>SUM(E113:E119)</f>
        <v>99002.53</v>
      </c>
      <c r="J20" s="17">
        <f t="shared" si="15"/>
        <v>-0.12583125583757615</v>
      </c>
      <c r="R20" s="39"/>
      <c r="T20" s="5">
        <v>46039</v>
      </c>
      <c r="U20" s="23">
        <f>IF([1]AIX!I21=0,"",[1]AIX!I21)</f>
        <v>14499.42</v>
      </c>
      <c r="V20" s="22">
        <f t="shared" si="3"/>
        <v>14499.42</v>
      </c>
      <c r="W20" s="23">
        <f>IF([2]AIX!I22=0,"",[2]AIX!I22)</f>
        <v>13797.17</v>
      </c>
      <c r="X20" s="17">
        <f t="shared" si="4"/>
        <v>-3.7928723787768237E-2</v>
      </c>
      <c r="Y20" s="12" t="s">
        <v>31</v>
      </c>
      <c r="Z20" s="7">
        <f>SUM(U114:U120)</f>
        <v>111407.01</v>
      </c>
      <c r="AA20" s="7">
        <f>SUM(W113:W119)</f>
        <v>97052.6</v>
      </c>
      <c r="AB20" s="17">
        <f t="shared" si="17"/>
        <v>-0.12884656001449091</v>
      </c>
      <c r="AJ20" s="39"/>
      <c r="AL20" s="5">
        <v>46039</v>
      </c>
      <c r="AM20" s="23">
        <f>IF([1]AIX!J21=0,"",[1]AIX!J21)</f>
        <v>912</v>
      </c>
      <c r="AN20" s="22">
        <f t="shared" si="6"/>
        <v>912</v>
      </c>
      <c r="AO20" s="23">
        <f>IF([2]AIX!J22=0,"",[2]AIX!J22)</f>
        <v>743</v>
      </c>
      <c r="AP20" s="17">
        <f t="shared" si="7"/>
        <v>-0.14988558352402748</v>
      </c>
      <c r="AQ20" s="12" t="s">
        <v>31</v>
      </c>
      <c r="AR20" s="7">
        <f>SUM(AM114:AM120)</f>
        <v>6805</v>
      </c>
      <c r="AS20" s="7">
        <f>SUM(AO113:AO119)</f>
        <v>5743</v>
      </c>
      <c r="AT20" s="17">
        <f t="shared" si="19"/>
        <v>-0.15606171932402646</v>
      </c>
      <c r="BB20" s="39"/>
      <c r="BD20" s="5">
        <v>46039</v>
      </c>
      <c r="BE20" s="42">
        <f t="shared" si="21"/>
        <v>16.20390350877193</v>
      </c>
      <c r="BF20" s="22">
        <f t="shared" si="9"/>
        <v>16.20390350877193</v>
      </c>
      <c r="BG20" s="42">
        <f t="shared" si="22"/>
        <v>19.012314939434724</v>
      </c>
      <c r="BH20" s="17">
        <f t="shared" si="10"/>
        <v>0.13873269430351076</v>
      </c>
      <c r="BI20" s="12" t="s">
        <v>31</v>
      </c>
      <c r="BJ20" s="45">
        <f t="shared" ref="BJ20:BK56" si="30">IFERROR(H20/AR20,"")</f>
        <v>16.642665686994857</v>
      </c>
      <c r="BK20" s="45">
        <f t="shared" si="30"/>
        <v>17.238817691102213</v>
      </c>
      <c r="BL20" s="17">
        <f t="shared" si="23"/>
        <v>3.5820704165992368E-2</v>
      </c>
      <c r="BT20" s="39"/>
      <c r="BV20" s="47" t="s">
        <v>31</v>
      </c>
      <c r="BW20" s="45"/>
      <c r="BX20" s="45"/>
      <c r="BY20" s="50">
        <f t="shared" si="25"/>
        <v>0</v>
      </c>
      <c r="BZ20" s="10"/>
      <c r="CG20" s="39"/>
      <c r="CI20" s="47" t="s">
        <v>31</v>
      </c>
      <c r="CJ20" s="45"/>
      <c r="CK20" s="45"/>
      <c r="CL20" s="50">
        <f t="shared" si="27"/>
        <v>0</v>
      </c>
      <c r="CM20" s="10"/>
      <c r="CT20" s="39"/>
      <c r="CV20" s="47" t="s">
        <v>4</v>
      </c>
      <c r="CW20" s="63">
        <v>0.94499999999999995</v>
      </c>
      <c r="CX20" s="63">
        <v>0.93400000000000005</v>
      </c>
      <c r="CY20" s="70">
        <f t="shared" ref="CY20:CY30" si="31">CX20-CW20</f>
        <v>-1.0999999999999899E-2</v>
      </c>
      <c r="DC20" s="39"/>
    </row>
    <row r="21" spans="2:107">
      <c r="B21" s="5">
        <v>46040</v>
      </c>
      <c r="C21" s="23">
        <f>IF([1]AIX!H22=0,"",[1]AIX!H22)</f>
        <v>14592.33</v>
      </c>
      <c r="D21" s="22">
        <f t="shared" si="0"/>
        <v>14592.33</v>
      </c>
      <c r="E21" s="24">
        <f>IF([2]AIX!H23=0,"",[2]AIX!H23)</f>
        <v>15948.59</v>
      </c>
      <c r="F21" s="17">
        <f t="shared" si="1"/>
        <v>1.228046011738404E-2</v>
      </c>
      <c r="G21" s="12" t="s">
        <v>32</v>
      </c>
      <c r="H21" s="7">
        <f>SUM(C121:C127)</f>
        <v>130851.15</v>
      </c>
      <c r="I21" s="7">
        <f>SUM(E120:E126)</f>
        <v>111722.06999999998</v>
      </c>
      <c r="J21" s="17">
        <f t="shared" si="15"/>
        <v>-0.14618962080195719</v>
      </c>
      <c r="R21" s="39"/>
      <c r="T21" s="5">
        <v>46040</v>
      </c>
      <c r="U21" s="23">
        <f>IF([1]AIX!I22=0,"",[1]AIX!I22)</f>
        <v>14341.11</v>
      </c>
      <c r="V21" s="22">
        <f t="shared" si="3"/>
        <v>14341.11</v>
      </c>
      <c r="W21" s="24">
        <f>IF([2]AIX!I23=0,"",[2]AIX!I23)</f>
        <v>15517.78</v>
      </c>
      <c r="X21" s="17">
        <f t="shared" si="4"/>
        <v>1.9797095909375173E-3</v>
      </c>
      <c r="Y21" s="12" t="s">
        <v>32</v>
      </c>
      <c r="Z21" s="7">
        <f>SUM(U121:U127)</f>
        <v>128841.95</v>
      </c>
      <c r="AA21" s="7">
        <f>SUM(W120:W126)</f>
        <v>109299.06000000001</v>
      </c>
      <c r="AB21" s="17">
        <f t="shared" si="17"/>
        <v>-0.15168111007323304</v>
      </c>
      <c r="AJ21" s="39"/>
      <c r="AL21" s="5">
        <v>46040</v>
      </c>
      <c r="AM21" s="23">
        <f>IF([1]AIX!J22=0,"",[1]AIX!J22)</f>
        <v>874</v>
      </c>
      <c r="AN21" s="22">
        <f t="shared" si="6"/>
        <v>874</v>
      </c>
      <c r="AO21" s="24">
        <f>IF([2]AIX!J23=0,"",[2]AIX!J23)</f>
        <v>757</v>
      </c>
      <c r="AP21" s="17">
        <f t="shared" si="7"/>
        <v>-0.1218097447795824</v>
      </c>
      <c r="AQ21" s="12" t="s">
        <v>32</v>
      </c>
      <c r="AR21" s="7">
        <f>SUM(AM121:AM127)</f>
        <v>7655</v>
      </c>
      <c r="AS21" s="7">
        <f>SUM(AO120:AO126)</f>
        <v>6356</v>
      </c>
      <c r="AT21" s="17">
        <f t="shared" si="19"/>
        <v>-0.16969301110385371</v>
      </c>
      <c r="BB21" s="39"/>
      <c r="BD21" s="5">
        <v>46040</v>
      </c>
      <c r="BE21" s="42">
        <f t="shared" si="21"/>
        <v>16.696029748283753</v>
      </c>
      <c r="BF21" s="22">
        <f t="shared" si="9"/>
        <v>16.696029748283753</v>
      </c>
      <c r="BG21" s="43">
        <f t="shared" si="22"/>
        <v>21.068150594451783</v>
      </c>
      <c r="BH21" s="17">
        <f t="shared" si="10"/>
        <v>0.15268924256431315</v>
      </c>
      <c r="BI21" s="12" t="s">
        <v>32</v>
      </c>
      <c r="BJ21" s="45">
        <f t="shared" si="30"/>
        <v>17.093553233180927</v>
      </c>
      <c r="BK21" s="45">
        <f t="shared" si="30"/>
        <v>17.57741818753933</v>
      </c>
      <c r="BL21" s="17">
        <f t="shared" si="23"/>
        <v>2.8306867961141791E-2</v>
      </c>
      <c r="BT21" s="39"/>
      <c r="BV21" s="47" t="s">
        <v>32</v>
      </c>
      <c r="BW21" s="45"/>
      <c r="BX21" s="45"/>
      <c r="BY21" s="50">
        <f t="shared" si="25"/>
        <v>0</v>
      </c>
      <c r="BZ21" s="10"/>
      <c r="CG21" s="39"/>
      <c r="CI21" s="47" t="s">
        <v>32</v>
      </c>
      <c r="CJ21" s="45"/>
      <c r="CK21" s="45"/>
      <c r="CL21" s="50">
        <f t="shared" si="27"/>
        <v>0</v>
      </c>
      <c r="CM21" s="10"/>
      <c r="CT21" s="39"/>
      <c r="CV21" s="47" t="s">
        <v>5</v>
      </c>
      <c r="CW21" s="63">
        <v>0.92700000000000005</v>
      </c>
      <c r="CX21" s="63">
        <v>0.95099999999999996</v>
      </c>
      <c r="CY21" s="70">
        <f t="shared" si="31"/>
        <v>2.399999999999991E-2</v>
      </c>
      <c r="DC21" s="39"/>
    </row>
    <row r="22" spans="2:107">
      <c r="B22" s="5">
        <v>46041</v>
      </c>
      <c r="C22" s="24">
        <f>IF([1]AIX!H23=0,"",[1]AIX!H23)</f>
        <v>15755.11</v>
      </c>
      <c r="D22" s="22">
        <f t="shared" si="0"/>
        <v>15755.11</v>
      </c>
      <c r="E22" s="21">
        <f>IF([2]AIX!H24=0,"",[2]AIX!H24)</f>
        <v>8497.19</v>
      </c>
      <c r="F22" s="17">
        <f t="shared" si="1"/>
        <v>-6.8497911100928177E-2</v>
      </c>
      <c r="G22" s="12" t="s">
        <v>33</v>
      </c>
      <c r="H22" s="7">
        <f>SUM(C128:C134)</f>
        <v>104124.10999999999</v>
      </c>
      <c r="I22" s="7">
        <f>SUM(E127:E133)</f>
        <v>100644.31</v>
      </c>
      <c r="J22" s="17">
        <f t="shared" si="15"/>
        <v>-3.3419733431575005E-2</v>
      </c>
      <c r="R22" s="39"/>
      <c r="T22" s="5">
        <v>46041</v>
      </c>
      <c r="U22" s="24">
        <f>IF([1]AIX!I23=0,"",[1]AIX!I23)</f>
        <v>15487.12</v>
      </c>
      <c r="V22" s="22">
        <f t="shared" si="3"/>
        <v>15487.12</v>
      </c>
      <c r="W22" s="21">
        <f>IF([2]AIX!I24=0,"",[2]AIX!I24)</f>
        <v>8371.2800000000007</v>
      </c>
      <c r="X22" s="17">
        <f t="shared" si="4"/>
        <v>-6.7219044095853442E-2</v>
      </c>
      <c r="Y22" s="12" t="s">
        <v>33</v>
      </c>
      <c r="Z22" s="7">
        <f>SUM(U128:U134)</f>
        <v>102546.13</v>
      </c>
      <c r="AA22" s="7">
        <f>SUM(W127:W133)</f>
        <v>98240.09</v>
      </c>
      <c r="AB22" s="17">
        <f t="shared" si="17"/>
        <v>-4.1991248231405764E-2</v>
      </c>
      <c r="AJ22" s="39"/>
      <c r="AL22" s="5">
        <v>46041</v>
      </c>
      <c r="AM22" s="24">
        <f>IF([1]AIX!J23=0,"",[1]AIX!J23)</f>
        <v>862</v>
      </c>
      <c r="AN22" s="22">
        <f t="shared" si="6"/>
        <v>862</v>
      </c>
      <c r="AO22" s="21">
        <f>IF([2]AIX!J24=0,"",[2]AIX!J24)</f>
        <v>516</v>
      </c>
      <c r="AP22" s="17">
        <f t="shared" si="7"/>
        <v>-6.5217391304347783E-2</v>
      </c>
      <c r="AQ22" s="12" t="s">
        <v>33</v>
      </c>
      <c r="AR22" s="7">
        <f>SUM(AM128:AM134)</f>
        <v>6289</v>
      </c>
      <c r="AS22" s="7">
        <f>SUM(AO127:AO133)</f>
        <v>5800</v>
      </c>
      <c r="AT22" s="17">
        <f t="shared" si="19"/>
        <v>-7.7754809985689288E-2</v>
      </c>
      <c r="BB22" s="39"/>
      <c r="BD22" s="5">
        <v>46041</v>
      </c>
      <c r="BE22" s="43">
        <f t="shared" si="21"/>
        <v>18.277389791183296</v>
      </c>
      <c r="BF22" s="22">
        <f t="shared" si="9"/>
        <v>18.277389791183296</v>
      </c>
      <c r="BG22" s="41">
        <f t="shared" si="22"/>
        <v>16.467422480620154</v>
      </c>
      <c r="BH22" s="17">
        <f t="shared" si="10"/>
        <v>-3.5093932707604969E-3</v>
      </c>
      <c r="BI22" s="12" t="s">
        <v>33</v>
      </c>
      <c r="BJ22" s="45">
        <f t="shared" si="30"/>
        <v>16.556544760693271</v>
      </c>
      <c r="BK22" s="45">
        <f t="shared" si="30"/>
        <v>17.352467241379308</v>
      </c>
      <c r="BL22" s="17">
        <f t="shared" si="23"/>
        <v>4.807298214634903E-2</v>
      </c>
      <c r="BT22" s="39"/>
      <c r="BV22" s="47" t="s">
        <v>33</v>
      </c>
      <c r="BW22" s="45"/>
      <c r="BX22" s="45"/>
      <c r="BY22" s="50">
        <f t="shared" si="25"/>
        <v>0</v>
      </c>
      <c r="BZ22" s="10"/>
      <c r="CG22" s="39"/>
      <c r="CI22" s="47" t="s">
        <v>33</v>
      </c>
      <c r="CJ22" s="45"/>
      <c r="CK22" s="45"/>
      <c r="CL22" s="50">
        <f t="shared" si="27"/>
        <v>0</v>
      </c>
      <c r="CM22" s="10"/>
      <c r="CT22" s="39"/>
      <c r="CV22" s="47" t="s">
        <v>6</v>
      </c>
      <c r="CW22" s="63">
        <v>0.93899999999999995</v>
      </c>
      <c r="CX22" s="63">
        <v>0.94099999999999995</v>
      </c>
      <c r="CY22" s="70">
        <f t="shared" si="31"/>
        <v>2.0000000000000018E-3</v>
      </c>
      <c r="DC22" s="39"/>
    </row>
    <row r="23" spans="2:107">
      <c r="B23" s="5">
        <v>46042</v>
      </c>
      <c r="C23" s="21">
        <f>IF([1]AIX!H24=0,"",[1]AIX!H24)</f>
        <v>9122.0300000000007</v>
      </c>
      <c r="D23" s="22">
        <f t="shared" si="0"/>
        <v>9122.0300000000007</v>
      </c>
      <c r="E23" s="23">
        <f>IF([2]AIX!H25=0,"",[2]AIX!H25)</f>
        <v>8814.41</v>
      </c>
      <c r="F23" s="17">
        <f t="shared" si="1"/>
        <v>-7.8072556310369912E-2</v>
      </c>
      <c r="G23" s="12" t="s">
        <v>34</v>
      </c>
      <c r="H23" s="7">
        <f>SUM(C135:C141)</f>
        <v>103301.45999999999</v>
      </c>
      <c r="I23" s="7">
        <f>SUM(E134:E140)</f>
        <v>94464.069999999992</v>
      </c>
      <c r="J23" s="17">
        <f t="shared" si="15"/>
        <v>-8.5549516918734692E-2</v>
      </c>
      <c r="R23" s="39"/>
      <c r="T23" s="5">
        <v>46042</v>
      </c>
      <c r="U23" s="21">
        <f>IF([1]AIX!I24=0,"",[1]AIX!I24)</f>
        <v>8974.5400000000009</v>
      </c>
      <c r="V23" s="22">
        <f t="shared" si="3"/>
        <v>8974.5400000000009</v>
      </c>
      <c r="W23" s="23">
        <f>IF([2]AIX!I25=0,"",[2]AIX!I25)</f>
        <v>8633.59</v>
      </c>
      <c r="X23" s="17">
        <f t="shared" si="4"/>
        <v>-8.5922495590324721E-2</v>
      </c>
      <c r="Y23" s="12" t="s">
        <v>34</v>
      </c>
      <c r="Z23" s="7">
        <f>SUM(U135:U141)</f>
        <v>101948.73</v>
      </c>
      <c r="AA23" s="7">
        <f>SUM(W134:W140)</f>
        <v>92342.459999999992</v>
      </c>
      <c r="AB23" s="17">
        <f t="shared" si="17"/>
        <v>-9.422648031025016E-2</v>
      </c>
      <c r="AJ23" s="39"/>
      <c r="AL23" s="5">
        <v>46042</v>
      </c>
      <c r="AM23" s="21">
        <f>IF([1]AIX!J24=0,"",[1]AIX!J24)</f>
        <v>552</v>
      </c>
      <c r="AN23" s="22">
        <f t="shared" si="6"/>
        <v>552</v>
      </c>
      <c r="AO23" s="23">
        <f>IF([2]AIX!J25=0,"",[2]AIX!J25)</f>
        <v>525</v>
      </c>
      <c r="AP23" s="17">
        <f t="shared" si="7"/>
        <v>-7.7328646748681895E-2</v>
      </c>
      <c r="AQ23" s="12" t="s">
        <v>34</v>
      </c>
      <c r="AR23" s="7">
        <f>SUM(AM135:AM141)</f>
        <v>6551</v>
      </c>
      <c r="AS23" s="7">
        <f>SUM(AO134:AO140)</f>
        <v>5400</v>
      </c>
      <c r="AT23" s="17">
        <f t="shared" si="19"/>
        <v>-0.17569836666157834</v>
      </c>
      <c r="BB23" s="39"/>
      <c r="BD23" s="5">
        <v>46042</v>
      </c>
      <c r="BE23" s="41">
        <f t="shared" si="21"/>
        <v>16.525416666666668</v>
      </c>
      <c r="BF23" s="22">
        <f t="shared" si="9"/>
        <v>16.525416666666668</v>
      </c>
      <c r="BG23" s="42">
        <f t="shared" si="22"/>
        <v>16.78935238095238</v>
      </c>
      <c r="BH23" s="17">
        <f t="shared" si="10"/>
        <v>-8.0625626781039017E-4</v>
      </c>
      <c r="BI23" s="12" t="s">
        <v>34</v>
      </c>
      <c r="BJ23" s="45">
        <f t="shared" si="30"/>
        <v>15.76880781560067</v>
      </c>
      <c r="BK23" s="45">
        <f t="shared" si="30"/>
        <v>17.493346296296295</v>
      </c>
      <c r="BL23" s="17">
        <f t="shared" si="23"/>
        <v>0.10936391012321645</v>
      </c>
      <c r="BT23" s="39"/>
      <c r="BV23" s="47" t="s">
        <v>34</v>
      </c>
      <c r="BW23" s="45"/>
      <c r="BX23" s="45"/>
      <c r="BY23" s="50">
        <f t="shared" si="25"/>
        <v>0</v>
      </c>
      <c r="BZ23" s="10"/>
      <c r="CG23" s="39"/>
      <c r="CI23" s="47" t="s">
        <v>34</v>
      </c>
      <c r="CJ23" s="45"/>
      <c r="CK23" s="45"/>
      <c r="CL23" s="50">
        <f t="shared" si="27"/>
        <v>0</v>
      </c>
      <c r="CM23" s="10"/>
      <c r="CT23" s="39"/>
      <c r="CV23" s="47" t="s">
        <v>7</v>
      </c>
      <c r="CW23" s="63">
        <v>0.93700000000000006</v>
      </c>
      <c r="CX23" s="63">
        <v>0.93100000000000005</v>
      </c>
      <c r="CY23" s="70">
        <f t="shared" si="31"/>
        <v>-6.0000000000000053E-3</v>
      </c>
      <c r="DC23" s="39"/>
    </row>
    <row r="24" spans="2:107">
      <c r="B24" s="5">
        <v>46043</v>
      </c>
      <c r="C24" s="23">
        <f>IF([1]AIX!H25=0,"",[1]AIX!H25)</f>
        <v>9560.85</v>
      </c>
      <c r="D24" s="22">
        <f t="shared" si="0"/>
        <v>9560.85</v>
      </c>
      <c r="E24" s="23">
        <f>IF([2]AIX!H26=0,"",[2]AIX!H26)</f>
        <v>10534.59</v>
      </c>
      <c r="F24" s="17">
        <f t="shared" si="1"/>
        <v>-1.6628814503865885E-2</v>
      </c>
      <c r="G24" s="12" t="s">
        <v>35</v>
      </c>
      <c r="H24" s="7">
        <f>SUM(C142:C148)</f>
        <v>92877.359999999986</v>
      </c>
      <c r="I24" s="7">
        <f>SUM(E141:E147)</f>
        <v>100433.48</v>
      </c>
      <c r="J24" s="17">
        <f t="shared" si="15"/>
        <v>8.1355886945968514E-2</v>
      </c>
      <c r="R24" s="39"/>
      <c r="T24" s="5">
        <v>46043</v>
      </c>
      <c r="U24" s="23">
        <f>IF([1]AIX!I25=0,"",[1]AIX!I25)</f>
        <v>9445.14</v>
      </c>
      <c r="V24" s="22">
        <f t="shared" si="3"/>
        <v>9445.14</v>
      </c>
      <c r="W24" s="23">
        <f>IF([2]AIX!I26=0,"",[2]AIX!I26)</f>
        <v>10315.66</v>
      </c>
      <c r="X24" s="17">
        <f t="shared" si="4"/>
        <v>-1.8824243335042179E-2</v>
      </c>
      <c r="Y24" s="12" t="s">
        <v>35</v>
      </c>
      <c r="Z24" s="7">
        <f>SUM(U142:U148)</f>
        <v>91457.19</v>
      </c>
      <c r="AA24" s="7">
        <f>SUM(W141:W147)</f>
        <v>98715.6</v>
      </c>
      <c r="AB24" s="17">
        <f t="shared" si="17"/>
        <v>7.9364017197554482E-2</v>
      </c>
      <c r="AJ24" s="39"/>
      <c r="AL24" s="5">
        <v>46043</v>
      </c>
      <c r="AM24" s="23">
        <f>IF([1]AIX!J25=0,"",[1]AIX!J25)</f>
        <v>569</v>
      </c>
      <c r="AN24" s="22">
        <f t="shared" si="6"/>
        <v>569</v>
      </c>
      <c r="AO24" s="23">
        <f>IF([2]AIX!J26=0,"",[2]AIX!J26)</f>
        <v>635</v>
      </c>
      <c r="AP24" s="17">
        <f t="shared" si="7"/>
        <v>-3.9334341906202774E-2</v>
      </c>
      <c r="AQ24" s="12" t="s">
        <v>35</v>
      </c>
      <c r="AR24" s="7">
        <f>SUM(AM142:AM148)</f>
        <v>5667</v>
      </c>
      <c r="AS24" s="7">
        <f>SUM(AO141:AO147)</f>
        <v>6237</v>
      </c>
      <c r="AT24" s="17">
        <f t="shared" si="19"/>
        <v>0.10058231868713596</v>
      </c>
      <c r="BB24" s="39"/>
      <c r="BD24" s="5">
        <v>46043</v>
      </c>
      <c r="BE24" s="42">
        <f t="shared" si="21"/>
        <v>16.802899824253075</v>
      </c>
      <c r="BF24" s="22">
        <f t="shared" si="9"/>
        <v>16.802899824253075</v>
      </c>
      <c r="BG24" s="42">
        <f t="shared" si="22"/>
        <v>16.589905511811025</v>
      </c>
      <c r="BH24" s="17">
        <f t="shared" si="10"/>
        <v>2.3635202540070566E-2</v>
      </c>
      <c r="BI24" s="12" t="s">
        <v>35</v>
      </c>
      <c r="BJ24" s="45">
        <f t="shared" si="30"/>
        <v>16.389158284806772</v>
      </c>
      <c r="BK24" s="45">
        <f t="shared" si="30"/>
        <v>16.102850729517396</v>
      </c>
      <c r="BL24" s="17">
        <f t="shared" si="23"/>
        <v>-1.7469326387236861E-2</v>
      </c>
      <c r="BT24" s="39"/>
      <c r="BV24" s="47" t="s">
        <v>35</v>
      </c>
      <c r="BW24" s="45"/>
      <c r="BX24" s="45"/>
      <c r="BY24" s="50">
        <f t="shared" si="25"/>
        <v>0</v>
      </c>
      <c r="BZ24" s="10"/>
      <c r="CG24" s="39"/>
      <c r="CI24" s="47" t="s">
        <v>35</v>
      </c>
      <c r="CJ24" s="45"/>
      <c r="CK24" s="45"/>
      <c r="CL24" s="50">
        <f t="shared" si="27"/>
        <v>0</v>
      </c>
      <c r="CM24" s="10"/>
      <c r="CT24" s="39"/>
      <c r="CV24" s="47" t="s">
        <v>8</v>
      </c>
      <c r="CW24" s="63">
        <v>0.96599999999999997</v>
      </c>
      <c r="CX24" s="63">
        <v>0.97699999999999998</v>
      </c>
      <c r="CY24" s="70">
        <f t="shared" si="31"/>
        <v>1.100000000000001E-2</v>
      </c>
      <c r="DC24" s="39"/>
    </row>
    <row r="25" spans="2:107">
      <c r="B25" s="5">
        <v>46044</v>
      </c>
      <c r="C25" s="23">
        <f>IF([1]AIX!H26=0,"",[1]AIX!H26)</f>
        <v>10712.73</v>
      </c>
      <c r="D25" s="22">
        <f t="shared" si="0"/>
        <v>10712.73</v>
      </c>
      <c r="E25" s="23">
        <f>IF([2]AIX!H27=0,"",[2]AIX!H27)</f>
        <v>8942.59</v>
      </c>
      <c r="F25" s="17">
        <f t="shared" si="1"/>
        <v>-2.561540607212287E-2</v>
      </c>
      <c r="G25" s="12" t="s">
        <v>36</v>
      </c>
      <c r="H25" s="7">
        <f>SUM(C149:C155)</f>
        <v>128456.07</v>
      </c>
      <c r="I25" s="7">
        <f>SUM(E148:E154)</f>
        <v>113560.33999999998</v>
      </c>
      <c r="J25" s="17">
        <f t="shared" si="15"/>
        <v>-0.1159597207045181</v>
      </c>
      <c r="R25" s="39"/>
      <c r="T25" s="5">
        <v>46044</v>
      </c>
      <c r="U25" s="23">
        <f>IF([1]AIX!I26=0,"",[1]AIX!I26)</f>
        <v>10513.57</v>
      </c>
      <c r="V25" s="22">
        <f t="shared" si="3"/>
        <v>10513.57</v>
      </c>
      <c r="W25" s="23">
        <f>IF([2]AIX!I27=0,"",[2]AIX!I27)</f>
        <v>8741.25</v>
      </c>
      <c r="X25" s="17">
        <f t="shared" si="4"/>
        <v>-2.9291439663654328E-2</v>
      </c>
      <c r="Y25" s="12" t="s">
        <v>36</v>
      </c>
      <c r="Z25" s="7">
        <f>SUM(U149:U155)</f>
        <v>126799.86</v>
      </c>
      <c r="AA25" s="7">
        <f>SUM(W148:W154)</f>
        <v>111437.05</v>
      </c>
      <c r="AB25" s="17">
        <f t="shared" si="17"/>
        <v>-0.12115794134157565</v>
      </c>
      <c r="AJ25" s="39"/>
      <c r="AL25" s="5">
        <v>46044</v>
      </c>
      <c r="AM25" s="23">
        <f>IF([1]AIX!J26=0,"",[1]AIX!J26)</f>
        <v>661</v>
      </c>
      <c r="AN25" s="22">
        <f t="shared" si="6"/>
        <v>661</v>
      </c>
      <c r="AO25" s="23">
        <f>IF([2]AIX!J27=0,"",[2]AIX!J27)</f>
        <v>531</v>
      </c>
      <c r="AP25" s="17">
        <f t="shared" si="7"/>
        <v>-9.0753424657534221E-2</v>
      </c>
      <c r="AQ25" s="12" t="s">
        <v>36</v>
      </c>
      <c r="AR25" s="7">
        <f>SUM(AM149:AM155)</f>
        <v>7541</v>
      </c>
      <c r="AS25" s="7">
        <f>SUM(AO148:AO154)</f>
        <v>7075</v>
      </c>
      <c r="AT25" s="17">
        <f t="shared" si="19"/>
        <v>-6.1795517835830815E-2</v>
      </c>
      <c r="BB25" s="39"/>
      <c r="BD25" s="5">
        <v>46044</v>
      </c>
      <c r="BE25" s="42">
        <f t="shared" si="21"/>
        <v>16.206853252647502</v>
      </c>
      <c r="BF25" s="22">
        <f t="shared" si="9"/>
        <v>16.206853252647502</v>
      </c>
      <c r="BG25" s="42">
        <f t="shared" si="22"/>
        <v>16.841035781544257</v>
      </c>
      <c r="BH25" s="17">
        <f t="shared" si="10"/>
        <v>7.1639553397137901E-2</v>
      </c>
      <c r="BI25" s="12" t="s">
        <v>36</v>
      </c>
      <c r="BJ25" s="45">
        <f t="shared" si="30"/>
        <v>17.03435486009813</v>
      </c>
      <c r="BK25" s="45">
        <f t="shared" si="30"/>
        <v>16.050931448763247</v>
      </c>
      <c r="BL25" s="17">
        <f t="shared" si="23"/>
        <v>-5.7731767326186678E-2</v>
      </c>
      <c r="BT25" s="39"/>
      <c r="BV25" s="47" t="s">
        <v>36</v>
      </c>
      <c r="BW25" s="45"/>
      <c r="BX25" s="45"/>
      <c r="BY25" s="50">
        <f t="shared" si="25"/>
        <v>0</v>
      </c>
      <c r="BZ25" s="10"/>
      <c r="CG25" s="39"/>
      <c r="CI25" s="47" t="s">
        <v>36</v>
      </c>
      <c r="CJ25" s="45"/>
      <c r="CK25" s="45"/>
      <c r="CL25" s="50">
        <f t="shared" si="27"/>
        <v>0</v>
      </c>
      <c r="CM25" s="10"/>
      <c r="CT25" s="39"/>
      <c r="CV25" s="47" t="s">
        <v>9</v>
      </c>
      <c r="CW25" s="63">
        <v>0.92</v>
      </c>
      <c r="CX25" s="63"/>
      <c r="CY25" s="70">
        <f t="shared" si="31"/>
        <v>-0.92</v>
      </c>
      <c r="DC25" s="39"/>
    </row>
    <row r="26" spans="2:107">
      <c r="B26" s="5">
        <v>46045</v>
      </c>
      <c r="C26" s="23">
        <f>IF([1]AIX!H27=0,"",[1]AIX!H27)</f>
        <v>9177.68</v>
      </c>
      <c r="D26" s="22">
        <f t="shared" si="0"/>
        <v>9177.68</v>
      </c>
      <c r="E26" s="23">
        <f>IF([2]AIX!H28=0,"",[2]AIX!H28)</f>
        <v>12133.88</v>
      </c>
      <c r="F26" s="17">
        <f t="shared" si="1"/>
        <v>-9.6325611982182591E-2</v>
      </c>
      <c r="G26" s="12" t="s">
        <v>37</v>
      </c>
      <c r="H26" s="7">
        <f>SUM(C156:C162)</f>
        <v>103573.42000000001</v>
      </c>
      <c r="I26" s="7">
        <f>SUM(E155:E161)</f>
        <v>100619.3</v>
      </c>
      <c r="J26" s="17">
        <f t="shared" si="15"/>
        <v>-2.8521989522022229E-2</v>
      </c>
      <c r="R26" s="39"/>
      <c r="T26" s="5">
        <v>46045</v>
      </c>
      <c r="U26" s="23">
        <f>IF([1]AIX!I27=0,"",[1]AIX!I27)</f>
        <v>9005.02</v>
      </c>
      <c r="V26" s="22">
        <f t="shared" si="3"/>
        <v>9005.02</v>
      </c>
      <c r="W26" s="23">
        <f>IF([2]AIX!I28=0,"",[2]AIX!I28)</f>
        <v>11950.3</v>
      </c>
      <c r="X26" s="17">
        <f t="shared" si="4"/>
        <v>-9.7085434729226927E-2</v>
      </c>
      <c r="Y26" s="12" t="s">
        <v>37</v>
      </c>
      <c r="Z26" s="7">
        <f>SUM(U156:U162)</f>
        <v>101992.06</v>
      </c>
      <c r="AA26" s="7">
        <f>SUM(W155:W161)</f>
        <v>98677.01</v>
      </c>
      <c r="AB26" s="17">
        <f t="shared" si="17"/>
        <v>-3.2503020333151444E-2</v>
      </c>
      <c r="AJ26" s="39"/>
      <c r="AL26" s="5">
        <v>46045</v>
      </c>
      <c r="AM26" s="23">
        <f>IF([1]AIX!J27=0,"",[1]AIX!J27)</f>
        <v>584</v>
      </c>
      <c r="AN26" s="22">
        <f t="shared" si="6"/>
        <v>584</v>
      </c>
      <c r="AO26" s="23">
        <f>IF([2]AIX!J28=0,"",[2]AIX!J28)</f>
        <v>697</v>
      </c>
      <c r="AP26" s="17">
        <f t="shared" si="7"/>
        <v>-0.15821256038647347</v>
      </c>
      <c r="AQ26" s="12" t="s">
        <v>37</v>
      </c>
      <c r="AR26" s="7">
        <f>SUM(AM156:AM162)</f>
        <v>5974</v>
      </c>
      <c r="AS26" s="7">
        <f>SUM(AO155:AO161)</f>
        <v>5866</v>
      </c>
      <c r="AT26" s="17">
        <f t="shared" si="19"/>
        <v>-1.8078339471041205E-2</v>
      </c>
      <c r="BB26" s="39"/>
      <c r="BD26" s="5">
        <v>46045</v>
      </c>
      <c r="BE26" s="42">
        <f t="shared" si="21"/>
        <v>15.715205479452056</v>
      </c>
      <c r="BF26" s="22">
        <f t="shared" si="9"/>
        <v>15.715205479452056</v>
      </c>
      <c r="BG26" s="42">
        <f t="shared" si="22"/>
        <v>17.408723098995694</v>
      </c>
      <c r="BH26" s="17">
        <f t="shared" si="10"/>
        <v>7.3518498247851838E-2</v>
      </c>
      <c r="BI26" s="12" t="s">
        <v>37</v>
      </c>
      <c r="BJ26" s="45">
        <f t="shared" si="30"/>
        <v>17.33736524941413</v>
      </c>
      <c r="BK26" s="45">
        <f t="shared" si="30"/>
        <v>17.152966246164336</v>
      </c>
      <c r="BL26" s="17">
        <f t="shared" si="23"/>
        <v>-1.0635930004187055E-2</v>
      </c>
      <c r="BT26" s="39"/>
      <c r="BV26" s="47" t="s">
        <v>37</v>
      </c>
      <c r="BW26" s="45"/>
      <c r="BX26" s="45"/>
      <c r="BY26" s="50">
        <f t="shared" si="25"/>
        <v>0</v>
      </c>
      <c r="BZ26" s="10"/>
      <c r="CG26" s="39"/>
      <c r="CI26" s="47" t="s">
        <v>37</v>
      </c>
      <c r="CJ26" s="45"/>
      <c r="CK26" s="45"/>
      <c r="CL26" s="50">
        <f t="shared" si="27"/>
        <v>0</v>
      </c>
      <c r="CM26" s="10"/>
      <c r="CT26" s="39"/>
      <c r="CV26" s="47" t="s">
        <v>10</v>
      </c>
      <c r="CW26" s="63">
        <v>0.97099999999999997</v>
      </c>
      <c r="CX26" s="63"/>
      <c r="CY26" s="70">
        <f t="shared" si="31"/>
        <v>-0.97099999999999997</v>
      </c>
      <c r="DC26" s="39"/>
    </row>
    <row r="27" spans="2:107">
      <c r="B27" s="5">
        <v>46046</v>
      </c>
      <c r="C27" s="23">
        <f>IF([1]AIX!H28=0,"",[1]AIX!H28)</f>
        <v>13427.27</v>
      </c>
      <c r="D27" s="22">
        <f t="shared" si="0"/>
        <v>13427.27</v>
      </c>
      <c r="E27" s="23">
        <f>IF([2]AIX!H29=0,"",[2]AIX!H29)</f>
        <v>14367.24</v>
      </c>
      <c r="F27" s="17">
        <f t="shared" si="1"/>
        <v>-0.2092334365325077</v>
      </c>
      <c r="G27" s="12" t="s">
        <v>38</v>
      </c>
      <c r="H27" s="7">
        <f>SUM(C163:C169)</f>
        <v>120594.34</v>
      </c>
      <c r="I27" s="7">
        <f>IF(SUM(E162:E168)=0,"",SUM(E162:E168))</f>
        <v>102818.30999999998</v>
      </c>
      <c r="J27" s="17">
        <f t="shared" si="15"/>
        <v>-0.14740351827457254</v>
      </c>
      <c r="R27" s="39"/>
      <c r="T27" s="5">
        <v>46046</v>
      </c>
      <c r="U27" s="23">
        <f>IF([1]AIX!I28=0,"",[1]AIX!I28)</f>
        <v>13235.25</v>
      </c>
      <c r="V27" s="22">
        <f t="shared" si="3"/>
        <v>13235.25</v>
      </c>
      <c r="W27" s="23">
        <f>IF([2]AIX!I29=0,"",[2]AIX!I29)</f>
        <v>14140.8</v>
      </c>
      <c r="X27" s="17">
        <f t="shared" si="4"/>
        <v>-0.20780852683690909</v>
      </c>
      <c r="Y27" s="12" t="s">
        <v>38</v>
      </c>
      <c r="Z27" s="7">
        <f>SUM(U163:U169)</f>
        <v>118822.8</v>
      </c>
      <c r="AA27" s="7">
        <f>IF(SUM(W162:W168)=0,"",SUM(W162:W168))</f>
        <v>100336.75</v>
      </c>
      <c r="AB27" s="17">
        <f t="shared" si="17"/>
        <v>-0.15557662334164823</v>
      </c>
      <c r="AJ27" s="39"/>
      <c r="AL27" s="5">
        <v>46046</v>
      </c>
      <c r="AM27" s="23">
        <f>IF([1]AIX!J28=0,"",[1]AIX!J28)</f>
        <v>828</v>
      </c>
      <c r="AN27" s="22">
        <f t="shared" si="6"/>
        <v>828</v>
      </c>
      <c r="AO27" s="23">
        <f>IF([2]AIX!J29=0,"",[2]AIX!J29)</f>
        <v>814</v>
      </c>
      <c r="AP27" s="17">
        <f t="shared" si="7"/>
        <v>-0.218809980806142</v>
      </c>
      <c r="AQ27" s="12" t="s">
        <v>38</v>
      </c>
      <c r="AR27" s="7">
        <f>SUM(AM163:AM169)</f>
        <v>7563</v>
      </c>
      <c r="AS27" s="7">
        <f>IF(SUM(AO162:AO168)=0,"",SUM(AO162:AO168))</f>
        <v>6269</v>
      </c>
      <c r="AT27" s="17">
        <f t="shared" si="19"/>
        <v>-0.17109612587597511</v>
      </c>
      <c r="BB27" s="39"/>
      <c r="BD27" s="5">
        <v>46046</v>
      </c>
      <c r="BE27" s="42">
        <f t="shared" si="21"/>
        <v>16.216509661835751</v>
      </c>
      <c r="BF27" s="22">
        <f t="shared" si="9"/>
        <v>16.216509661835751</v>
      </c>
      <c r="BG27" s="42">
        <f t="shared" si="22"/>
        <v>17.650171990171991</v>
      </c>
      <c r="BH27" s="17">
        <f t="shared" si="10"/>
        <v>1.2258917853964268E-2</v>
      </c>
      <c r="BI27" s="12" t="s">
        <v>38</v>
      </c>
      <c r="BJ27" s="45">
        <f t="shared" si="30"/>
        <v>15.945304773238133</v>
      </c>
      <c r="BK27" s="45">
        <f t="shared" si="30"/>
        <v>16.401070346147709</v>
      </c>
      <c r="BL27" s="17">
        <f t="shared" si="23"/>
        <v>2.8583058109652004E-2</v>
      </c>
      <c r="BT27" s="39"/>
      <c r="BV27" s="47" t="s">
        <v>38</v>
      </c>
      <c r="BW27" s="45"/>
      <c r="BX27" s="45"/>
      <c r="BY27" s="50">
        <f t="shared" si="25"/>
        <v>0</v>
      </c>
      <c r="BZ27" s="10"/>
      <c r="CG27" s="39"/>
      <c r="CI27" s="47" t="s">
        <v>38</v>
      </c>
      <c r="CJ27" s="45"/>
      <c r="CK27" s="45"/>
      <c r="CL27" s="50">
        <f t="shared" si="27"/>
        <v>0</v>
      </c>
      <c r="CM27" s="10"/>
      <c r="CT27" s="39"/>
      <c r="CV27" s="47" t="s">
        <v>11</v>
      </c>
      <c r="CW27" s="63">
        <v>0.95699999999999996</v>
      </c>
      <c r="CX27" s="63"/>
      <c r="CY27" s="70">
        <f t="shared" si="31"/>
        <v>-0.95699999999999996</v>
      </c>
      <c r="DC27" s="39"/>
    </row>
    <row r="28" spans="2:107">
      <c r="B28" s="5">
        <v>46047</v>
      </c>
      <c r="C28" s="23">
        <f>IF([1]AIX!H29=0,"",[1]AIX!H29)</f>
        <v>18168.75</v>
      </c>
      <c r="D28" s="22">
        <f t="shared" si="0"/>
        <v>18168.75</v>
      </c>
      <c r="E28" s="24">
        <f>IF([2]AIX!H30=0,"",[2]AIX!H30)</f>
        <v>16123.28</v>
      </c>
      <c r="F28" s="17">
        <f t="shared" si="1"/>
        <v>0.12423866106149206</v>
      </c>
      <c r="G28" s="12" t="s">
        <v>39</v>
      </c>
      <c r="H28" s="7">
        <f>SUM(C170:C176)</f>
        <v>119723.79999999999</v>
      </c>
      <c r="I28" s="7" t="str">
        <f>IF(SUM(E169:E175)=0,"",SUM(E169:E175))</f>
        <v/>
      </c>
      <c r="J28" s="17" t="str">
        <f t="shared" si="15"/>
        <v/>
      </c>
      <c r="R28" s="39"/>
      <c r="T28" s="5">
        <v>46047</v>
      </c>
      <c r="U28" s="23">
        <f>IF([1]AIX!I29=0,"",[1]AIX!I29)</f>
        <v>17850.23</v>
      </c>
      <c r="V28" s="22">
        <f t="shared" si="3"/>
        <v>17850.23</v>
      </c>
      <c r="W28" s="24">
        <f>IF([2]AIX!I30=0,"",[2]AIX!I30)</f>
        <v>15818.4</v>
      </c>
      <c r="X28" s="17">
        <f t="shared" si="4"/>
        <v>0.12012304188777523</v>
      </c>
      <c r="Y28" s="12" t="s">
        <v>39</v>
      </c>
      <c r="Z28" s="7">
        <f>SUM(U170:U176)</f>
        <v>117636.57</v>
      </c>
      <c r="AA28" s="7" t="str">
        <f>IF(SUM(W169:W175)=0,"",SUM(W169:W175))</f>
        <v/>
      </c>
      <c r="AB28" s="17" t="str">
        <f t="shared" si="17"/>
        <v/>
      </c>
      <c r="AJ28" s="39"/>
      <c r="AL28" s="5">
        <v>46047</v>
      </c>
      <c r="AM28" s="23">
        <f>IF([1]AIX!J29=0,"",[1]AIX!J29)</f>
        <v>1042</v>
      </c>
      <c r="AN28" s="22">
        <f t="shared" si="6"/>
        <v>1042</v>
      </c>
      <c r="AO28" s="24">
        <f>IF([2]AIX!J30=0,"",[2]AIX!J30)</f>
        <v>762</v>
      </c>
      <c r="AP28" s="17">
        <f t="shared" si="7"/>
        <v>-2.0565552699228773E-2</v>
      </c>
      <c r="AQ28" s="12" t="s">
        <v>39</v>
      </c>
      <c r="AR28" s="7">
        <f>SUM(AM170:AM176)</f>
        <v>7882</v>
      </c>
      <c r="AS28" s="7" t="str">
        <f>IF(SUM(AO169:AO175)=0,"",SUM(AO169:AO175))</f>
        <v/>
      </c>
      <c r="AT28" s="17" t="str">
        <f t="shared" si="19"/>
        <v/>
      </c>
      <c r="BB28" s="39"/>
      <c r="BD28" s="5">
        <v>46047</v>
      </c>
      <c r="BE28" s="42">
        <f t="shared" si="21"/>
        <v>17.436420345489445</v>
      </c>
      <c r="BF28" s="22">
        <f t="shared" si="9"/>
        <v>17.436420345489445</v>
      </c>
      <c r="BG28" s="43">
        <f t="shared" si="22"/>
        <v>21.159160104986878</v>
      </c>
      <c r="BH28" s="17">
        <f t="shared" si="10"/>
        <v>0.14784472218614275</v>
      </c>
      <c r="BI28" s="12" t="s">
        <v>39</v>
      </c>
      <c r="BJ28" s="45">
        <f t="shared" si="30"/>
        <v>15.189520426287743</v>
      </c>
      <c r="BK28" s="45" t="str">
        <f t="shared" si="30"/>
        <v/>
      </c>
      <c r="BL28" s="17" t="str">
        <f t="shared" si="23"/>
        <v/>
      </c>
      <c r="BT28" s="39"/>
      <c r="BV28" s="47" t="s">
        <v>39</v>
      </c>
      <c r="BW28" s="45"/>
      <c r="BX28" s="45"/>
      <c r="BY28" s="50">
        <f t="shared" si="25"/>
        <v>0</v>
      </c>
      <c r="BZ28" s="10"/>
      <c r="CG28" s="39"/>
      <c r="CI28" s="47" t="s">
        <v>39</v>
      </c>
      <c r="CJ28" s="45"/>
      <c r="CK28" s="45"/>
      <c r="CL28" s="50">
        <f t="shared" si="27"/>
        <v>0</v>
      </c>
      <c r="CM28" s="10"/>
      <c r="CT28" s="39"/>
      <c r="CV28" s="47" t="s">
        <v>12</v>
      </c>
      <c r="CW28" s="63">
        <v>0.93400000000000005</v>
      </c>
      <c r="CX28" s="63"/>
      <c r="CY28" s="70">
        <f t="shared" si="31"/>
        <v>-0.93400000000000005</v>
      </c>
      <c r="DC28" s="39"/>
    </row>
    <row r="29" spans="2:107">
      <c r="B29" s="5">
        <v>46048</v>
      </c>
      <c r="C29" s="24">
        <f>IF([1]AIX!H30=0,"",[1]AIX!H30)</f>
        <v>14341.51</v>
      </c>
      <c r="D29" s="22">
        <f t="shared" si="0"/>
        <v>14341.51</v>
      </c>
      <c r="E29" s="21">
        <f>IF([2]AIX!H31=0,"",[2]AIX!H31)</f>
        <v>6481.02</v>
      </c>
      <c r="F29" s="17">
        <f t="shared" si="1"/>
        <v>-0.19384583235378627</v>
      </c>
      <c r="G29" s="12" t="s">
        <v>40</v>
      </c>
      <c r="H29" s="7">
        <f>SUM(C177:C183)</f>
        <v>126466.79000000001</v>
      </c>
      <c r="I29" s="7" t="str">
        <f>IF(SUM(E176:E182)=0,"",SUM(E176:E182))</f>
        <v/>
      </c>
      <c r="J29" s="17" t="str">
        <f t="shared" si="15"/>
        <v/>
      </c>
      <c r="R29" s="39"/>
      <c r="T29" s="5">
        <v>46048</v>
      </c>
      <c r="U29" s="24">
        <f>IF([1]AIX!I30=0,"",[1]AIX!I30)</f>
        <v>14122.02</v>
      </c>
      <c r="V29" s="22">
        <f t="shared" si="3"/>
        <v>14122.02</v>
      </c>
      <c r="W29" s="21">
        <f>IF([2]AIX!I31=0,"",[2]AIX!I31)</f>
        <v>6378.2</v>
      </c>
      <c r="X29" s="17">
        <f t="shared" si="4"/>
        <v>-0.19009966617102358</v>
      </c>
      <c r="Y29" s="12" t="s">
        <v>40</v>
      </c>
      <c r="Z29" s="7">
        <f>SUM(U177:U183)</f>
        <v>124487.03</v>
      </c>
      <c r="AA29" s="7" t="str">
        <f>IF(SUM(W176:W182)=0,"",SUM(W176:W182))</f>
        <v/>
      </c>
      <c r="AB29" s="17" t="str">
        <f t="shared" si="17"/>
        <v/>
      </c>
      <c r="AJ29" s="39"/>
      <c r="AL29" s="5">
        <v>46048</v>
      </c>
      <c r="AM29" s="24">
        <f>IF([1]AIX!J30=0,"",[1]AIX!J30)</f>
        <v>778</v>
      </c>
      <c r="AN29" s="22">
        <f t="shared" si="6"/>
        <v>778</v>
      </c>
      <c r="AO29" s="21">
        <f>IF([2]AIX!J31=0,"",[2]AIX!J31)</f>
        <v>414</v>
      </c>
      <c r="AP29" s="17">
        <f t="shared" si="7"/>
        <v>-0.18019801980198025</v>
      </c>
      <c r="AQ29" s="12" t="s">
        <v>40</v>
      </c>
      <c r="AR29" s="7">
        <f>SUM(AM177:AM183)</f>
        <v>8100</v>
      </c>
      <c r="AS29" s="7" t="str">
        <f>IF(SUM(AO176:AO182)=0,"",SUM(AO176:AO182))</f>
        <v/>
      </c>
      <c r="AT29" s="17" t="str">
        <f t="shared" si="19"/>
        <v/>
      </c>
      <c r="BB29" s="39"/>
      <c r="BD29" s="5">
        <v>46048</v>
      </c>
      <c r="BE29" s="43">
        <f t="shared" si="21"/>
        <v>18.433817480719796</v>
      </c>
      <c r="BF29" s="22">
        <f t="shared" si="9"/>
        <v>18.433817480719796</v>
      </c>
      <c r="BG29" s="41">
        <f t="shared" si="22"/>
        <v>15.654637681159421</v>
      </c>
      <c r="BH29" s="17">
        <f t="shared" si="10"/>
        <v>-1.6647694054739204E-2</v>
      </c>
      <c r="BI29" s="12" t="s">
        <v>40</v>
      </c>
      <c r="BJ29" s="45">
        <f t="shared" si="30"/>
        <v>15.613183950617286</v>
      </c>
      <c r="BK29" s="45" t="str">
        <f t="shared" si="30"/>
        <v/>
      </c>
      <c r="BL29" s="17" t="str">
        <f t="shared" si="23"/>
        <v/>
      </c>
      <c r="BT29" s="39"/>
      <c r="BV29" s="47" t="s">
        <v>40</v>
      </c>
      <c r="BW29" s="45"/>
      <c r="BX29" s="45"/>
      <c r="BY29" s="50">
        <f t="shared" si="25"/>
        <v>0</v>
      </c>
      <c r="BZ29" s="10"/>
      <c r="CG29" s="39"/>
      <c r="CI29" s="47" t="s">
        <v>40</v>
      </c>
      <c r="CJ29" s="45"/>
      <c r="CK29" s="45"/>
      <c r="CL29" s="50">
        <f t="shared" si="27"/>
        <v>0</v>
      </c>
      <c r="CM29" s="10"/>
      <c r="CT29" s="39"/>
      <c r="CV29" s="47" t="s">
        <v>13</v>
      </c>
      <c r="CW29" s="63">
        <v>0.94</v>
      </c>
      <c r="CX29" s="63"/>
      <c r="CY29" s="70">
        <f t="shared" si="31"/>
        <v>-0.94</v>
      </c>
      <c r="DC29" s="39"/>
    </row>
    <row r="30" spans="2:107" ht="18" thickBot="1">
      <c r="B30" s="5">
        <v>46049</v>
      </c>
      <c r="C30" s="21">
        <f>IF([1]AIX!H31=0,"",[1]AIX!H31)</f>
        <v>8039.43</v>
      </c>
      <c r="D30" s="22">
        <f t="shared" si="0"/>
        <v>8039.43</v>
      </c>
      <c r="E30" s="23">
        <f>IF([2]AIX!H32=0,"",[2]AIX!H32)</f>
        <v>8104.25</v>
      </c>
      <c r="F30" s="17">
        <f t="shared" si="1"/>
        <v>-0.10135203315048236</v>
      </c>
      <c r="G30" s="12" t="s">
        <v>41</v>
      </c>
      <c r="H30" s="7">
        <f>SUM(C184:C190)</f>
        <v>142063.04999999999</v>
      </c>
      <c r="I30" s="7" t="str">
        <f>IF(SUM(E183:E189)=0,"",SUM(E183:E189))</f>
        <v/>
      </c>
      <c r="J30" s="17" t="str">
        <f t="shared" si="15"/>
        <v/>
      </c>
      <c r="R30" s="39"/>
      <c r="T30" s="5">
        <v>46049</v>
      </c>
      <c r="U30" s="21">
        <f>IF([1]AIX!I31=0,"",[1]AIX!I31)</f>
        <v>7875.29</v>
      </c>
      <c r="V30" s="22">
        <f t="shared" si="3"/>
        <v>7875.29</v>
      </c>
      <c r="W30" s="23">
        <f>IF([2]AIX!I32=0,"",[2]AIX!I32)</f>
        <v>7975.86</v>
      </c>
      <c r="X30" s="17">
        <f t="shared" si="4"/>
        <v>-9.7545134850123727E-2</v>
      </c>
      <c r="Y30" s="12" t="s">
        <v>41</v>
      </c>
      <c r="Z30" s="7">
        <f>SUM(U184:U190)</f>
        <v>139951.99</v>
      </c>
      <c r="AA30" s="7" t="str">
        <f>IF(SUM(W183:W189)=0,"",SUM(W183:W189))</f>
        <v/>
      </c>
      <c r="AB30" s="17" t="str">
        <f t="shared" si="17"/>
        <v/>
      </c>
      <c r="AJ30" s="39"/>
      <c r="AL30" s="5">
        <v>46049</v>
      </c>
      <c r="AM30" s="21">
        <f>IF([1]AIX!J31=0,"",[1]AIX!J31)</f>
        <v>505</v>
      </c>
      <c r="AN30" s="22">
        <f t="shared" si="6"/>
        <v>505</v>
      </c>
      <c r="AO30" s="23">
        <f>IF([2]AIX!J32=0,"",[2]AIX!J32)</f>
        <v>481</v>
      </c>
      <c r="AP30" s="17">
        <f t="shared" si="7"/>
        <v>-8.7286527514231493E-2</v>
      </c>
      <c r="AQ30" s="12" t="s">
        <v>41</v>
      </c>
      <c r="AR30" s="7">
        <f>SUM(AM184:AM190)</f>
        <v>8693</v>
      </c>
      <c r="AS30" s="7" t="str">
        <f>IF(SUM(AO183:AO189)=0,"",SUM(AO183:AO189))</f>
        <v/>
      </c>
      <c r="AT30" s="17" t="str">
        <f t="shared" si="19"/>
        <v/>
      </c>
      <c r="BB30" s="39"/>
      <c r="BD30" s="5">
        <v>46049</v>
      </c>
      <c r="BE30" s="41">
        <f t="shared" si="21"/>
        <v>15.919663366336634</v>
      </c>
      <c r="BF30" s="22">
        <f t="shared" si="9"/>
        <v>15.919663366336634</v>
      </c>
      <c r="BG30" s="42">
        <f t="shared" si="22"/>
        <v>16.848752598752597</v>
      </c>
      <c r="BH30" s="17">
        <f t="shared" si="10"/>
        <v>-1.5410647547410061E-2</v>
      </c>
      <c r="BI30" s="12" t="s">
        <v>41</v>
      </c>
      <c r="BJ30" s="45">
        <f t="shared" si="30"/>
        <v>16.342235131715171</v>
      </c>
      <c r="BK30" s="45" t="str">
        <f t="shared" si="30"/>
        <v/>
      </c>
      <c r="BL30" s="17" t="str">
        <f t="shared" si="23"/>
        <v/>
      </c>
      <c r="BT30" s="39"/>
      <c r="BV30" s="47" t="s">
        <v>41</v>
      </c>
      <c r="BW30" s="45"/>
      <c r="BX30" s="45"/>
      <c r="BY30" s="50">
        <f t="shared" si="25"/>
        <v>0</v>
      </c>
      <c r="BZ30" s="10"/>
      <c r="CG30" s="39"/>
      <c r="CI30" s="47" t="s">
        <v>41</v>
      </c>
      <c r="CJ30" s="45"/>
      <c r="CK30" s="45"/>
      <c r="CL30" s="50">
        <f t="shared" si="27"/>
        <v>0</v>
      </c>
      <c r="CM30" s="10"/>
      <c r="CT30" s="39"/>
      <c r="CV30" s="48" t="s">
        <v>14</v>
      </c>
      <c r="CW30" s="64">
        <v>0.90600000000000003</v>
      </c>
      <c r="CX30" s="64"/>
      <c r="CY30" s="71">
        <f t="shared" si="31"/>
        <v>-0.90600000000000003</v>
      </c>
      <c r="CZ30" s="9"/>
      <c r="DA30" s="9"/>
      <c r="DB30" s="9"/>
      <c r="DC30" s="40"/>
    </row>
    <row r="31" spans="2:107" ht="18" thickBot="1">
      <c r="B31" s="5">
        <v>46050</v>
      </c>
      <c r="C31" s="23">
        <f>IF([1]AIX!H32=0,"",[1]AIX!H32)</f>
        <v>9018.27</v>
      </c>
      <c r="D31" s="22">
        <f t="shared" si="0"/>
        <v>9018.27</v>
      </c>
      <c r="E31" s="23">
        <f>IF([2]AIX!H33=0,"",[2]AIX!H33)</f>
        <v>10667.79</v>
      </c>
      <c r="F31" s="17">
        <f t="shared" si="1"/>
        <v>-7.620670697162879E-3</v>
      </c>
      <c r="G31" s="12" t="s">
        <v>42</v>
      </c>
      <c r="H31" s="7">
        <f>SUM(C191:C197)</f>
        <v>116917.54999999999</v>
      </c>
      <c r="I31" s="7" t="str">
        <f>IF(SUM(E190:E196)=0,"",SUM(E190:E196))</f>
        <v/>
      </c>
      <c r="J31" s="17" t="str">
        <f t="shared" si="15"/>
        <v/>
      </c>
      <c r="R31" s="39"/>
      <c r="T31" s="5">
        <v>46050</v>
      </c>
      <c r="U31" s="23">
        <f>IF([1]AIX!I32=0,"",[1]AIX!I32)</f>
        <v>8837.9599999999991</v>
      </c>
      <c r="V31" s="22">
        <f t="shared" si="3"/>
        <v>8837.9599999999991</v>
      </c>
      <c r="W31" s="23">
        <f>IF([2]AIX!I33=0,"",[2]AIX!I33)</f>
        <v>10387.549999999999</v>
      </c>
      <c r="X31" s="17">
        <f t="shared" si="4"/>
        <v>-1.536543866384199E-2</v>
      </c>
      <c r="Y31" s="12" t="s">
        <v>42</v>
      </c>
      <c r="Z31" s="7">
        <f>SUM(U191:U197)</f>
        <v>114986.13</v>
      </c>
      <c r="AA31" s="7" t="str">
        <f>IF(SUM(W190:W196)=0,"",SUM(W190:W196))</f>
        <v/>
      </c>
      <c r="AB31" s="17" t="str">
        <f t="shared" si="17"/>
        <v/>
      </c>
      <c r="AJ31" s="39"/>
      <c r="AL31" s="5">
        <v>46050</v>
      </c>
      <c r="AM31" s="23">
        <f>IF([1]AIX!J32=0,"",[1]AIX!J32)</f>
        <v>527</v>
      </c>
      <c r="AN31" s="22">
        <f t="shared" si="6"/>
        <v>527</v>
      </c>
      <c r="AO31" s="23">
        <f>IF([2]AIX!J33=0,"",[2]AIX!J33)</f>
        <v>589</v>
      </c>
      <c r="AP31" s="17">
        <f t="shared" si="7"/>
        <v>-0.12220566318926973</v>
      </c>
      <c r="AQ31" s="12" t="s">
        <v>42</v>
      </c>
      <c r="AR31" s="7">
        <f>SUM(AM191:AM197)</f>
        <v>7201</v>
      </c>
      <c r="AS31" s="7" t="str">
        <f>IF(SUM(AO190:AO196)=0,"",SUM(AO190:AO196))</f>
        <v/>
      </c>
      <c r="AT31" s="17" t="str">
        <f t="shared" si="19"/>
        <v/>
      </c>
      <c r="BB31" s="39"/>
      <c r="BD31" s="5">
        <v>46050</v>
      </c>
      <c r="BE31" s="42">
        <f t="shared" si="21"/>
        <v>17.112466793168881</v>
      </c>
      <c r="BF31" s="22">
        <f t="shared" si="9"/>
        <v>17.112466793168881</v>
      </c>
      <c r="BG31" s="42">
        <f t="shared" si="22"/>
        <v>18.111697792869272</v>
      </c>
      <c r="BH31" s="17">
        <f t="shared" si="10"/>
        <v>0.13053740231273991</v>
      </c>
      <c r="BI31" s="12" t="s">
        <v>42</v>
      </c>
      <c r="BJ31" s="45">
        <f t="shared" si="30"/>
        <v>16.236293570337452</v>
      </c>
      <c r="BK31" s="45" t="str">
        <f t="shared" si="30"/>
        <v/>
      </c>
      <c r="BL31" s="17" t="str">
        <f t="shared" si="23"/>
        <v/>
      </c>
      <c r="BT31" s="39"/>
      <c r="BV31" s="47" t="s">
        <v>42</v>
      </c>
      <c r="BW31" s="45"/>
      <c r="BX31" s="45"/>
      <c r="BY31" s="50">
        <f t="shared" si="25"/>
        <v>0</v>
      </c>
      <c r="BZ31" s="10"/>
      <c r="CG31" s="39"/>
      <c r="CI31" s="47" t="s">
        <v>42</v>
      </c>
      <c r="CJ31" s="45"/>
      <c r="CK31" s="45"/>
      <c r="CL31" s="50">
        <f t="shared" si="27"/>
        <v>0</v>
      </c>
      <c r="CM31" s="10"/>
      <c r="CT31" s="39"/>
    </row>
    <row r="32" spans="2:107">
      <c r="B32" s="5">
        <v>46051</v>
      </c>
      <c r="C32" s="23">
        <f>IF([1]AIX!H33=0,"",[1]AIX!H33)</f>
        <v>10749.71</v>
      </c>
      <c r="D32" s="22">
        <f t="shared" si="0"/>
        <v>10749.71</v>
      </c>
      <c r="E32" s="23">
        <f>IF([2]AIX!H34=0,"",[2]AIX!H34)</f>
        <v>9009.7000000000007</v>
      </c>
      <c r="F32" s="17">
        <f t="shared" si="1"/>
        <v>4.0102420598638888E-2</v>
      </c>
      <c r="G32" s="12" t="s">
        <v>43</v>
      </c>
      <c r="H32" s="7">
        <f>SUM(C198:C204)</f>
        <v>128082.40999999997</v>
      </c>
      <c r="I32" s="7" t="str">
        <f>IF(SUM(E197:E203)=0,"",SUM(E197:E203))</f>
        <v/>
      </c>
      <c r="J32" s="17" t="str">
        <f t="shared" si="15"/>
        <v/>
      </c>
      <c r="R32" s="39"/>
      <c r="T32" s="5">
        <v>46051</v>
      </c>
      <c r="U32" s="23">
        <f>IF([1]AIX!I33=0,"",[1]AIX!I33)</f>
        <v>10549.65</v>
      </c>
      <c r="V32" s="22">
        <f t="shared" si="3"/>
        <v>10549.65</v>
      </c>
      <c r="W32" s="23">
        <f>IF([2]AIX!I34=0,"",[2]AIX!I34)</f>
        <v>8811.98</v>
      </c>
      <c r="X32" s="17">
        <f t="shared" si="4"/>
        <v>3.4097603451068048E-2</v>
      </c>
      <c r="Y32" s="12" t="s">
        <v>43</v>
      </c>
      <c r="Z32" s="7">
        <f>SUM(U198:U204)</f>
        <v>125950.07</v>
      </c>
      <c r="AA32" s="7" t="str">
        <f>IF(SUM(W197:W203)=0,"",SUM(W197:W203))</f>
        <v/>
      </c>
      <c r="AB32" s="17" t="str">
        <f t="shared" si="17"/>
        <v/>
      </c>
      <c r="AJ32" s="39"/>
      <c r="AL32" s="5">
        <v>46051</v>
      </c>
      <c r="AM32" s="23">
        <f>IF([1]AIX!J33=0,"",[1]AIX!J33)</f>
        <v>671</v>
      </c>
      <c r="AN32" s="22">
        <f t="shared" si="6"/>
        <v>671</v>
      </c>
      <c r="AO32" s="23">
        <f>IF([2]AIX!J34=0,"",[2]AIX!J34)</f>
        <v>522</v>
      </c>
      <c r="AP32" s="17">
        <f t="shared" si="7"/>
        <v>-5.9459459459459407E-2</v>
      </c>
      <c r="AQ32" s="12" t="s">
        <v>43</v>
      </c>
      <c r="AR32" s="7">
        <f>SUM(AM198:AM204)</f>
        <v>7694</v>
      </c>
      <c r="AS32" s="7" t="str">
        <f>IF(SUM(AO197:AO203)=0,"",SUM(AO197:AO203))</f>
        <v/>
      </c>
      <c r="AT32" s="17" t="str">
        <f t="shared" si="19"/>
        <v/>
      </c>
      <c r="BB32" s="39"/>
      <c r="BD32" s="5">
        <v>46051</v>
      </c>
      <c r="BE32" s="42">
        <f t="shared" si="21"/>
        <v>16.020432190760058</v>
      </c>
      <c r="BF32" s="22">
        <f t="shared" si="9"/>
        <v>16.020432190760058</v>
      </c>
      <c r="BG32" s="42">
        <f t="shared" si="22"/>
        <v>17.259961685823757</v>
      </c>
      <c r="BH32" s="17">
        <f t="shared" si="10"/>
        <v>0.10585602190085175</v>
      </c>
      <c r="BI32" s="12" t="s">
        <v>43</v>
      </c>
      <c r="BJ32" s="45">
        <f t="shared" si="30"/>
        <v>16.647050948791264</v>
      </c>
      <c r="BK32" s="45" t="str">
        <f t="shared" si="30"/>
        <v/>
      </c>
      <c r="BL32" s="17" t="str">
        <f t="shared" si="23"/>
        <v/>
      </c>
      <c r="BT32" s="39"/>
      <c r="BV32" s="47" t="s">
        <v>43</v>
      </c>
      <c r="BW32" s="45"/>
      <c r="BX32" s="45"/>
      <c r="BY32" s="50">
        <f t="shared" si="25"/>
        <v>0</v>
      </c>
      <c r="BZ32" s="10"/>
      <c r="CG32" s="39"/>
      <c r="CI32" s="47" t="s">
        <v>43</v>
      </c>
      <c r="CJ32" s="45"/>
      <c r="CK32" s="45"/>
      <c r="CL32" s="50">
        <f t="shared" si="27"/>
        <v>0</v>
      </c>
      <c r="CM32" s="10"/>
      <c r="CT32" s="39"/>
      <c r="CV32" s="27" t="s">
        <v>80</v>
      </c>
      <c r="CW32" s="28"/>
      <c r="CX32" s="28"/>
      <c r="CY32" s="28"/>
      <c r="CZ32" s="35"/>
      <c r="DA32" s="35"/>
      <c r="DB32" s="35"/>
      <c r="DC32" s="36"/>
    </row>
    <row r="33" spans="2:107">
      <c r="B33" s="5">
        <v>46052</v>
      </c>
      <c r="C33" s="23">
        <f>IF([1]AIX!H34=0,"",[1]AIX!H34)</f>
        <v>8662.32</v>
      </c>
      <c r="D33" s="22">
        <f t="shared" si="0"/>
        <v>8662.32</v>
      </c>
      <c r="E33" s="23">
        <f>IF([2]AIX!H35=0,"",[2]AIX!H35)</f>
        <v>14072.77</v>
      </c>
      <c r="F33" s="17">
        <f t="shared" si="1"/>
        <v>1.9280675794205226E-2</v>
      </c>
      <c r="G33" s="12" t="s">
        <v>44</v>
      </c>
      <c r="H33" s="7">
        <f>SUM(C205:C211)</f>
        <v>111745.69</v>
      </c>
      <c r="I33" s="7" t="str">
        <f>IF(SUM(E204:E210)=0,"",SUM(E204:E210))</f>
        <v/>
      </c>
      <c r="J33" s="17" t="str">
        <f t="shared" si="15"/>
        <v/>
      </c>
      <c r="R33" s="39"/>
      <c r="T33" s="5">
        <v>46052</v>
      </c>
      <c r="U33" s="23">
        <f>IF([1]AIX!I34=0,"",[1]AIX!I34)</f>
        <v>8521.42</v>
      </c>
      <c r="V33" s="22">
        <f t="shared" si="3"/>
        <v>8521.42</v>
      </c>
      <c r="W33" s="23">
        <f>IF([2]AIX!I35=0,"",[2]AIX!I35)</f>
        <v>13782.73</v>
      </c>
      <c r="X33" s="17">
        <f t="shared" si="4"/>
        <v>1.2833542400145781E-2</v>
      </c>
      <c r="Y33" s="12" t="s">
        <v>44</v>
      </c>
      <c r="Z33" s="7">
        <f>SUM(U205:U211)</f>
        <v>109846.95000000001</v>
      </c>
      <c r="AA33" s="7" t="str">
        <f>IF(SUM(W204:W210)=0,"",SUM(W204:W210))</f>
        <v/>
      </c>
      <c r="AB33" s="17" t="str">
        <f t="shared" si="17"/>
        <v/>
      </c>
      <c r="AJ33" s="39"/>
      <c r="AL33" s="5">
        <v>46052</v>
      </c>
      <c r="AM33" s="23">
        <f>IF([1]AIX!J34=0,"",[1]AIX!J34)</f>
        <v>555</v>
      </c>
      <c r="AN33" s="22">
        <f t="shared" si="6"/>
        <v>555</v>
      </c>
      <c r="AO33" s="23">
        <f>IF([2]AIX!J35=0,"",[2]AIX!J35)</f>
        <v>762</v>
      </c>
      <c r="AP33" s="17">
        <f t="shared" si="7"/>
        <v>-5.2238805970149294E-2</v>
      </c>
      <c r="AQ33" s="12" t="s">
        <v>44</v>
      </c>
      <c r="AR33" s="7">
        <f>SUM(AM205:AM211)</f>
        <v>6839</v>
      </c>
      <c r="AS33" s="7" t="str">
        <f>IF(SUM(AO204:AO210)=0,"",SUM(AO204:AO210))</f>
        <v/>
      </c>
      <c r="AT33" s="17" t="str">
        <f t="shared" si="19"/>
        <v/>
      </c>
      <c r="BB33" s="39"/>
      <c r="BD33" s="5">
        <v>46052</v>
      </c>
      <c r="BE33" s="42">
        <f t="shared" si="21"/>
        <v>15.607783783783784</v>
      </c>
      <c r="BF33" s="22">
        <f t="shared" si="9"/>
        <v>15.607783783783784</v>
      </c>
      <c r="BG33" s="42">
        <f t="shared" si="22"/>
        <v>18.468202099737532</v>
      </c>
      <c r="BH33" s="17">
        <f t="shared" si="10"/>
        <v>7.5461500444279572E-2</v>
      </c>
      <c r="BI33" s="12" t="s">
        <v>44</v>
      </c>
      <c r="BJ33" s="45">
        <f t="shared" si="30"/>
        <v>16.33947799385875</v>
      </c>
      <c r="BK33" s="45" t="str">
        <f t="shared" si="30"/>
        <v/>
      </c>
      <c r="BL33" s="17" t="str">
        <f t="shared" si="23"/>
        <v/>
      </c>
      <c r="BT33" s="39"/>
      <c r="BV33" s="47" t="s">
        <v>44</v>
      </c>
      <c r="BW33" s="45"/>
      <c r="BX33" s="45"/>
      <c r="BY33" s="50">
        <f t="shared" si="25"/>
        <v>0</v>
      </c>
      <c r="BZ33" s="10"/>
      <c r="CG33" s="39"/>
      <c r="CI33" s="47" t="s">
        <v>44</v>
      </c>
      <c r="CJ33" s="45"/>
      <c r="CK33" s="45"/>
      <c r="CL33" s="50">
        <f t="shared" si="27"/>
        <v>0</v>
      </c>
      <c r="CM33" s="10"/>
      <c r="CT33" s="39"/>
      <c r="CV33" s="2" t="s">
        <v>2</v>
      </c>
      <c r="CW33" s="3">
        <v>2025</v>
      </c>
      <c r="CX33" s="3">
        <v>2026</v>
      </c>
      <c r="CY33" s="16" t="s">
        <v>75</v>
      </c>
      <c r="CZ33" s="3" t="s">
        <v>70</v>
      </c>
      <c r="DA33" s="3">
        <v>2025</v>
      </c>
      <c r="DB33" s="30">
        <v>2026</v>
      </c>
      <c r="DC33" s="37" t="s">
        <v>75</v>
      </c>
    </row>
    <row r="34" spans="2:107">
      <c r="B34" s="5">
        <v>46053</v>
      </c>
      <c r="C34" s="23">
        <f>IF([1]AIX!H35=0,"",[1]AIX!H35)</f>
        <v>13806.57</v>
      </c>
      <c r="D34" s="22">
        <f t="shared" si="0"/>
        <v>13806.57</v>
      </c>
      <c r="E34" s="23">
        <f>IF([2]AIX!H36=0,"",[2]AIX!H36)</f>
        <v>16653.52</v>
      </c>
      <c r="F34" s="17">
        <f t="shared" si="1"/>
        <v>3.2211838237937496E-2</v>
      </c>
      <c r="G34" s="12" t="s">
        <v>45</v>
      </c>
      <c r="H34" s="7">
        <f>SUM(C212:C218)</f>
        <v>119424.97</v>
      </c>
      <c r="I34" s="7" t="str">
        <f>IF(SUM(E211:E217)=0,"",SUM(E211:E217))</f>
        <v/>
      </c>
      <c r="J34" s="17" t="str">
        <f t="shared" si="15"/>
        <v/>
      </c>
      <c r="R34" s="39"/>
      <c r="T34" s="5">
        <v>46053</v>
      </c>
      <c r="U34" s="23">
        <f>IF([1]AIX!I35=0,"",[1]AIX!I35)</f>
        <v>13608.09</v>
      </c>
      <c r="V34" s="22">
        <f t="shared" si="3"/>
        <v>13608.09</v>
      </c>
      <c r="W34" s="23">
        <f>IF([2]AIX!I36=0,"",[2]AIX!I36)</f>
        <v>16343.04</v>
      </c>
      <c r="X34" s="17">
        <f t="shared" si="4"/>
        <v>3.2787102800076795E-2</v>
      </c>
      <c r="Y34" s="12" t="s">
        <v>45</v>
      </c>
      <c r="Z34" s="7">
        <f>SUM(U212:U218)</f>
        <v>118039.52</v>
      </c>
      <c r="AA34" s="7" t="str">
        <f>IF(SUM(W211:W217)=0,"",SUM(W211:W217))</f>
        <v/>
      </c>
      <c r="AB34" s="17" t="str">
        <f t="shared" si="17"/>
        <v/>
      </c>
      <c r="AJ34" s="39"/>
      <c r="AL34" s="5">
        <v>46053</v>
      </c>
      <c r="AM34" s="23">
        <f>IF([1]AIX!J35=0,"",[1]AIX!J35)</f>
        <v>804</v>
      </c>
      <c r="AN34" s="22">
        <f t="shared" si="6"/>
        <v>804</v>
      </c>
      <c r="AO34" s="23">
        <f>IF([2]AIX!J36=0,"",[2]AIX!J36)</f>
        <v>946</v>
      </c>
      <c r="AP34" s="17">
        <f t="shared" si="7"/>
        <v>6.1728395061728447E-2</v>
      </c>
      <c r="AQ34" s="12" t="s">
        <v>45</v>
      </c>
      <c r="AR34" s="7">
        <f>SUM(AM212:AM218)</f>
        <v>7010</v>
      </c>
      <c r="AS34" s="7" t="str">
        <f>IF(SUM(AO211:AO217)=0,"",SUM(AO211:AO217))</f>
        <v/>
      </c>
      <c r="AT34" s="17" t="str">
        <f t="shared" si="19"/>
        <v/>
      </c>
      <c r="BB34" s="39"/>
      <c r="BD34" s="5">
        <v>46053</v>
      </c>
      <c r="BE34" s="42">
        <f t="shared" si="21"/>
        <v>17.172350746268656</v>
      </c>
      <c r="BF34" s="22">
        <f t="shared" si="9"/>
        <v>17.172350746268656</v>
      </c>
      <c r="BG34" s="42">
        <f t="shared" si="22"/>
        <v>17.604143763213532</v>
      </c>
      <c r="BH34" s="17">
        <f t="shared" si="10"/>
        <v>-2.7800477938686674E-2</v>
      </c>
      <c r="BI34" s="12" t="s">
        <v>45</v>
      </c>
      <c r="BJ34" s="45">
        <f t="shared" si="30"/>
        <v>17.036372325249644</v>
      </c>
      <c r="BK34" s="45" t="str">
        <f t="shared" si="30"/>
        <v/>
      </c>
      <c r="BL34" s="17" t="str">
        <f t="shared" si="23"/>
        <v/>
      </c>
      <c r="BT34" s="39"/>
      <c r="BV34" s="47" t="s">
        <v>45</v>
      </c>
      <c r="BW34" s="45"/>
      <c r="BX34" s="45"/>
      <c r="BY34" s="50">
        <f t="shared" si="25"/>
        <v>0</v>
      </c>
      <c r="BZ34" s="10"/>
      <c r="CG34" s="39"/>
      <c r="CI34" s="47" t="s">
        <v>45</v>
      </c>
      <c r="CJ34" s="45"/>
      <c r="CK34" s="45"/>
      <c r="CL34" s="50">
        <f t="shared" si="27"/>
        <v>0</v>
      </c>
      <c r="CM34" s="10"/>
      <c r="CT34" s="39"/>
      <c r="CV34" s="47" t="s">
        <v>3</v>
      </c>
      <c r="CW34" s="66">
        <v>3</v>
      </c>
      <c r="CX34" s="66">
        <v>3.2</v>
      </c>
      <c r="CY34" s="56">
        <f>CX34-CW34</f>
        <v>0.20000000000000018</v>
      </c>
      <c r="CZ34" s="32" t="s">
        <v>71</v>
      </c>
      <c r="DA34" s="69">
        <f>AVERAGE(CW34:CW45)</f>
        <v>3.4500000000000006</v>
      </c>
      <c r="DB34" s="69">
        <f>AVERAGE(CX34:CX45)</f>
        <v>3.6166666666666667</v>
      </c>
      <c r="DC34" s="61">
        <f>DB34-DA34</f>
        <v>0.16666666666666607</v>
      </c>
    </row>
    <row r="35" spans="2:107">
      <c r="B35" s="5">
        <v>46054</v>
      </c>
      <c r="C35" s="23">
        <f>IF([1]AIX!H36=0,"",[1]AIX!H36)</f>
        <v>16133.82</v>
      </c>
      <c r="D35" s="22">
        <f t="shared" si="0"/>
        <v>16133.82</v>
      </c>
      <c r="E35" s="24">
        <f>IF([2]AIX!H37=0,"",[2]AIX!H37)</f>
        <v>15997.43</v>
      </c>
      <c r="F35" s="17">
        <f t="shared" si="1"/>
        <v>-2.5606307289087638E-2</v>
      </c>
      <c r="G35" s="12" t="s">
        <v>46</v>
      </c>
      <c r="H35" s="7">
        <f>SUM(C219:C225)</f>
        <v>129428.53</v>
      </c>
      <c r="I35" s="7" t="str">
        <f>IF(SUM(E218:E224)=0,"",SUM(E218:E224))</f>
        <v/>
      </c>
      <c r="J35" s="17" t="str">
        <f t="shared" si="15"/>
        <v/>
      </c>
      <c r="R35" s="39"/>
      <c r="T35" s="5">
        <v>46054</v>
      </c>
      <c r="U35" s="23">
        <f>IF([1]AIX!I36=0,"",[1]AIX!I36)</f>
        <v>15824.21</v>
      </c>
      <c r="V35" s="22">
        <f t="shared" si="3"/>
        <v>15824.21</v>
      </c>
      <c r="W35" s="24">
        <f>IF([2]AIX!I37=0,"",[2]AIX!I37)</f>
        <v>15604.25</v>
      </c>
      <c r="X35" s="17">
        <f t="shared" si="4"/>
        <v>-3.4469337900617014E-2</v>
      </c>
      <c r="Y35" s="12" t="s">
        <v>46</v>
      </c>
      <c r="Z35" s="7">
        <f>SUM(U219:U225)</f>
        <v>127162.96</v>
      </c>
      <c r="AA35" s="7" t="str">
        <f>IF(SUM(W218:W224)=0,"",SUM(W218:W224))</f>
        <v/>
      </c>
      <c r="AB35" s="17" t="str">
        <f t="shared" si="17"/>
        <v/>
      </c>
      <c r="AJ35" s="39"/>
      <c r="AL35" s="5">
        <v>46054</v>
      </c>
      <c r="AM35" s="23">
        <f>IF([1]AIX!J36=0,"",[1]AIX!J36)</f>
        <v>891</v>
      </c>
      <c r="AN35" s="22">
        <f t="shared" si="6"/>
        <v>891</v>
      </c>
      <c r="AO35" s="24">
        <f>IF([2]AIX!J37=0,"",[2]AIX!J37)</f>
        <v>816</v>
      </c>
      <c r="AP35" s="17">
        <f t="shared" si="7"/>
        <v>-2.1582733812949617E-2</v>
      </c>
      <c r="AQ35" s="12" t="s">
        <v>46</v>
      </c>
      <c r="AR35" s="7">
        <f>SUM(AM219:AM225)</f>
        <v>7604</v>
      </c>
      <c r="AS35" s="7" t="str">
        <f>IF(SUM(AO218:AO224)=0,"",SUM(AO218:AO224))</f>
        <v/>
      </c>
      <c r="AT35" s="17" t="str">
        <f t="shared" si="19"/>
        <v/>
      </c>
      <c r="BB35" s="39"/>
      <c r="BD35" s="5">
        <v>46054</v>
      </c>
      <c r="BE35" s="42">
        <f t="shared" si="21"/>
        <v>18.107542087542086</v>
      </c>
      <c r="BF35" s="22">
        <f t="shared" si="9"/>
        <v>18.107542087542086</v>
      </c>
      <c r="BG35" s="43">
        <f t="shared" si="22"/>
        <v>19.604693627450981</v>
      </c>
      <c r="BH35" s="17">
        <f t="shared" si="10"/>
        <v>-4.1123287734058378E-3</v>
      </c>
      <c r="BI35" s="12" t="s">
        <v>46</v>
      </c>
      <c r="BJ35" s="45">
        <f t="shared" si="30"/>
        <v>17.021111257233034</v>
      </c>
      <c r="BK35" s="45" t="str">
        <f t="shared" si="30"/>
        <v/>
      </c>
      <c r="BL35" s="17" t="str">
        <f t="shared" si="23"/>
        <v/>
      </c>
      <c r="BT35" s="39"/>
      <c r="BV35" s="47" t="s">
        <v>46</v>
      </c>
      <c r="BW35" s="45"/>
      <c r="BX35" s="45"/>
      <c r="BY35" s="50">
        <f t="shared" si="25"/>
        <v>0</v>
      </c>
      <c r="BZ35" s="10"/>
      <c r="CG35" s="39"/>
      <c r="CI35" s="47" t="s">
        <v>46</v>
      </c>
      <c r="CJ35" s="45"/>
      <c r="CK35" s="45"/>
      <c r="CL35" s="50">
        <f t="shared" si="27"/>
        <v>0</v>
      </c>
      <c r="CM35" s="10"/>
      <c r="CT35" s="39"/>
      <c r="CV35" s="47" t="s">
        <v>4</v>
      </c>
      <c r="CW35" s="66">
        <v>3.3</v>
      </c>
      <c r="CX35" s="66">
        <v>3.4</v>
      </c>
      <c r="CY35" s="56">
        <f t="shared" ref="CY35:CY45" si="32">CX35-CW35</f>
        <v>0.10000000000000009</v>
      </c>
      <c r="DC35" s="39"/>
    </row>
    <row r="36" spans="2:107">
      <c r="B36" s="5">
        <v>46055</v>
      </c>
      <c r="C36" s="24">
        <f>IF([1]AIX!H37=0,"",[1]AIX!H37)</f>
        <v>16417.830000000002</v>
      </c>
      <c r="D36" s="22">
        <f t="shared" si="0"/>
        <v>16417.830000000002</v>
      </c>
      <c r="E36" s="21">
        <f>IF([2]AIX!H38=0,"",[2]AIX!H38)</f>
        <v>8346.26</v>
      </c>
      <c r="F36" s="17">
        <f t="shared" si="1"/>
        <v>-9.7078850060906885E-2</v>
      </c>
      <c r="G36" s="12" t="s">
        <v>47</v>
      </c>
      <c r="H36" s="7">
        <f>SUM(C226:C232)</f>
        <v>138209.88</v>
      </c>
      <c r="I36" s="7" t="str">
        <f>IF(SUM(E225:E231)=0,"",SUM(E225:E231))</f>
        <v/>
      </c>
      <c r="J36" s="17" t="str">
        <f t="shared" si="15"/>
        <v/>
      </c>
      <c r="R36" s="39"/>
      <c r="T36" s="5">
        <v>46055</v>
      </c>
      <c r="U36" s="24">
        <f>IF([1]AIX!I37=0,"",[1]AIX!I37)</f>
        <v>16161.32</v>
      </c>
      <c r="V36" s="22">
        <f t="shared" si="3"/>
        <v>16161.32</v>
      </c>
      <c r="W36" s="21">
        <f>IF([2]AIX!I38=0,"",[2]AIX!I38)</f>
        <v>8189.63</v>
      </c>
      <c r="X36" s="17">
        <f t="shared" si="4"/>
        <v>-9.7973929277520466E-2</v>
      </c>
      <c r="Y36" s="12" t="s">
        <v>47</v>
      </c>
      <c r="Z36" s="7">
        <f>SUM(U226:U232)</f>
        <v>136041.76</v>
      </c>
      <c r="AA36" s="7" t="str">
        <f>IF(SUM(W225:W231)=0,"",SUM(W225:W231))</f>
        <v/>
      </c>
      <c r="AB36" s="17" t="str">
        <f t="shared" si="17"/>
        <v/>
      </c>
      <c r="AJ36" s="39"/>
      <c r="AL36" s="5">
        <v>46055</v>
      </c>
      <c r="AM36" s="24">
        <f>IF([1]AIX!J37=0,"",[1]AIX!J37)</f>
        <v>834</v>
      </c>
      <c r="AN36" s="22">
        <f t="shared" si="6"/>
        <v>834</v>
      </c>
      <c r="AO36" s="21">
        <f>IF([2]AIX!J38=0,"",[2]AIX!J38)</f>
        <v>473</v>
      </c>
      <c r="AP36" s="17">
        <f t="shared" si="7"/>
        <v>-0.15080789946140039</v>
      </c>
      <c r="AQ36" s="12" t="s">
        <v>47</v>
      </c>
      <c r="AR36" s="7">
        <f>SUM(AM226:AM232)</f>
        <v>7908</v>
      </c>
      <c r="AS36" s="7" t="str">
        <f>IF(SUM(AO225:AO231)=0,"",SUM(AO225:AO231))</f>
        <v/>
      </c>
      <c r="AT36" s="17" t="str">
        <f t="shared" si="19"/>
        <v/>
      </c>
      <c r="BB36" s="39"/>
      <c r="BD36" s="5">
        <v>46055</v>
      </c>
      <c r="BE36" s="43">
        <f t="shared" si="21"/>
        <v>19.685647482014392</v>
      </c>
      <c r="BF36" s="22">
        <f t="shared" si="9"/>
        <v>19.685647482014392</v>
      </c>
      <c r="BG36" s="41">
        <f t="shared" si="22"/>
        <v>17.645369978858351</v>
      </c>
      <c r="BH36" s="17">
        <f t="shared" si="10"/>
        <v>6.3270783332082026E-2</v>
      </c>
      <c r="BI36" s="12" t="s">
        <v>47</v>
      </c>
      <c r="BJ36" s="45">
        <f t="shared" si="30"/>
        <v>17.477223065250381</v>
      </c>
      <c r="BK36" s="45" t="str">
        <f t="shared" si="30"/>
        <v/>
      </c>
      <c r="BL36" s="17" t="str">
        <f t="shared" si="23"/>
        <v/>
      </c>
      <c r="BT36" s="39"/>
      <c r="BV36" s="47" t="s">
        <v>47</v>
      </c>
      <c r="BW36" s="45"/>
      <c r="BX36" s="45"/>
      <c r="BY36" s="50">
        <f t="shared" si="25"/>
        <v>0</v>
      </c>
      <c r="BZ36" s="10"/>
      <c r="CG36" s="39"/>
      <c r="CI36" s="47" t="s">
        <v>47</v>
      </c>
      <c r="CJ36" s="45"/>
      <c r="CK36" s="45"/>
      <c r="CL36" s="50">
        <f t="shared" si="27"/>
        <v>0</v>
      </c>
      <c r="CM36" s="10"/>
      <c r="CT36" s="39"/>
      <c r="CV36" s="47" t="s">
        <v>5</v>
      </c>
      <c r="CW36" s="66">
        <v>3.6</v>
      </c>
      <c r="CX36" s="66">
        <v>3.9</v>
      </c>
      <c r="CY36" s="56">
        <f t="shared" si="32"/>
        <v>0.29999999999999982</v>
      </c>
      <c r="DC36" s="39"/>
    </row>
    <row r="37" spans="2:107">
      <c r="B37" s="5">
        <v>46056</v>
      </c>
      <c r="C37" s="21">
        <f>IF([1]AIX!H38=0,"",[1]AIX!H38)</f>
        <v>9243.6200000000008</v>
      </c>
      <c r="D37" s="22">
        <f t="shared" si="0"/>
        <v>9243.6200000000008</v>
      </c>
      <c r="E37" s="23">
        <f>IF([2]AIX!H39=0,"",[2]AIX!H39)</f>
        <v>9936.5400000000009</v>
      </c>
      <c r="F37" s="17">
        <f t="shared" si="1"/>
        <v>-5.1198847673850079E-4</v>
      </c>
      <c r="G37" s="12" t="s">
        <v>48</v>
      </c>
      <c r="H37" s="7">
        <f>SUM(C233:C239)</f>
        <v>120169.81000000001</v>
      </c>
      <c r="I37" s="7" t="str">
        <f>IF(SUM(E232:E238)=0,"",SUM(E232:E238))</f>
        <v/>
      </c>
      <c r="J37" s="17" t="str">
        <f t="shared" si="15"/>
        <v/>
      </c>
      <c r="R37" s="39"/>
      <c r="T37" s="5">
        <v>46056</v>
      </c>
      <c r="U37" s="21">
        <f>IF([1]AIX!I38=0,"",[1]AIX!I38)</f>
        <v>9079.15</v>
      </c>
      <c r="V37" s="22">
        <f t="shared" si="3"/>
        <v>9079.15</v>
      </c>
      <c r="W37" s="23">
        <f>IF([2]AIX!I39=0,"",[2]AIX!I39)</f>
        <v>9782.36</v>
      </c>
      <c r="X37" s="17">
        <f t="shared" si="4"/>
        <v>-2.205226856847875E-3</v>
      </c>
      <c r="Y37" s="12" t="s">
        <v>48</v>
      </c>
      <c r="Z37" s="7">
        <f>SUM(U233:U239)</f>
        <v>117978.99000000002</v>
      </c>
      <c r="AA37" s="7" t="str">
        <f>IF(SUM(W232:W238)=0,"",SUM(W232:W238))</f>
        <v/>
      </c>
      <c r="AB37" s="17" t="str">
        <f t="shared" si="17"/>
        <v/>
      </c>
      <c r="AJ37" s="39"/>
      <c r="AL37" s="5">
        <v>46056</v>
      </c>
      <c r="AM37" s="21">
        <f>IF([1]AIX!J38=0,"",[1]AIX!J38)</f>
        <v>557</v>
      </c>
      <c r="AN37" s="22">
        <f t="shared" si="6"/>
        <v>557</v>
      </c>
      <c r="AO37" s="23">
        <f>IF([2]AIX!J39=0,"",[2]AIX!J39)</f>
        <v>543</v>
      </c>
      <c r="AP37" s="17">
        <f t="shared" si="7"/>
        <v>-7.1794871794871762E-2</v>
      </c>
      <c r="AQ37" s="12" t="s">
        <v>48</v>
      </c>
      <c r="AR37" s="7">
        <f>SUM(AM233:AM239)</f>
        <v>6832</v>
      </c>
      <c r="AS37" s="7" t="str">
        <f>IF(SUM(AO232:AO238)=0,"",SUM(AO232:AO238))</f>
        <v/>
      </c>
      <c r="AT37" s="17" t="str">
        <f t="shared" si="19"/>
        <v/>
      </c>
      <c r="BB37" s="39"/>
      <c r="BD37" s="5">
        <v>46056</v>
      </c>
      <c r="BE37" s="41">
        <f t="shared" si="21"/>
        <v>16.595368043087973</v>
      </c>
      <c r="BF37" s="22">
        <f t="shared" si="9"/>
        <v>16.595368043087973</v>
      </c>
      <c r="BG37" s="42">
        <f t="shared" si="22"/>
        <v>18.299337016574587</v>
      </c>
      <c r="BH37" s="17">
        <f t="shared" si="10"/>
        <v>7.6796476502961175E-2</v>
      </c>
      <c r="BI37" s="12" t="s">
        <v>48</v>
      </c>
      <c r="BJ37" s="45">
        <f t="shared" si="30"/>
        <v>17.589257903981267</v>
      </c>
      <c r="BK37" s="45" t="str">
        <f t="shared" si="30"/>
        <v/>
      </c>
      <c r="BL37" s="17" t="str">
        <f t="shared" si="23"/>
        <v/>
      </c>
      <c r="BT37" s="39"/>
      <c r="BV37" s="47" t="s">
        <v>48</v>
      </c>
      <c r="BW37" s="45"/>
      <c r="BX37" s="45"/>
      <c r="BY37" s="50">
        <f t="shared" si="25"/>
        <v>0</v>
      </c>
      <c r="BZ37" s="10"/>
      <c r="CG37" s="39"/>
      <c r="CI37" s="47" t="s">
        <v>48</v>
      </c>
      <c r="CJ37" s="45"/>
      <c r="CK37" s="45"/>
      <c r="CL37" s="50">
        <f t="shared" si="27"/>
        <v>0</v>
      </c>
      <c r="CM37" s="10"/>
      <c r="CT37" s="39"/>
      <c r="CV37" s="47" t="s">
        <v>6</v>
      </c>
      <c r="CW37" s="66">
        <v>3.1</v>
      </c>
      <c r="CX37" s="66">
        <v>3.8</v>
      </c>
      <c r="CY37" s="56">
        <f t="shared" si="32"/>
        <v>0.69999999999999973</v>
      </c>
      <c r="DC37" s="39"/>
    </row>
    <row r="38" spans="2:107">
      <c r="B38" s="5">
        <v>46057</v>
      </c>
      <c r="C38" s="23">
        <f>IF([1]AIX!H39=0,"",[1]AIX!H39)</f>
        <v>9941.6299999999992</v>
      </c>
      <c r="D38" s="22">
        <f t="shared" si="0"/>
        <v>9941.6299999999992</v>
      </c>
      <c r="E38" s="23">
        <f>IF([2]AIX!H40=0,"",[2]AIX!H40)</f>
        <v>13105.45</v>
      </c>
      <c r="F38" s="17">
        <f t="shared" si="1"/>
        <v>9.5843963198299686E-2</v>
      </c>
      <c r="G38" s="12" t="s">
        <v>49</v>
      </c>
      <c r="H38" s="7">
        <f>SUM(C240:C246)</f>
        <v>107212.41</v>
      </c>
      <c r="I38" s="7" t="str">
        <f>IF(SUM(E239:E245)=0,"",SUM(E239:E245))</f>
        <v/>
      </c>
      <c r="J38" s="17" t="str">
        <f t="shared" si="15"/>
        <v/>
      </c>
      <c r="R38" s="39"/>
      <c r="T38" s="5">
        <v>46057</v>
      </c>
      <c r="U38" s="23">
        <f>IF([1]AIX!I39=0,"",[1]AIX!I39)</f>
        <v>9803.98</v>
      </c>
      <c r="V38" s="22">
        <f t="shared" si="3"/>
        <v>9803.98</v>
      </c>
      <c r="W38" s="23">
        <f>IF([2]AIX!I40=0,"",[2]AIX!I40)</f>
        <v>12804.03</v>
      </c>
      <c r="X38" s="17">
        <f t="shared" si="4"/>
        <v>8.1902095018564047E-2</v>
      </c>
      <c r="Y38" s="12" t="s">
        <v>49</v>
      </c>
      <c r="Z38" s="7">
        <f>SUM(U240:U246)</f>
        <v>105345.5</v>
      </c>
      <c r="AA38" s="7" t="str">
        <f>IF(SUM(W239:W245)=0,"",SUM(W239:W245))</f>
        <v/>
      </c>
      <c r="AB38" s="17" t="str">
        <f t="shared" si="17"/>
        <v/>
      </c>
      <c r="AJ38" s="39"/>
      <c r="AL38" s="5">
        <v>46057</v>
      </c>
      <c r="AM38" s="23">
        <f>IF([1]AIX!J39=0,"",[1]AIX!J39)</f>
        <v>585</v>
      </c>
      <c r="AN38" s="22">
        <f t="shared" si="6"/>
        <v>585</v>
      </c>
      <c r="AO38" s="23">
        <f>IF([2]AIX!J40=0,"",[2]AIX!J40)</f>
        <v>739</v>
      </c>
      <c r="AP38" s="17">
        <f t="shared" si="7"/>
        <v>2.9247910863509752E-2</v>
      </c>
      <c r="AQ38" s="12" t="s">
        <v>49</v>
      </c>
      <c r="AR38" s="7">
        <f>SUM(AM240:AM246)</f>
        <v>6406</v>
      </c>
      <c r="AS38" s="7" t="str">
        <f>IF(SUM(AO239:AO245)=0,"",SUM(AO239:AO245))</f>
        <v/>
      </c>
      <c r="AT38" s="17" t="str">
        <f t="shared" si="19"/>
        <v/>
      </c>
      <c r="BB38" s="39"/>
      <c r="BD38" s="5">
        <v>46057</v>
      </c>
      <c r="BE38" s="42">
        <f t="shared" si="21"/>
        <v>16.994239316239316</v>
      </c>
      <c r="BF38" s="22">
        <f t="shared" si="9"/>
        <v>16.994239316239316</v>
      </c>
      <c r="BG38" s="42">
        <f t="shared" si="22"/>
        <v>17.734032476319353</v>
      </c>
      <c r="BH38" s="17">
        <f t="shared" si="10"/>
        <v>6.4703607004572783E-2</v>
      </c>
      <c r="BI38" s="12" t="s">
        <v>49</v>
      </c>
      <c r="BJ38" s="45">
        <f t="shared" si="30"/>
        <v>16.736248829222603</v>
      </c>
      <c r="BK38" s="45" t="str">
        <f t="shared" si="30"/>
        <v/>
      </c>
      <c r="BL38" s="17" t="str">
        <f t="shared" si="23"/>
        <v/>
      </c>
      <c r="BT38" s="39"/>
      <c r="BV38" s="47" t="s">
        <v>49</v>
      </c>
      <c r="BW38" s="45"/>
      <c r="BX38" s="45"/>
      <c r="BY38" s="50">
        <f t="shared" si="25"/>
        <v>0</v>
      </c>
      <c r="BZ38" s="10"/>
      <c r="CG38" s="39"/>
      <c r="CI38" s="47" t="s">
        <v>49</v>
      </c>
      <c r="CJ38" s="45"/>
      <c r="CK38" s="45"/>
      <c r="CL38" s="50">
        <f t="shared" si="27"/>
        <v>0</v>
      </c>
      <c r="CM38" s="10"/>
      <c r="CT38" s="39"/>
      <c r="CV38" s="47" t="s">
        <v>7</v>
      </c>
      <c r="CW38" s="66">
        <v>2.8</v>
      </c>
      <c r="CX38" s="66">
        <v>3.5</v>
      </c>
      <c r="CY38" s="56">
        <f t="shared" si="32"/>
        <v>0.70000000000000018</v>
      </c>
      <c r="DC38" s="39"/>
    </row>
    <row r="39" spans="2:107">
      <c r="B39" s="5">
        <v>46058</v>
      </c>
      <c r="C39" s="23">
        <f>IF([1]AIX!H40=0,"",[1]AIX!H40)</f>
        <v>11959.23</v>
      </c>
      <c r="D39" s="22">
        <f t="shared" si="0"/>
        <v>11959.23</v>
      </c>
      <c r="E39" s="23">
        <f>IF([2]AIX!H41=0,"",[2]AIX!H41)</f>
        <v>9779.7000000000007</v>
      </c>
      <c r="F39" s="17">
        <f t="shared" si="1"/>
        <v>-6.6972978594100785E-2</v>
      </c>
      <c r="G39" s="12" t="s">
        <v>50</v>
      </c>
      <c r="H39" s="7">
        <f>SUM(C247:C253)</f>
        <v>98284.9</v>
      </c>
      <c r="I39" s="7" t="str">
        <f>IF(SUM(E246:E252)=0,"",SUM(E246:E252))</f>
        <v/>
      </c>
      <c r="J39" s="17" t="str">
        <f t="shared" si="15"/>
        <v/>
      </c>
      <c r="R39" s="39"/>
      <c r="T39" s="5">
        <v>46058</v>
      </c>
      <c r="U39" s="23">
        <f>IF([1]AIX!I40=0,"",[1]AIX!I40)</f>
        <v>11834.74</v>
      </c>
      <c r="V39" s="22">
        <f t="shared" si="3"/>
        <v>11834.74</v>
      </c>
      <c r="W39" s="23">
        <f>IF([2]AIX!I41=0,"",[2]AIX!I41)</f>
        <v>9564.02</v>
      </c>
      <c r="X39" s="17">
        <f t="shared" si="4"/>
        <v>-7.2574482857597267E-2</v>
      </c>
      <c r="Y39" s="12" t="s">
        <v>50</v>
      </c>
      <c r="Z39" s="7">
        <f>SUM(U247:U253)</f>
        <v>95801.35</v>
      </c>
      <c r="AA39" s="7" t="str">
        <f>IF(SUM(W246:W252)=0,"",SUM(W246:W252))</f>
        <v/>
      </c>
      <c r="AB39" s="17" t="str">
        <f t="shared" si="17"/>
        <v/>
      </c>
      <c r="AJ39" s="39"/>
      <c r="AL39" s="5">
        <v>46058</v>
      </c>
      <c r="AM39" s="23">
        <f>IF([1]AIX!J40=0,"",[1]AIX!J40)</f>
        <v>718</v>
      </c>
      <c r="AN39" s="22">
        <f t="shared" si="6"/>
        <v>718</v>
      </c>
      <c r="AO39" s="23">
        <f>IF([2]AIX!J41=0,"",[2]AIX!J41)</f>
        <v>564</v>
      </c>
      <c r="AP39" s="17">
        <f t="shared" si="7"/>
        <v>-0.1004784688995215</v>
      </c>
      <c r="AQ39" s="12" t="s">
        <v>50</v>
      </c>
      <c r="AR39" s="7">
        <f>SUM(AM247:AM253)</f>
        <v>5595</v>
      </c>
      <c r="AS39" s="7" t="str">
        <f>IF(SUM(AO246:AO252)=0,"",SUM(AO246:AO252))</f>
        <v/>
      </c>
      <c r="AT39" s="17" t="str">
        <f t="shared" si="19"/>
        <v/>
      </c>
      <c r="BB39" s="39"/>
      <c r="BD39" s="5">
        <v>46058</v>
      </c>
      <c r="BE39" s="42">
        <f t="shared" si="21"/>
        <v>16.656309192200556</v>
      </c>
      <c r="BF39" s="22">
        <f t="shared" si="9"/>
        <v>16.656309192200556</v>
      </c>
      <c r="BG39" s="42">
        <f t="shared" si="22"/>
        <v>17.339893617021279</v>
      </c>
      <c r="BH39" s="17">
        <f t="shared" si="10"/>
        <v>3.7248124860813414E-2</v>
      </c>
      <c r="BI39" s="12" t="s">
        <v>50</v>
      </c>
      <c r="BJ39" s="45">
        <f t="shared" si="30"/>
        <v>17.566559428060767</v>
      </c>
      <c r="BK39" s="45" t="str">
        <f t="shared" si="30"/>
        <v/>
      </c>
      <c r="BL39" s="17" t="str">
        <f t="shared" si="23"/>
        <v/>
      </c>
      <c r="BT39" s="39"/>
      <c r="BV39" s="47" t="s">
        <v>50</v>
      </c>
      <c r="BW39" s="45"/>
      <c r="BX39" s="45"/>
      <c r="BY39" s="50">
        <f t="shared" si="25"/>
        <v>0</v>
      </c>
      <c r="BZ39" s="10"/>
      <c r="CG39" s="39"/>
      <c r="CI39" s="47" t="s">
        <v>50</v>
      </c>
      <c r="CJ39" s="45"/>
      <c r="CK39" s="45"/>
      <c r="CL39" s="50">
        <f t="shared" si="27"/>
        <v>0</v>
      </c>
      <c r="CM39" s="10"/>
      <c r="CT39" s="39"/>
      <c r="CV39" s="47" t="s">
        <v>8</v>
      </c>
      <c r="CW39" s="66">
        <v>3.3</v>
      </c>
      <c r="CX39" s="66">
        <v>3.9</v>
      </c>
      <c r="CY39" s="56">
        <f t="shared" si="32"/>
        <v>0.60000000000000009</v>
      </c>
      <c r="DC39" s="39"/>
    </row>
    <row r="40" spans="2:107">
      <c r="B40" s="5">
        <v>46059</v>
      </c>
      <c r="C40" s="23">
        <f>IF([1]AIX!H41=0,"",[1]AIX!H41)</f>
        <v>10481.69</v>
      </c>
      <c r="D40" s="22">
        <f t="shared" si="0"/>
        <v>10481.69</v>
      </c>
      <c r="E40" s="23">
        <f>IF([2]AIX!H42=0,"",[2]AIX!H42)</f>
        <v>16112.76</v>
      </c>
      <c r="F40" s="17">
        <f t="shared" si="1"/>
        <v>-5.1223409641558693E-3</v>
      </c>
      <c r="G40" s="12" t="s">
        <v>51</v>
      </c>
      <c r="H40" s="7">
        <f>SUM(C254:C260)</f>
        <v>90478.5</v>
      </c>
      <c r="I40" s="7" t="str">
        <f>IF(SUM(E253:E259)=0,"",SUM(E253:E259))</f>
        <v/>
      </c>
      <c r="J40" s="17" t="str">
        <f t="shared" si="15"/>
        <v/>
      </c>
      <c r="R40" s="39"/>
      <c r="T40" s="5">
        <v>46059</v>
      </c>
      <c r="U40" s="23">
        <f>IF([1]AIX!I41=0,"",[1]AIX!I41)</f>
        <v>10312.44</v>
      </c>
      <c r="V40" s="22">
        <f t="shared" si="3"/>
        <v>10312.44</v>
      </c>
      <c r="W40" s="23">
        <f>IF([2]AIX!I42=0,"",[2]AIX!I42)</f>
        <v>15752.93</v>
      </c>
      <c r="X40" s="17">
        <f t="shared" si="4"/>
        <v>-1.5774666190994102E-2</v>
      </c>
      <c r="Y40" s="12" t="s">
        <v>51</v>
      </c>
      <c r="Z40" s="7">
        <f>SUM(U254:U260)</f>
        <v>88791.12</v>
      </c>
      <c r="AA40" s="7" t="str">
        <f>IF(SUM(W253:W259)=0,"",SUM(W253:W259))</f>
        <v/>
      </c>
      <c r="AB40" s="17" t="str">
        <f t="shared" si="17"/>
        <v/>
      </c>
      <c r="AJ40" s="39"/>
      <c r="AL40" s="5">
        <v>46059</v>
      </c>
      <c r="AM40" s="23">
        <f>IF([1]AIX!J41=0,"",[1]AIX!J41)</f>
        <v>627</v>
      </c>
      <c r="AN40" s="22">
        <f t="shared" si="6"/>
        <v>627</v>
      </c>
      <c r="AO40" s="23">
        <f>IF([2]AIX!J42=0,"",[2]AIX!J42)</f>
        <v>864</v>
      </c>
      <c r="AP40" s="17">
        <f t="shared" si="7"/>
        <v>-1.5945330296127547E-2</v>
      </c>
      <c r="AQ40" s="12" t="s">
        <v>51</v>
      </c>
      <c r="AR40" s="7">
        <f>SUM(AM254:AM260)</f>
        <v>5356</v>
      </c>
      <c r="AS40" s="7" t="str">
        <f>IF(SUM(AO253:AO259)=0,"",SUM(AO253:AO259))</f>
        <v/>
      </c>
      <c r="AT40" s="17" t="str">
        <f t="shared" si="19"/>
        <v/>
      </c>
      <c r="BB40" s="39"/>
      <c r="BD40" s="5">
        <v>46059</v>
      </c>
      <c r="BE40" s="42">
        <f t="shared" si="21"/>
        <v>16.71720893141946</v>
      </c>
      <c r="BF40" s="22">
        <f t="shared" si="9"/>
        <v>16.71720893141946</v>
      </c>
      <c r="BG40" s="42">
        <f t="shared" si="22"/>
        <v>18.649027777777778</v>
      </c>
      <c r="BH40" s="17">
        <f t="shared" si="10"/>
        <v>1.0998361844295257E-2</v>
      </c>
      <c r="BI40" s="12" t="s">
        <v>51</v>
      </c>
      <c r="BJ40" s="45">
        <f t="shared" si="30"/>
        <v>16.892923823749065</v>
      </c>
      <c r="BK40" s="45" t="str">
        <f t="shared" si="30"/>
        <v/>
      </c>
      <c r="BL40" s="17" t="str">
        <f t="shared" si="23"/>
        <v/>
      </c>
      <c r="BT40" s="39"/>
      <c r="BV40" s="47" t="s">
        <v>51</v>
      </c>
      <c r="BW40" s="45"/>
      <c r="BX40" s="45"/>
      <c r="BY40" s="50">
        <f t="shared" si="25"/>
        <v>0</v>
      </c>
      <c r="BZ40" s="10"/>
      <c r="CG40" s="39"/>
      <c r="CI40" s="47" t="s">
        <v>51</v>
      </c>
      <c r="CJ40" s="45"/>
      <c r="CK40" s="45"/>
      <c r="CL40" s="50">
        <f t="shared" si="27"/>
        <v>0</v>
      </c>
      <c r="CM40" s="10"/>
      <c r="CT40" s="39"/>
      <c r="CV40" s="47" t="s">
        <v>9</v>
      </c>
      <c r="CW40" s="66">
        <v>3.3</v>
      </c>
      <c r="CX40" s="66"/>
      <c r="CY40" s="56">
        <f t="shared" si="32"/>
        <v>-3.3</v>
      </c>
      <c r="DC40" s="39"/>
    </row>
    <row r="41" spans="2:107">
      <c r="B41" s="5">
        <v>46060</v>
      </c>
      <c r="C41" s="23">
        <f>IF([1]AIX!H42=0,"",[1]AIX!H42)</f>
        <v>16195.72</v>
      </c>
      <c r="D41" s="22">
        <f t="shared" si="0"/>
        <v>16195.72</v>
      </c>
      <c r="E41" s="23">
        <f>IF([2]AIX!H43=0,"",[2]AIX!H43)</f>
        <v>16394.96</v>
      </c>
      <c r="F41" s="17">
        <f t="shared" si="1"/>
        <v>-0.10576099679393125</v>
      </c>
      <c r="G41" s="12" t="s">
        <v>52</v>
      </c>
      <c r="H41" s="7">
        <f>SUM(C261:C267)</f>
        <v>89541.959999999992</v>
      </c>
      <c r="I41" s="7" t="str">
        <f>IF(SUM(E260:E266)=0,"",SUM(E260:E266))</f>
        <v/>
      </c>
      <c r="J41" s="17" t="str">
        <f t="shared" si="15"/>
        <v/>
      </c>
      <c r="R41" s="39"/>
      <c r="T41" s="5">
        <v>46060</v>
      </c>
      <c r="U41" s="23">
        <f>IF([1]AIX!I42=0,"",[1]AIX!I42)</f>
        <v>16005.41</v>
      </c>
      <c r="V41" s="22">
        <f t="shared" si="3"/>
        <v>16005.41</v>
      </c>
      <c r="W41" s="23">
        <f>IF([2]AIX!I43=0,"",[2]AIX!I43)</f>
        <v>16088.51</v>
      </c>
      <c r="X41" s="17">
        <f t="shared" si="4"/>
        <v>-0.10797941675634815</v>
      </c>
      <c r="Y41" s="12" t="s">
        <v>52</v>
      </c>
      <c r="Z41" s="7">
        <f>SUM(U261:U267)</f>
        <v>88157.74</v>
      </c>
      <c r="AA41" s="7" t="str">
        <f>IF(SUM(W260:W266)=0,"",SUM(W260:W266))</f>
        <v/>
      </c>
      <c r="AB41" s="17" t="str">
        <f t="shared" si="17"/>
        <v/>
      </c>
      <c r="AJ41" s="39"/>
      <c r="AL41" s="5">
        <v>46060</v>
      </c>
      <c r="AM41" s="23">
        <f>IF([1]AIX!J42=0,"",[1]AIX!J42)</f>
        <v>878</v>
      </c>
      <c r="AN41" s="22">
        <f t="shared" si="6"/>
        <v>878</v>
      </c>
      <c r="AO41" s="23">
        <f>IF([2]AIX!J43=0,"",[2]AIX!J43)</f>
        <v>863</v>
      </c>
      <c r="AP41" s="17">
        <f t="shared" si="7"/>
        <v>-0.15640273704789831</v>
      </c>
      <c r="AQ41" s="12" t="s">
        <v>52</v>
      </c>
      <c r="AR41" s="7">
        <f>SUM(AM261:AM267)</f>
        <v>5336</v>
      </c>
      <c r="AS41" s="7" t="str">
        <f>IF(SUM(AO260:AO266)=0,"",SUM(AO260:AO266))</f>
        <v/>
      </c>
      <c r="AT41" s="17" t="str">
        <f t="shared" si="19"/>
        <v/>
      </c>
      <c r="BB41" s="39"/>
      <c r="BD41" s="5">
        <v>46060</v>
      </c>
      <c r="BE41" s="42">
        <f t="shared" si="21"/>
        <v>18.446150341685648</v>
      </c>
      <c r="BF41" s="22">
        <f t="shared" si="9"/>
        <v>18.446150341685648</v>
      </c>
      <c r="BG41" s="42">
        <f t="shared" si="22"/>
        <v>18.997636152954808</v>
      </c>
      <c r="BH41" s="17">
        <f t="shared" si="10"/>
        <v>6.003070716084391E-2</v>
      </c>
      <c r="BI41" s="12" t="s">
        <v>52</v>
      </c>
      <c r="BJ41" s="45">
        <f t="shared" si="30"/>
        <v>16.780727136431782</v>
      </c>
      <c r="BK41" s="45" t="str">
        <f t="shared" si="30"/>
        <v/>
      </c>
      <c r="BL41" s="17" t="str">
        <f t="shared" si="23"/>
        <v/>
      </c>
      <c r="BT41" s="39"/>
      <c r="BV41" s="47" t="s">
        <v>52</v>
      </c>
      <c r="BW41" s="45"/>
      <c r="BX41" s="45"/>
      <c r="BY41" s="50">
        <f t="shared" si="25"/>
        <v>0</v>
      </c>
      <c r="BZ41" s="10"/>
      <c r="CG41" s="39"/>
      <c r="CI41" s="47" t="s">
        <v>52</v>
      </c>
      <c r="CJ41" s="45"/>
      <c r="CK41" s="45"/>
      <c r="CL41" s="50">
        <f t="shared" si="27"/>
        <v>0</v>
      </c>
      <c r="CM41" s="10"/>
      <c r="CT41" s="39"/>
      <c r="CV41" s="47" t="s">
        <v>10</v>
      </c>
      <c r="CW41" s="66">
        <v>3.8</v>
      </c>
      <c r="CX41" s="66"/>
      <c r="CY41" s="56">
        <f t="shared" si="32"/>
        <v>-3.8</v>
      </c>
      <c r="DC41" s="39"/>
    </row>
    <row r="42" spans="2:107">
      <c r="B42" s="5">
        <v>46061</v>
      </c>
      <c r="C42" s="23">
        <f>IF([1]AIX!H43=0,"",[1]AIX!H43)</f>
        <v>18333.98</v>
      </c>
      <c r="D42" s="22">
        <f t="shared" si="0"/>
        <v>18333.98</v>
      </c>
      <c r="E42" s="24">
        <f>IF([2]AIX!H44=0,"",[2]AIX!H44)</f>
        <v>18012.2</v>
      </c>
      <c r="F42" s="17">
        <f t="shared" si="1"/>
        <v>-2.7969578786097959E-2</v>
      </c>
      <c r="G42" s="12" t="s">
        <v>53</v>
      </c>
      <c r="H42" s="7">
        <f>SUM(C268:C274)</f>
        <v>80900.08</v>
      </c>
      <c r="I42" s="7" t="str">
        <f>IF(SUM(E267:E273)=0,"",SUM(E267:E273))</f>
        <v/>
      </c>
      <c r="J42" s="17" t="str">
        <f t="shared" si="15"/>
        <v/>
      </c>
      <c r="R42" s="39"/>
      <c r="T42" s="5">
        <v>46061</v>
      </c>
      <c r="U42" s="23">
        <f>IF([1]AIX!I43=0,"",[1]AIX!I43)</f>
        <v>18036.03</v>
      </c>
      <c r="V42" s="22">
        <f t="shared" si="3"/>
        <v>18036.03</v>
      </c>
      <c r="W42" s="24">
        <f>IF([2]AIX!I44=0,"",[2]AIX!I44)</f>
        <v>17633.82</v>
      </c>
      <c r="X42" s="17">
        <f t="shared" si="4"/>
        <v>-3.1712640743272624E-2</v>
      </c>
      <c r="Y42" s="12" t="s">
        <v>53</v>
      </c>
      <c r="Z42" s="7">
        <f>SUM(U268:U274)</f>
        <v>79041.56</v>
      </c>
      <c r="AA42" s="7" t="str">
        <f>IF(SUM(W267:W273)=0,"",SUM(W267:W273))</f>
        <v/>
      </c>
      <c r="AB42" s="17" t="str">
        <f t="shared" si="17"/>
        <v/>
      </c>
      <c r="AJ42" s="39"/>
      <c r="AL42" s="5">
        <v>46061</v>
      </c>
      <c r="AM42" s="23">
        <f>IF([1]AIX!J43=0,"",[1]AIX!J43)</f>
        <v>1023</v>
      </c>
      <c r="AN42" s="22">
        <f t="shared" si="6"/>
        <v>1023</v>
      </c>
      <c r="AO42" s="24">
        <f>IF([2]AIX!J44=0,"",[2]AIX!J44)</f>
        <v>950</v>
      </c>
      <c r="AP42" s="17">
        <f t="shared" si="7"/>
        <v>-8.0348499515972893E-2</v>
      </c>
      <c r="AQ42" s="12" t="s">
        <v>53</v>
      </c>
      <c r="AR42" s="7">
        <f>SUM(AM268:AM274)</f>
        <v>4657</v>
      </c>
      <c r="AS42" s="7" t="str">
        <f>IF(SUM(AO267:AO273)=0,"",SUM(AO267:AO273))</f>
        <v/>
      </c>
      <c r="AT42" s="17" t="str">
        <f t="shared" si="19"/>
        <v/>
      </c>
      <c r="BB42" s="39"/>
      <c r="BD42" s="5">
        <v>46061</v>
      </c>
      <c r="BE42" s="42">
        <f t="shared" si="21"/>
        <v>17.92177908113392</v>
      </c>
      <c r="BF42" s="22">
        <f t="shared" si="9"/>
        <v>17.92177908113392</v>
      </c>
      <c r="BG42" s="43">
        <f t="shared" si="22"/>
        <v>18.960210526315791</v>
      </c>
      <c r="BH42" s="17">
        <f t="shared" si="10"/>
        <v>5.6955184330484965E-2</v>
      </c>
      <c r="BI42" s="12" t="s">
        <v>53</v>
      </c>
      <c r="BJ42" s="45">
        <f t="shared" si="30"/>
        <v>17.371715696800514</v>
      </c>
      <c r="BK42" s="45" t="str">
        <f t="shared" si="30"/>
        <v/>
      </c>
      <c r="BL42" s="17" t="str">
        <f t="shared" si="23"/>
        <v/>
      </c>
      <c r="BT42" s="39"/>
      <c r="BV42" s="47" t="s">
        <v>53</v>
      </c>
      <c r="BW42" s="45"/>
      <c r="BX42" s="45"/>
      <c r="BY42" s="50">
        <f t="shared" si="25"/>
        <v>0</v>
      </c>
      <c r="BZ42" s="10"/>
      <c r="CG42" s="39"/>
      <c r="CI42" s="47" t="s">
        <v>53</v>
      </c>
      <c r="CJ42" s="45"/>
      <c r="CK42" s="45"/>
      <c r="CL42" s="50">
        <f t="shared" si="27"/>
        <v>0</v>
      </c>
      <c r="CM42" s="10"/>
      <c r="CT42" s="39"/>
      <c r="CV42" s="47" t="s">
        <v>11</v>
      </c>
      <c r="CW42" s="66">
        <v>4</v>
      </c>
      <c r="CX42" s="66"/>
      <c r="CY42" s="56">
        <f t="shared" si="32"/>
        <v>-4</v>
      </c>
      <c r="DC42" s="39"/>
    </row>
    <row r="43" spans="2:107">
      <c r="B43" s="5">
        <v>46062</v>
      </c>
      <c r="C43" s="24">
        <f>IF([1]AIX!H44=0,"",[1]AIX!H44)</f>
        <v>18530.490000000002</v>
      </c>
      <c r="D43" s="22">
        <f t="shared" si="0"/>
        <v>18530.490000000002</v>
      </c>
      <c r="E43" s="21">
        <f>IF([2]AIX!H45=0,"",[2]AIX!H45)</f>
        <v>10611.56</v>
      </c>
      <c r="F43" s="17">
        <f t="shared" si="1"/>
        <v>0.36267862462888201</v>
      </c>
      <c r="G43" s="12" t="s">
        <v>54</v>
      </c>
      <c r="H43" s="7">
        <f>SUM(C275:C281)</f>
        <v>93163.010000000009</v>
      </c>
      <c r="I43" s="7" t="str">
        <f>IF(SUM(E274:E280)=0,"",SUM(E274:E280))</f>
        <v/>
      </c>
      <c r="J43" s="17" t="str">
        <f t="shared" si="15"/>
        <v/>
      </c>
      <c r="R43" s="39"/>
      <c r="T43" s="5">
        <v>46062</v>
      </c>
      <c r="U43" s="24">
        <f>IF([1]AIX!I44=0,"",[1]AIX!I44)</f>
        <v>18211.349999999999</v>
      </c>
      <c r="V43" s="22">
        <f t="shared" si="3"/>
        <v>18211.349999999999</v>
      </c>
      <c r="W43" s="21">
        <f>IF([2]AIX!I45=0,"",[2]AIX!I45)</f>
        <v>10380.219999999999</v>
      </c>
      <c r="X43" s="17">
        <f t="shared" si="4"/>
        <v>0.3514925994979532</v>
      </c>
      <c r="Y43" s="12" t="s">
        <v>54</v>
      </c>
      <c r="Z43" s="7">
        <f>SUM(U275:U281)</f>
        <v>91118.720000000001</v>
      </c>
      <c r="AA43" s="7" t="str">
        <f>IF(SUM(W274:W280)=0,"",SUM(W274:W280))</f>
        <v/>
      </c>
      <c r="AB43" s="17" t="str">
        <f t="shared" si="17"/>
        <v/>
      </c>
      <c r="AJ43" s="39"/>
      <c r="AL43" s="5">
        <v>46062</v>
      </c>
      <c r="AM43" s="24">
        <f>IF([1]AIX!J44=0,"",[1]AIX!J44)</f>
        <v>1033</v>
      </c>
      <c r="AN43" s="22">
        <f t="shared" si="6"/>
        <v>1033</v>
      </c>
      <c r="AO43" s="21">
        <f>IF([2]AIX!J45=0,"",[2]AIX!J45)</f>
        <v>637</v>
      </c>
      <c r="AP43" s="17">
        <f t="shared" si="7"/>
        <v>0.30000000000000004</v>
      </c>
      <c r="AQ43" s="12" t="s">
        <v>54</v>
      </c>
      <c r="AR43" s="7">
        <f>SUM(AM275:AM281)</f>
        <v>5264</v>
      </c>
      <c r="AS43" s="7" t="str">
        <f>IF(SUM(AO274:AO280)=0,"",SUM(AO274:AO280))</f>
        <v/>
      </c>
      <c r="AT43" s="17" t="str">
        <f t="shared" si="19"/>
        <v/>
      </c>
      <c r="BB43" s="39"/>
      <c r="BD43" s="5">
        <v>46062</v>
      </c>
      <c r="BE43" s="43">
        <f t="shared" si="21"/>
        <v>17.938518877057117</v>
      </c>
      <c r="BF43" s="22">
        <f t="shared" si="9"/>
        <v>17.938518877057117</v>
      </c>
      <c r="BG43" s="41">
        <f t="shared" si="22"/>
        <v>16.658649921507063</v>
      </c>
      <c r="BH43" s="17">
        <f t="shared" si="10"/>
        <v>4.8214326637601612E-2</v>
      </c>
      <c r="BI43" s="12" t="s">
        <v>54</v>
      </c>
      <c r="BJ43" s="45">
        <f t="shared" si="30"/>
        <v>17.698140197568392</v>
      </c>
      <c r="BK43" s="45" t="str">
        <f t="shared" si="30"/>
        <v/>
      </c>
      <c r="BL43" s="17" t="str">
        <f t="shared" si="23"/>
        <v/>
      </c>
      <c r="BT43" s="39"/>
      <c r="BV43" s="47" t="s">
        <v>54</v>
      </c>
      <c r="BW43" s="45"/>
      <c r="BX43" s="45"/>
      <c r="BY43" s="50">
        <f t="shared" si="25"/>
        <v>0</v>
      </c>
      <c r="BZ43" s="10"/>
      <c r="CG43" s="39"/>
      <c r="CI43" s="47" t="s">
        <v>54</v>
      </c>
      <c r="CJ43" s="45"/>
      <c r="CK43" s="45"/>
      <c r="CL43" s="50">
        <f t="shared" si="27"/>
        <v>0</v>
      </c>
      <c r="CM43" s="10"/>
      <c r="CT43" s="39"/>
      <c r="CV43" s="47" t="s">
        <v>12</v>
      </c>
      <c r="CW43" s="66">
        <v>3.7</v>
      </c>
      <c r="CX43" s="66"/>
      <c r="CY43" s="56">
        <f t="shared" si="32"/>
        <v>-3.7</v>
      </c>
      <c r="DC43" s="39"/>
    </row>
    <row r="44" spans="2:107">
      <c r="B44" s="5">
        <v>46063</v>
      </c>
      <c r="C44" s="21">
        <f>IF([1]AIX!H45=0,"",[1]AIX!H45)</f>
        <v>7787.28</v>
      </c>
      <c r="D44" s="22">
        <f t="shared" si="0"/>
        <v>7787.28</v>
      </c>
      <c r="E44" s="23">
        <f>IF([2]AIX!H46=0,"",[2]AIX!H46)</f>
        <v>11555.47</v>
      </c>
      <c r="F44" s="17">
        <f t="shared" si="1"/>
        <v>0.2284088420578172</v>
      </c>
      <c r="G44" s="12" t="s">
        <v>55</v>
      </c>
      <c r="H44" s="7">
        <f>SUM(C282:C288)</f>
        <v>91581.59</v>
      </c>
      <c r="I44" s="7" t="str">
        <f>IF(SUM(E281:E287)=0,"",SUM(E281:E287))</f>
        <v/>
      </c>
      <c r="J44" s="17" t="str">
        <f t="shared" si="15"/>
        <v/>
      </c>
      <c r="R44" s="39"/>
      <c r="T44" s="5">
        <v>46063</v>
      </c>
      <c r="U44" s="21">
        <f>IF([1]AIX!I45=0,"",[1]AIX!I45)</f>
        <v>7680.56</v>
      </c>
      <c r="V44" s="22">
        <f t="shared" si="3"/>
        <v>7680.56</v>
      </c>
      <c r="W44" s="23">
        <f>IF([2]AIX!I46=0,"",[2]AIX!I46)</f>
        <v>11214.05</v>
      </c>
      <c r="X44" s="17">
        <f t="shared" si="4"/>
        <v>0.21501458357711534</v>
      </c>
      <c r="Y44" s="12" t="s">
        <v>55</v>
      </c>
      <c r="Z44" s="7">
        <f>SUM(U282:U288)</f>
        <v>89912.739999999991</v>
      </c>
      <c r="AA44" s="7" t="str">
        <f>IF(SUM(W281:W287)=0,"",SUM(W281:W287))</f>
        <v/>
      </c>
      <c r="AB44" s="17" t="str">
        <f t="shared" si="17"/>
        <v/>
      </c>
      <c r="AJ44" s="39"/>
      <c r="AL44" s="5">
        <v>46063</v>
      </c>
      <c r="AM44" s="21">
        <f>IF([1]AIX!J45=0,"",[1]AIX!J45)</f>
        <v>490</v>
      </c>
      <c r="AN44" s="22">
        <f t="shared" si="6"/>
        <v>490</v>
      </c>
      <c r="AO44" s="23">
        <f>IF([2]AIX!J46=0,"",[2]AIX!J46)</f>
        <v>676</v>
      </c>
      <c r="AP44" s="17">
        <f t="shared" si="7"/>
        <v>0.23132969034608375</v>
      </c>
      <c r="AQ44" s="12" t="s">
        <v>55</v>
      </c>
      <c r="AR44" s="7">
        <f>SUM(AM282:AM288)</f>
        <v>5222</v>
      </c>
      <c r="AS44" s="7" t="str">
        <f>IF(SUM(AO281:AO287)=0,"",SUM(AO281:AO287))</f>
        <v/>
      </c>
      <c r="AT44" s="17" t="str">
        <f t="shared" si="19"/>
        <v/>
      </c>
      <c r="BB44" s="39"/>
      <c r="BD44" s="5">
        <v>46063</v>
      </c>
      <c r="BE44" s="41">
        <f t="shared" si="21"/>
        <v>15.892408163265305</v>
      </c>
      <c r="BF44" s="22">
        <f t="shared" si="9"/>
        <v>15.892408163265305</v>
      </c>
      <c r="BG44" s="42">
        <f t="shared" si="22"/>
        <v>17.093890532544378</v>
      </c>
      <c r="BH44" s="17">
        <f t="shared" si="10"/>
        <v>-2.3721090388436616E-3</v>
      </c>
      <c r="BI44" s="12" t="s">
        <v>55</v>
      </c>
      <c r="BJ44" s="45">
        <f t="shared" si="30"/>
        <v>17.537646495595556</v>
      </c>
      <c r="BK44" s="45" t="str">
        <f t="shared" si="30"/>
        <v/>
      </c>
      <c r="BL44" s="17" t="str">
        <f t="shared" si="23"/>
        <v/>
      </c>
      <c r="BT44" s="39"/>
      <c r="BV44" s="47" t="s">
        <v>55</v>
      </c>
      <c r="BW44" s="45"/>
      <c r="BX44" s="45"/>
      <c r="BY44" s="50">
        <f t="shared" si="25"/>
        <v>0</v>
      </c>
      <c r="BZ44" s="10"/>
      <c r="CG44" s="39"/>
      <c r="CI44" s="47" t="s">
        <v>55</v>
      </c>
      <c r="CJ44" s="45"/>
      <c r="CK44" s="45"/>
      <c r="CL44" s="50">
        <f t="shared" si="27"/>
        <v>0</v>
      </c>
      <c r="CM44" s="10"/>
      <c r="CT44" s="39"/>
      <c r="CV44" s="47" t="s">
        <v>13</v>
      </c>
      <c r="CW44" s="66">
        <v>3.8</v>
      </c>
      <c r="CX44" s="66"/>
      <c r="CY44" s="56">
        <f t="shared" si="32"/>
        <v>-3.8</v>
      </c>
      <c r="DC44" s="39"/>
    </row>
    <row r="45" spans="2:107" ht="18" thickBot="1">
      <c r="B45" s="5">
        <v>46064</v>
      </c>
      <c r="C45" s="23">
        <f>IF([1]AIX!H46=0,"",[1]AIX!H46)</f>
        <v>9406.86</v>
      </c>
      <c r="D45" s="22">
        <f t="shared" si="0"/>
        <v>9406.86</v>
      </c>
      <c r="E45" s="23">
        <f>IF([2]AIX!H47=0,"",[2]AIX!H47)</f>
        <v>12312.46</v>
      </c>
      <c r="F45" s="17">
        <f t="shared" si="1"/>
        <v>6.7812955854625878E-2</v>
      </c>
      <c r="G45" s="12" t="s">
        <v>56</v>
      </c>
      <c r="H45" s="7">
        <f>SUM(C289:C295)</f>
        <v>88243.54</v>
      </c>
      <c r="I45" s="7" t="str">
        <f>IF(SUM(E288:E294)=0,"",SUM(E288:E294))</f>
        <v/>
      </c>
      <c r="J45" s="17" t="str">
        <f t="shared" si="15"/>
        <v/>
      </c>
      <c r="R45" s="39"/>
      <c r="T45" s="5">
        <v>46064</v>
      </c>
      <c r="U45" s="23">
        <f>IF([1]AIX!I46=0,"",[1]AIX!I46)</f>
        <v>9229.56</v>
      </c>
      <c r="V45" s="22">
        <f t="shared" si="3"/>
        <v>9229.56</v>
      </c>
      <c r="W45" s="23">
        <f>IF([2]AIX!I47=0,"",[2]AIX!I47)</f>
        <v>12086.31</v>
      </c>
      <c r="X45" s="17">
        <f t="shared" si="4"/>
        <v>6.4983848541081857E-2</v>
      </c>
      <c r="Y45" s="12" t="s">
        <v>56</v>
      </c>
      <c r="Z45" s="7">
        <f>SUM(U289:U295)</f>
        <v>86707.26999999999</v>
      </c>
      <c r="AA45" s="7" t="str">
        <f>IF(SUM(W288:W294)=0,"",SUM(W288:W294))</f>
        <v/>
      </c>
      <c r="AB45" s="17" t="str">
        <f t="shared" si="17"/>
        <v/>
      </c>
      <c r="AJ45" s="39"/>
      <c r="AL45" s="5">
        <v>46064</v>
      </c>
      <c r="AM45" s="23">
        <f>IF([1]AIX!J46=0,"",[1]AIX!J46)</f>
        <v>549</v>
      </c>
      <c r="AN45" s="22">
        <f t="shared" si="6"/>
        <v>549</v>
      </c>
      <c r="AO45" s="23">
        <f>IF([2]AIX!J47=0,"",[2]AIX!J47)</f>
        <v>676</v>
      </c>
      <c r="AP45" s="17">
        <f t="shared" si="7"/>
        <v>-1.4577259475218707E-2</v>
      </c>
      <c r="AQ45" s="12" t="s">
        <v>56</v>
      </c>
      <c r="AR45" s="7">
        <f>SUM(AM289:AM295)</f>
        <v>5080</v>
      </c>
      <c r="AS45" s="7" t="str">
        <f>IF(SUM(AO288:AO294)=0,"",SUM(AO288:AO294))</f>
        <v/>
      </c>
      <c r="AT45" s="17" t="str">
        <f t="shared" si="19"/>
        <v/>
      </c>
      <c r="BB45" s="39"/>
      <c r="BD45" s="5">
        <v>46064</v>
      </c>
      <c r="BE45" s="42">
        <f t="shared" si="21"/>
        <v>17.134535519125684</v>
      </c>
      <c r="BF45" s="22">
        <f t="shared" si="9"/>
        <v>17.134535519125684</v>
      </c>
      <c r="BG45" s="42">
        <f t="shared" si="22"/>
        <v>18.21369822485207</v>
      </c>
      <c r="BH45" s="17">
        <f t="shared" si="10"/>
        <v>8.3609005497445876E-2</v>
      </c>
      <c r="BI45" s="12" t="s">
        <v>56</v>
      </c>
      <c r="BJ45" s="45">
        <f t="shared" si="30"/>
        <v>17.37077559055118</v>
      </c>
      <c r="BK45" s="45" t="str">
        <f t="shared" si="30"/>
        <v/>
      </c>
      <c r="BL45" s="17" t="str">
        <f t="shared" si="23"/>
        <v/>
      </c>
      <c r="BT45" s="39"/>
      <c r="BV45" s="47" t="s">
        <v>56</v>
      </c>
      <c r="BW45" s="45"/>
      <c r="BX45" s="45"/>
      <c r="BY45" s="50">
        <f t="shared" si="25"/>
        <v>0</v>
      </c>
      <c r="BZ45" s="10"/>
      <c r="CG45" s="39"/>
      <c r="CI45" s="47" t="s">
        <v>56</v>
      </c>
      <c r="CJ45" s="45"/>
      <c r="CK45" s="45"/>
      <c r="CL45" s="50">
        <f t="shared" si="27"/>
        <v>0</v>
      </c>
      <c r="CM45" s="10"/>
      <c r="CT45" s="39"/>
      <c r="CV45" s="48" t="s">
        <v>14</v>
      </c>
      <c r="CW45" s="67">
        <v>3.7</v>
      </c>
      <c r="CX45" s="67"/>
      <c r="CY45" s="57">
        <f t="shared" si="32"/>
        <v>-3.7</v>
      </c>
      <c r="CZ45" s="9"/>
      <c r="DA45" s="9"/>
      <c r="DB45" s="9"/>
      <c r="DC45" s="40"/>
    </row>
    <row r="46" spans="2:107">
      <c r="B46" s="5">
        <v>46065</v>
      </c>
      <c r="C46" s="23">
        <f>IF([1]AIX!H47=0,"",[1]AIX!H47)</f>
        <v>11530.54</v>
      </c>
      <c r="D46" s="22">
        <f t="shared" si="0"/>
        <v>11530.54</v>
      </c>
      <c r="E46" s="23">
        <f>IF([2]AIX!H48=0,"",[2]AIX!H48)</f>
        <v>12965.91</v>
      </c>
      <c r="F46" s="17">
        <f t="shared" si="1"/>
        <v>0.36938620106226927</v>
      </c>
      <c r="G46" s="12" t="s">
        <v>57</v>
      </c>
      <c r="H46" s="7">
        <f>SUM(C296:C302)</f>
        <v>90671.01</v>
      </c>
      <c r="I46" s="7" t="str">
        <f>IF(SUM(E295:E301)=0,"",SUM(E295:E301))</f>
        <v/>
      </c>
      <c r="J46" s="17" t="str">
        <f t="shared" si="15"/>
        <v/>
      </c>
      <c r="R46" s="39"/>
      <c r="T46" s="5">
        <v>46065</v>
      </c>
      <c r="U46" s="23">
        <f>IF([1]AIX!I47=0,"",[1]AIX!I47)</f>
        <v>11348.82</v>
      </c>
      <c r="V46" s="22">
        <f t="shared" si="3"/>
        <v>11348.82</v>
      </c>
      <c r="W46" s="23">
        <f>IF([2]AIX!I48=0,"",[2]AIX!I48)</f>
        <v>12660.55</v>
      </c>
      <c r="X46" s="17">
        <f t="shared" si="4"/>
        <v>0.36621495044718388</v>
      </c>
      <c r="Y46" s="12" t="s">
        <v>57</v>
      </c>
      <c r="Z46" s="7">
        <f>SUM(U296:U302)</f>
        <v>89001.170000000013</v>
      </c>
      <c r="AA46" s="7" t="str">
        <f>IF(SUM(W295:W301)=0,"",SUM(W295:W301))</f>
        <v/>
      </c>
      <c r="AB46" s="17" t="str">
        <f t="shared" si="17"/>
        <v/>
      </c>
      <c r="AJ46" s="39"/>
      <c r="AL46" s="5">
        <v>46065</v>
      </c>
      <c r="AM46" s="23">
        <f>IF([1]AIX!J47=0,"",[1]AIX!J47)</f>
        <v>686</v>
      </c>
      <c r="AN46" s="22">
        <f t="shared" si="6"/>
        <v>686</v>
      </c>
      <c r="AO46" s="23">
        <f>IF([2]AIX!J48=0,"",[2]AIX!J48)</f>
        <v>670</v>
      </c>
      <c r="AP46" s="17">
        <f t="shared" si="7"/>
        <v>9.6563011456628489E-2</v>
      </c>
      <c r="AQ46" s="12" t="s">
        <v>57</v>
      </c>
      <c r="AR46" s="7">
        <f>SUM(AM296:AM302)</f>
        <v>5058</v>
      </c>
      <c r="AS46" s="7" t="str">
        <f>IF(SUM(AO295:AO301)=0,"",SUM(AO295:AO301))</f>
        <v/>
      </c>
      <c r="AT46" s="17" t="str">
        <f t="shared" si="19"/>
        <v/>
      </c>
      <c r="BB46" s="39"/>
      <c r="BD46" s="5">
        <v>46065</v>
      </c>
      <c r="BE46" s="42">
        <f t="shared" si="21"/>
        <v>16.808367346938777</v>
      </c>
      <c r="BF46" s="22">
        <f t="shared" si="9"/>
        <v>16.808367346938777</v>
      </c>
      <c r="BG46" s="42">
        <f t="shared" si="22"/>
        <v>19.352104477611942</v>
      </c>
      <c r="BH46" s="17">
        <f t="shared" si="10"/>
        <v>0.24879846096872615</v>
      </c>
      <c r="BI46" s="12" t="s">
        <v>57</v>
      </c>
      <c r="BJ46" s="45">
        <f t="shared" si="30"/>
        <v>17.926257413997625</v>
      </c>
      <c r="BK46" s="45" t="str">
        <f t="shared" si="30"/>
        <v/>
      </c>
      <c r="BL46" s="17" t="str">
        <f t="shared" si="23"/>
        <v/>
      </c>
      <c r="BT46" s="39"/>
      <c r="BV46" s="47" t="s">
        <v>57</v>
      </c>
      <c r="BW46" s="45"/>
      <c r="BX46" s="45"/>
      <c r="BY46" s="50">
        <f t="shared" si="25"/>
        <v>0</v>
      </c>
      <c r="BZ46" s="10"/>
      <c r="CG46" s="39"/>
      <c r="CI46" s="47" t="s">
        <v>57</v>
      </c>
      <c r="CJ46" s="45"/>
      <c r="CK46" s="45"/>
      <c r="CL46" s="50">
        <f t="shared" si="27"/>
        <v>0</v>
      </c>
      <c r="CM46" s="10"/>
      <c r="CT46" s="39"/>
    </row>
    <row r="47" spans="2:107">
      <c r="B47" s="5">
        <v>46066</v>
      </c>
      <c r="C47" s="23">
        <f>IF([1]AIX!H48=0,"",[1]AIX!H48)</f>
        <v>9468.41</v>
      </c>
      <c r="D47" s="22">
        <f t="shared" si="0"/>
        <v>9468.41</v>
      </c>
      <c r="E47" s="23">
        <f>IF([2]AIX!H49=0,"",[2]AIX!H49)</f>
        <v>17683.96</v>
      </c>
      <c r="F47" s="17">
        <f t="shared" si="1"/>
        <v>6.3263222577499167E-2</v>
      </c>
      <c r="G47" s="12" t="s">
        <v>58</v>
      </c>
      <c r="H47" s="7">
        <f>SUM(C303:C309)</f>
        <v>94760.670000000013</v>
      </c>
      <c r="I47" s="7" t="str">
        <f>IF(SUM(E302:E308)=0,"",SUM(E302:E308))</f>
        <v/>
      </c>
      <c r="J47" s="17" t="str">
        <f t="shared" si="15"/>
        <v/>
      </c>
      <c r="R47" s="39"/>
      <c r="T47" s="5">
        <v>46066</v>
      </c>
      <c r="U47" s="23">
        <f>IF([1]AIX!I48=0,"",[1]AIX!I48)</f>
        <v>9266.8799999999992</v>
      </c>
      <c r="V47" s="22">
        <f t="shared" si="3"/>
        <v>9266.8799999999992</v>
      </c>
      <c r="W47" s="23">
        <f>IF([2]AIX!I49=0,"",[2]AIX!I49)</f>
        <v>17299.2</v>
      </c>
      <c r="X47" s="17">
        <f t="shared" si="4"/>
        <v>5.23056596588789E-2</v>
      </c>
      <c r="Y47" s="12" t="s">
        <v>58</v>
      </c>
      <c r="Z47" s="7">
        <f>SUM(U303:U309)</f>
        <v>92888.099999999991</v>
      </c>
      <c r="AA47" s="7" t="str">
        <f>IF(SUM(W302:W308)=0,"",SUM(W302:W308))</f>
        <v/>
      </c>
      <c r="AB47" s="17" t="str">
        <f t="shared" si="17"/>
        <v/>
      </c>
      <c r="AJ47" s="39"/>
      <c r="AL47" s="5">
        <v>46066</v>
      </c>
      <c r="AM47" s="23">
        <f>IF([1]AIX!J48=0,"",[1]AIX!J48)</f>
        <v>611</v>
      </c>
      <c r="AN47" s="22">
        <f t="shared" si="6"/>
        <v>611</v>
      </c>
      <c r="AO47" s="23">
        <f>IF([2]AIX!J49=0,"",[2]AIX!J49)</f>
        <v>990</v>
      </c>
      <c r="AP47" s="17">
        <f t="shared" si="7"/>
        <v>3.3402922755741082E-2</v>
      </c>
      <c r="AQ47" s="12" t="s">
        <v>58</v>
      </c>
      <c r="AR47" s="7">
        <f>SUM(AM303:AM309)</f>
        <v>5288</v>
      </c>
      <c r="AS47" s="7" t="str">
        <f>IF(SUM(AO302:AO308)=0,"",SUM(AO302:AO308))</f>
        <v/>
      </c>
      <c r="AT47" s="17" t="str">
        <f t="shared" si="19"/>
        <v/>
      </c>
      <c r="BB47" s="39"/>
      <c r="BD47" s="5">
        <v>46066</v>
      </c>
      <c r="BE47" s="42">
        <f t="shared" si="21"/>
        <v>15.49657937806874</v>
      </c>
      <c r="BF47" s="22">
        <f t="shared" si="9"/>
        <v>15.49657937806874</v>
      </c>
      <c r="BG47" s="42">
        <f t="shared" si="22"/>
        <v>17.862585858585859</v>
      </c>
      <c r="BH47" s="17">
        <f t="shared" si="10"/>
        <v>2.8895118413378107E-2</v>
      </c>
      <c r="BI47" s="12" t="s">
        <v>58</v>
      </c>
      <c r="BJ47" s="45">
        <f t="shared" si="30"/>
        <v>17.919945158850229</v>
      </c>
      <c r="BK47" s="45" t="str">
        <f t="shared" si="30"/>
        <v/>
      </c>
      <c r="BL47" s="17" t="str">
        <f t="shared" si="23"/>
        <v/>
      </c>
      <c r="BT47" s="39"/>
      <c r="BV47" s="47" t="s">
        <v>58</v>
      </c>
      <c r="BW47" s="45"/>
      <c r="BX47" s="45"/>
      <c r="BY47" s="50">
        <f t="shared" si="25"/>
        <v>0</v>
      </c>
      <c r="BZ47" s="10"/>
      <c r="CG47" s="39"/>
      <c r="CI47" s="47" t="s">
        <v>58</v>
      </c>
      <c r="CJ47" s="45"/>
      <c r="CK47" s="45"/>
      <c r="CL47" s="50">
        <f t="shared" si="27"/>
        <v>0</v>
      </c>
      <c r="CM47" s="10"/>
      <c r="CT47" s="39"/>
    </row>
    <row r="48" spans="2:107">
      <c r="B48" s="5">
        <v>46067</v>
      </c>
      <c r="C48" s="23">
        <f>IF([1]AIX!H49=0,"",[1]AIX!H49)</f>
        <v>16631.78</v>
      </c>
      <c r="D48" s="22">
        <f t="shared" si="0"/>
        <v>16631.78</v>
      </c>
      <c r="E48" s="23">
        <f>IF([2]AIX!H50=0,"",[2]AIX!H50)</f>
        <v>18595.38</v>
      </c>
      <c r="F48" s="17">
        <f t="shared" si="1"/>
        <v>-0.11867814375940178</v>
      </c>
      <c r="G48" s="12" t="s">
        <v>59</v>
      </c>
      <c r="H48" s="7">
        <f>SUM(C310:C316)</f>
        <v>86046.260000000009</v>
      </c>
      <c r="I48" s="7" t="str">
        <f>IF(SUM(E309:E315)=0,"",SUM(E309:E315))</f>
        <v/>
      </c>
      <c r="J48" s="17" t="str">
        <f t="shared" si="15"/>
        <v/>
      </c>
      <c r="R48" s="39"/>
      <c r="T48" s="5">
        <v>46067</v>
      </c>
      <c r="U48" s="23">
        <f>IF([1]AIX!I49=0,"",[1]AIX!I49)</f>
        <v>16439.330000000002</v>
      </c>
      <c r="V48" s="22">
        <f t="shared" si="3"/>
        <v>16439.330000000002</v>
      </c>
      <c r="W48" s="23">
        <f>IF([2]AIX!I50=0,"",[2]AIX!I50)</f>
        <v>18283.419999999998</v>
      </c>
      <c r="X48" s="17">
        <f t="shared" si="4"/>
        <v>-0.12042361865469231</v>
      </c>
      <c r="Y48" s="12" t="s">
        <v>59</v>
      </c>
      <c r="Z48" s="7">
        <f>SUM(U310:U316)</f>
        <v>84481.150000000009</v>
      </c>
      <c r="AA48" s="7" t="str">
        <f>IF(SUM(W309:W315)=0,"",SUM(W309:W315))</f>
        <v/>
      </c>
      <c r="AB48" s="17" t="str">
        <f t="shared" si="17"/>
        <v/>
      </c>
      <c r="AJ48" s="39"/>
      <c r="AL48" s="5">
        <v>46067</v>
      </c>
      <c r="AM48" s="23">
        <f>IF([1]AIX!J49=0,"",[1]AIX!J49)</f>
        <v>958</v>
      </c>
      <c r="AN48" s="22">
        <f t="shared" si="6"/>
        <v>958</v>
      </c>
      <c r="AO48" s="23">
        <f>IF([2]AIX!J50=0,"",[2]AIX!J50)</f>
        <v>1021</v>
      </c>
      <c r="AP48" s="17">
        <f t="shared" si="7"/>
        <v>-0.11601731601731602</v>
      </c>
      <c r="AQ48" s="12" t="s">
        <v>59</v>
      </c>
      <c r="AR48" s="7">
        <f>SUM(AM310:AM316)</f>
        <v>5007</v>
      </c>
      <c r="AS48" s="7" t="str">
        <f>IF(SUM(AO309:AO315)=0,"",SUM(AO309:AO315))</f>
        <v/>
      </c>
      <c r="AT48" s="17" t="str">
        <f t="shared" si="19"/>
        <v/>
      </c>
      <c r="BB48" s="39"/>
      <c r="BD48" s="5">
        <v>46067</v>
      </c>
      <c r="BE48" s="42">
        <f t="shared" si="21"/>
        <v>17.360939457202505</v>
      </c>
      <c r="BF48" s="22">
        <f t="shared" si="9"/>
        <v>17.360939457202505</v>
      </c>
      <c r="BG48" s="42">
        <f t="shared" si="22"/>
        <v>18.21290891283056</v>
      </c>
      <c r="BH48" s="17">
        <f t="shared" si="10"/>
        <v>-3.010045095111713E-3</v>
      </c>
      <c r="BI48" s="12" t="s">
        <v>59</v>
      </c>
      <c r="BJ48" s="45">
        <f t="shared" si="30"/>
        <v>17.185192730177754</v>
      </c>
      <c r="BK48" s="45" t="str">
        <f t="shared" si="30"/>
        <v/>
      </c>
      <c r="BL48" s="17" t="str">
        <f t="shared" si="23"/>
        <v/>
      </c>
      <c r="BT48" s="39"/>
      <c r="BV48" s="47" t="s">
        <v>59</v>
      </c>
      <c r="BW48" s="45"/>
      <c r="BX48" s="45"/>
      <c r="BY48" s="50">
        <f t="shared" si="25"/>
        <v>0</v>
      </c>
      <c r="BZ48" s="10"/>
      <c r="CG48" s="39"/>
      <c r="CI48" s="47" t="s">
        <v>59</v>
      </c>
      <c r="CJ48" s="45"/>
      <c r="CK48" s="45"/>
      <c r="CL48" s="50">
        <f t="shared" si="27"/>
        <v>0</v>
      </c>
      <c r="CM48" s="10"/>
      <c r="CT48" s="39"/>
    </row>
    <row r="49" spans="2:98">
      <c r="B49" s="5">
        <v>46068</v>
      </c>
      <c r="C49" s="23">
        <f>IF([1]AIX!H50=0,"",[1]AIX!H50)</f>
        <v>21099.42</v>
      </c>
      <c r="D49" s="22">
        <f t="shared" si="0"/>
        <v>21099.42</v>
      </c>
      <c r="E49" s="24">
        <f>IF([2]AIX!H51=0,"",[2]AIX!H51)</f>
        <v>18424.82</v>
      </c>
      <c r="F49" s="17">
        <f t="shared" si="1"/>
        <v>-6.9587928208349692E-2</v>
      </c>
      <c r="G49" s="12" t="s">
        <v>60</v>
      </c>
      <c r="H49" s="7">
        <f>SUM(C317:C323)</f>
        <v>88705.17</v>
      </c>
      <c r="I49" s="7" t="str">
        <f>IF(SUM(E316:E322)=0,"",SUM(E316:E322))</f>
        <v/>
      </c>
      <c r="J49" s="17" t="str">
        <f t="shared" si="15"/>
        <v/>
      </c>
      <c r="R49" s="39"/>
      <c r="T49" s="5">
        <v>46068</v>
      </c>
      <c r="U49" s="23">
        <f>IF([1]AIX!I50=0,"",[1]AIX!I50)</f>
        <v>20786.62</v>
      </c>
      <c r="V49" s="22">
        <f t="shared" si="3"/>
        <v>20786.62</v>
      </c>
      <c r="W49" s="24">
        <f>IF([2]AIX!I51=0,"",[2]AIX!I51)</f>
        <v>18010.52</v>
      </c>
      <c r="X49" s="17">
        <f t="shared" si="4"/>
        <v>-7.3189658721337092E-2</v>
      </c>
      <c r="Y49" s="12" t="s">
        <v>60</v>
      </c>
      <c r="Z49" s="7">
        <f>SUM(U317:U323)</f>
        <v>86891.219999999987</v>
      </c>
      <c r="AA49" s="7" t="str">
        <f>IF(SUM(W316:W322)=0,"",SUM(W316:W322))</f>
        <v/>
      </c>
      <c r="AB49" s="17" t="str">
        <f t="shared" si="17"/>
        <v/>
      </c>
      <c r="AJ49" s="39"/>
      <c r="AL49" s="5">
        <v>46068</v>
      </c>
      <c r="AM49" s="23">
        <f>IF([1]AIX!J50=0,"",[1]AIX!J50)</f>
        <v>1155</v>
      </c>
      <c r="AN49" s="22">
        <f t="shared" si="6"/>
        <v>1155</v>
      </c>
      <c r="AO49" s="24">
        <f>IF([2]AIX!J51=0,"",[2]AIX!J51)</f>
        <v>905</v>
      </c>
      <c r="AP49" s="17">
        <f t="shared" si="7"/>
        <v>-0.15262172284644193</v>
      </c>
      <c r="AQ49" s="12" t="s">
        <v>60</v>
      </c>
      <c r="AR49" s="7">
        <f>SUM(AM317:AM323)</f>
        <v>5058</v>
      </c>
      <c r="AS49" s="7" t="str">
        <f>IF(SUM(AO316:AO322)=0,"",SUM(AO316:AO322))</f>
        <v/>
      </c>
      <c r="AT49" s="17" t="str">
        <f t="shared" si="19"/>
        <v/>
      </c>
      <c r="BB49" s="39"/>
      <c r="BD49" s="5">
        <v>46068</v>
      </c>
      <c r="BE49" s="42">
        <f t="shared" si="21"/>
        <v>18.267896103896103</v>
      </c>
      <c r="BF49" s="22">
        <f t="shared" si="9"/>
        <v>18.267896103896103</v>
      </c>
      <c r="BG49" s="43">
        <f t="shared" si="22"/>
        <v>20.358917127071823</v>
      </c>
      <c r="BH49" s="17">
        <f t="shared" si="10"/>
        <v>9.798905267788105E-2</v>
      </c>
      <c r="BI49" s="12" t="s">
        <v>60</v>
      </c>
      <c r="BJ49" s="45">
        <f t="shared" si="30"/>
        <v>17.537597864768681</v>
      </c>
      <c r="BK49" s="45" t="str">
        <f t="shared" si="30"/>
        <v/>
      </c>
      <c r="BL49" s="17" t="str">
        <f t="shared" si="23"/>
        <v/>
      </c>
      <c r="BT49" s="39"/>
      <c r="BV49" s="47" t="s">
        <v>60</v>
      </c>
      <c r="BW49" s="45"/>
      <c r="BX49" s="45"/>
      <c r="BY49" s="50">
        <f t="shared" si="25"/>
        <v>0</v>
      </c>
      <c r="BZ49" s="10"/>
      <c r="CG49" s="39"/>
      <c r="CI49" s="47" t="s">
        <v>60</v>
      </c>
      <c r="CJ49" s="45"/>
      <c r="CK49" s="45"/>
      <c r="CL49" s="50">
        <f t="shared" si="27"/>
        <v>0</v>
      </c>
      <c r="CM49" s="10"/>
      <c r="CT49" s="39"/>
    </row>
    <row r="50" spans="2:98">
      <c r="B50" s="5">
        <v>46069</v>
      </c>
      <c r="C50" s="24">
        <f>IF([1]AIX!H51=0,"",[1]AIX!H51)</f>
        <v>19802.86</v>
      </c>
      <c r="D50" s="22">
        <f t="shared" si="0"/>
        <v>19802.86</v>
      </c>
      <c r="E50" s="21">
        <f>IF([2]AIX!H52=0,"",[2]AIX!H52)</f>
        <v>11421.75</v>
      </c>
      <c r="F50" s="17">
        <f t="shared" si="1"/>
        <v>0.29459549522591888</v>
      </c>
      <c r="G50" s="12" t="s">
        <v>61</v>
      </c>
      <c r="H50" s="7">
        <f>SUM(C324:C330)</f>
        <v>72674.990000000005</v>
      </c>
      <c r="I50" s="7" t="str">
        <f>IF(SUM(E323:E329)=0,"",SUM(E323:E329))</f>
        <v/>
      </c>
      <c r="J50" s="17" t="str">
        <f t="shared" si="15"/>
        <v/>
      </c>
      <c r="R50" s="39"/>
      <c r="T50" s="5">
        <v>46069</v>
      </c>
      <c r="U50" s="24">
        <f>IF([1]AIX!I51=0,"",[1]AIX!I51)</f>
        <v>19432.8</v>
      </c>
      <c r="V50" s="22">
        <f t="shared" si="3"/>
        <v>19432.8</v>
      </c>
      <c r="W50" s="21">
        <f>IF([2]AIX!I52=0,"",[2]AIX!I52)</f>
        <v>11136.64</v>
      </c>
      <c r="X50" s="17">
        <f t="shared" si="4"/>
        <v>0.27325506283019996</v>
      </c>
      <c r="Y50" s="12" t="s">
        <v>61</v>
      </c>
      <c r="Z50" s="7">
        <f>SUM(U324:U330)</f>
        <v>71379.81</v>
      </c>
      <c r="AA50" s="7" t="str">
        <f>IF(SUM(W323:W329)=0,"",SUM(W323:W329))</f>
        <v/>
      </c>
      <c r="AB50" s="17" t="str">
        <f t="shared" si="17"/>
        <v/>
      </c>
      <c r="AJ50" s="39"/>
      <c r="AL50" s="5">
        <v>46069</v>
      </c>
      <c r="AM50" s="24">
        <f>IF([1]AIX!J51=0,"",[1]AIX!J51)</f>
        <v>1068</v>
      </c>
      <c r="AN50" s="22">
        <f t="shared" si="6"/>
        <v>1068</v>
      </c>
      <c r="AO50" s="21">
        <f>IF([2]AIX!J52=0,"",[2]AIX!J52)</f>
        <v>663</v>
      </c>
      <c r="AP50" s="17">
        <f t="shared" si="7"/>
        <v>0.20326678765880213</v>
      </c>
      <c r="AQ50" s="12" t="s">
        <v>61</v>
      </c>
      <c r="AR50" s="7">
        <f>SUM(AM324:AM330)</f>
        <v>4182</v>
      </c>
      <c r="AS50" s="7" t="str">
        <f>IF(SUM(AO323:AO329)=0,"",SUM(AO323:AO329))</f>
        <v/>
      </c>
      <c r="AT50" s="17" t="str">
        <f t="shared" si="19"/>
        <v/>
      </c>
      <c r="BB50" s="39"/>
      <c r="BD50" s="5">
        <v>46069</v>
      </c>
      <c r="BE50" s="43">
        <f t="shared" si="21"/>
        <v>18.542003745318354</v>
      </c>
      <c r="BF50" s="22">
        <f t="shared" si="9"/>
        <v>18.542003745318354</v>
      </c>
      <c r="BG50" s="41">
        <f t="shared" si="22"/>
        <v>17.22737556561086</v>
      </c>
      <c r="BH50" s="17">
        <f t="shared" si="10"/>
        <v>7.5900630270710812E-2</v>
      </c>
      <c r="BI50" s="12" t="s">
        <v>61</v>
      </c>
      <c r="BJ50" s="45">
        <f t="shared" si="30"/>
        <v>17.378046389287423</v>
      </c>
      <c r="BK50" s="45" t="str">
        <f t="shared" si="30"/>
        <v/>
      </c>
      <c r="BL50" s="17" t="str">
        <f t="shared" si="23"/>
        <v/>
      </c>
      <c r="BT50" s="39"/>
      <c r="BV50" s="47" t="s">
        <v>61</v>
      </c>
      <c r="BW50" s="45"/>
      <c r="BX50" s="45"/>
      <c r="BY50" s="50">
        <f t="shared" si="25"/>
        <v>0</v>
      </c>
      <c r="BZ50" s="10"/>
      <c r="CG50" s="39"/>
      <c r="CI50" s="47" t="s">
        <v>61</v>
      </c>
      <c r="CJ50" s="45"/>
      <c r="CK50" s="45"/>
      <c r="CL50" s="50">
        <f t="shared" si="27"/>
        <v>0</v>
      </c>
      <c r="CM50" s="10"/>
      <c r="CT50" s="39"/>
    </row>
    <row r="51" spans="2:98">
      <c r="B51" s="5">
        <v>46070</v>
      </c>
      <c r="C51" s="21">
        <f>IF([1]AIX!H52=0,"",[1]AIX!H52)</f>
        <v>8822.64</v>
      </c>
      <c r="D51" s="22">
        <f t="shared" si="0"/>
        <v>8822.64</v>
      </c>
      <c r="E51" s="23">
        <f>IF([2]AIX!H53=0,"",[2]AIX!H53)</f>
        <v>13152.68</v>
      </c>
      <c r="F51" s="17">
        <f t="shared" si="1"/>
        <v>0.32973148941031605</v>
      </c>
      <c r="G51" s="12" t="s">
        <v>62</v>
      </c>
      <c r="H51" s="7">
        <f>SUM(C331:C337)</f>
        <v>76758.099999999991</v>
      </c>
      <c r="I51" s="7" t="str">
        <f>IF(SUM(E330:E336)=0,"",SUM(E330:E336))</f>
        <v/>
      </c>
      <c r="J51" s="17" t="str">
        <f t="shared" si="15"/>
        <v/>
      </c>
      <c r="R51" s="39"/>
      <c r="T51" s="5">
        <v>46070</v>
      </c>
      <c r="U51" s="21">
        <f>IF([1]AIX!I52=0,"",[1]AIX!I52)</f>
        <v>8746.59</v>
      </c>
      <c r="V51" s="22">
        <f t="shared" si="3"/>
        <v>8746.59</v>
      </c>
      <c r="W51" s="23">
        <f>IF([2]AIX!I53=0,"",[2]AIX!I53)</f>
        <v>12857.95</v>
      </c>
      <c r="X51" s="17">
        <f t="shared" si="4"/>
        <v>0.31998796833166354</v>
      </c>
      <c r="Y51" s="12" t="s">
        <v>62</v>
      </c>
      <c r="Z51" s="7">
        <f>SUM(U331:U337)</f>
        <v>74915.929999999993</v>
      </c>
      <c r="AA51" s="7" t="str">
        <f>IF(SUM(W330:W336)=0,"",SUM(W330:W336))</f>
        <v/>
      </c>
      <c r="AB51" s="17" t="str">
        <f t="shared" si="17"/>
        <v/>
      </c>
      <c r="AJ51" s="39"/>
      <c r="AL51" s="5">
        <v>46070</v>
      </c>
      <c r="AM51" s="21">
        <f>IF([1]AIX!J52=0,"",[1]AIX!J52)</f>
        <v>551</v>
      </c>
      <c r="AN51" s="22">
        <f t="shared" si="6"/>
        <v>551</v>
      </c>
      <c r="AO51" s="23">
        <f>IF([2]AIX!J53=0,"",[2]AIX!J53)</f>
        <v>752</v>
      </c>
      <c r="AP51" s="17">
        <f t="shared" si="7"/>
        <v>0.23481116584564865</v>
      </c>
      <c r="AQ51" s="12" t="s">
        <v>62</v>
      </c>
      <c r="AR51" s="7">
        <f>SUM(AM331:AM337)</f>
        <v>4284</v>
      </c>
      <c r="AS51" s="7" t="str">
        <f>IF(SUM(AO330:AO336)=0,"",SUM(AO330:AO336))</f>
        <v/>
      </c>
      <c r="AT51" s="17" t="str">
        <f t="shared" si="19"/>
        <v/>
      </c>
      <c r="BB51" s="39"/>
      <c r="BD51" s="5">
        <v>46070</v>
      </c>
      <c r="BE51" s="41">
        <f t="shared" si="21"/>
        <v>16.012050816696913</v>
      </c>
      <c r="BF51" s="22">
        <f t="shared" si="9"/>
        <v>16.012050816696913</v>
      </c>
      <c r="BG51" s="42">
        <f t="shared" si="22"/>
        <v>17.490265957446809</v>
      </c>
      <c r="BH51" s="17">
        <f t="shared" si="10"/>
        <v>7.6870315227237418E-2</v>
      </c>
      <c r="BI51" s="12" t="s">
        <v>62</v>
      </c>
      <c r="BJ51" s="45">
        <f t="shared" si="30"/>
        <v>17.917390289449109</v>
      </c>
      <c r="BK51" s="45" t="str">
        <f t="shared" si="30"/>
        <v/>
      </c>
      <c r="BL51" s="17" t="str">
        <f t="shared" si="23"/>
        <v/>
      </c>
      <c r="BT51" s="39"/>
      <c r="BV51" s="47" t="s">
        <v>62</v>
      </c>
      <c r="BW51" s="45"/>
      <c r="BX51" s="45"/>
      <c r="BY51" s="50">
        <f t="shared" si="25"/>
        <v>0</v>
      </c>
      <c r="BZ51" s="10"/>
      <c r="CG51" s="39"/>
      <c r="CI51" s="47" t="s">
        <v>62</v>
      </c>
      <c r="CJ51" s="45"/>
      <c r="CK51" s="45"/>
      <c r="CL51" s="50">
        <f t="shared" si="27"/>
        <v>0</v>
      </c>
      <c r="CM51" s="10"/>
      <c r="CT51" s="39"/>
    </row>
    <row r="52" spans="2:98">
      <c r="B52" s="5">
        <v>46071</v>
      </c>
      <c r="C52" s="23">
        <f>IF([1]AIX!H53=0,"",[1]AIX!H53)</f>
        <v>9891.23</v>
      </c>
      <c r="D52" s="22">
        <f t="shared" si="0"/>
        <v>9891.23</v>
      </c>
      <c r="E52" s="23">
        <f>IF([2]AIX!H54=0,"",[2]AIX!H54)</f>
        <v>13517.39</v>
      </c>
      <c r="F52" s="17">
        <f t="shared" si="1"/>
        <v>0.19635201489710452</v>
      </c>
      <c r="G52" s="12" t="s">
        <v>63</v>
      </c>
      <c r="H52" s="7">
        <f>SUM(C338:C344)</f>
        <v>76400.45</v>
      </c>
      <c r="I52" s="7" t="str">
        <f>IF(SUM(E337:E343)=0,"",SUM(E337:E343))</f>
        <v/>
      </c>
      <c r="J52" s="17" t="str">
        <f t="shared" si="15"/>
        <v/>
      </c>
      <c r="R52" s="39"/>
      <c r="T52" s="5">
        <v>46071</v>
      </c>
      <c r="U52" s="23">
        <f>IF([1]AIX!I53=0,"",[1]AIX!I53)</f>
        <v>9740.9599999999991</v>
      </c>
      <c r="V52" s="22">
        <f t="shared" si="3"/>
        <v>9740.9599999999991</v>
      </c>
      <c r="W52" s="23">
        <f>IF([2]AIX!I54=0,"",[2]AIX!I54)</f>
        <v>13243.81</v>
      </c>
      <c r="X52" s="17">
        <f t="shared" si="4"/>
        <v>0.18859688092052074</v>
      </c>
      <c r="Y52" s="12" t="s">
        <v>63</v>
      </c>
      <c r="Z52" s="7">
        <f>SUM(U338:U344)</f>
        <v>74130.040000000008</v>
      </c>
      <c r="AA52" s="7" t="str">
        <f>IF(SUM(W337:W343)=0,"",SUM(W337:W343))</f>
        <v/>
      </c>
      <c r="AB52" s="17" t="str">
        <f t="shared" si="17"/>
        <v/>
      </c>
      <c r="AJ52" s="39"/>
      <c r="AL52" s="5">
        <v>46071</v>
      </c>
      <c r="AM52" s="23">
        <f>IF([1]AIX!J53=0,"",[1]AIX!J53)</f>
        <v>609</v>
      </c>
      <c r="AN52" s="22">
        <f t="shared" si="6"/>
        <v>609</v>
      </c>
      <c r="AO52" s="23">
        <f>IF([2]AIX!J54=0,"",[2]AIX!J54)</f>
        <v>752</v>
      </c>
      <c r="AP52" s="17">
        <f t="shared" si="7"/>
        <v>0.10102489019033678</v>
      </c>
      <c r="AQ52" s="12" t="s">
        <v>63</v>
      </c>
      <c r="AR52" s="7">
        <f>SUM(AM338:AM344)</f>
        <v>4209</v>
      </c>
      <c r="AS52" s="7" t="str">
        <f>IF(SUM(AO337:AO343)=0,"",SUM(AO337:AO343))</f>
        <v/>
      </c>
      <c r="AT52" s="17" t="str">
        <f t="shared" si="19"/>
        <v/>
      </c>
      <c r="BB52" s="39"/>
      <c r="BD52" s="5">
        <v>46071</v>
      </c>
      <c r="BE52" s="42">
        <f t="shared" si="21"/>
        <v>16.24175697865353</v>
      </c>
      <c r="BF52" s="22">
        <f t="shared" si="9"/>
        <v>16.24175697865353</v>
      </c>
      <c r="BG52" s="42">
        <f t="shared" si="22"/>
        <v>17.975252659574469</v>
      </c>
      <c r="BH52" s="17">
        <f t="shared" si="10"/>
        <v>8.6580353955747924E-2</v>
      </c>
      <c r="BI52" s="12" t="s">
        <v>63</v>
      </c>
      <c r="BJ52" s="45">
        <f t="shared" si="30"/>
        <v>18.151686861487288</v>
      </c>
      <c r="BK52" s="45" t="str">
        <f t="shared" si="30"/>
        <v/>
      </c>
      <c r="BL52" s="17" t="str">
        <f t="shared" si="23"/>
        <v/>
      </c>
      <c r="BT52" s="39"/>
      <c r="BV52" s="47" t="s">
        <v>63</v>
      </c>
      <c r="BW52" s="45"/>
      <c r="BX52" s="45"/>
      <c r="BY52" s="50">
        <f t="shared" si="25"/>
        <v>0</v>
      </c>
      <c r="BZ52" s="10"/>
      <c r="CG52" s="39"/>
      <c r="CI52" s="47" t="s">
        <v>63</v>
      </c>
      <c r="CJ52" s="45"/>
      <c r="CK52" s="45"/>
      <c r="CL52" s="50">
        <f t="shared" si="27"/>
        <v>0</v>
      </c>
      <c r="CM52" s="10"/>
      <c r="CT52" s="39"/>
    </row>
    <row r="53" spans="2:98">
      <c r="B53" s="5">
        <v>46072</v>
      </c>
      <c r="C53" s="23">
        <f>IF([1]AIX!H54=0,"",[1]AIX!H54)</f>
        <v>11298.84</v>
      </c>
      <c r="D53" s="22">
        <f t="shared" si="0"/>
        <v>11298.84</v>
      </c>
      <c r="E53" s="23">
        <f>IF([2]AIX!H55=0,"",[2]AIX!H55)</f>
        <v>12470.87</v>
      </c>
      <c r="F53" s="17">
        <f t="shared" si="1"/>
        <v>0.131315009788322</v>
      </c>
      <c r="G53" s="12" t="s">
        <v>64</v>
      </c>
      <c r="H53" s="7">
        <f>SUM(C345:C351)</f>
        <v>85085.290000000008</v>
      </c>
      <c r="I53" s="7" t="str">
        <f>IF(SUM(E344:E350)=0,"",SUM(E344:E350))</f>
        <v/>
      </c>
      <c r="J53" s="17" t="str">
        <f t="shared" si="15"/>
        <v/>
      </c>
      <c r="R53" s="39"/>
      <c r="T53" s="5">
        <v>46072</v>
      </c>
      <c r="U53" s="23">
        <f>IF([1]AIX!I54=0,"",[1]AIX!I54)</f>
        <v>11142.39</v>
      </c>
      <c r="V53" s="22">
        <f t="shared" si="3"/>
        <v>11142.39</v>
      </c>
      <c r="W53" s="23">
        <f>IF([2]AIX!I55=0,"",[2]AIX!I55)</f>
        <v>12145.38</v>
      </c>
      <c r="X53" s="17">
        <f t="shared" si="4"/>
        <v>0.11379215793803121</v>
      </c>
      <c r="Y53" s="12" t="s">
        <v>64</v>
      </c>
      <c r="Z53" s="7">
        <f>SUM(U345:U351)</f>
        <v>82424.7</v>
      </c>
      <c r="AA53" s="7" t="str">
        <f>IF(SUM(W344:W350)=0,"",SUM(W344:W350))</f>
        <v/>
      </c>
      <c r="AB53" s="17" t="str">
        <f t="shared" si="17"/>
        <v/>
      </c>
      <c r="AJ53" s="39"/>
      <c r="AL53" s="5">
        <v>46072</v>
      </c>
      <c r="AM53" s="23">
        <f>IF([1]AIX!J54=0,"",[1]AIX!J54)</f>
        <v>683</v>
      </c>
      <c r="AN53" s="22">
        <f t="shared" si="6"/>
        <v>683</v>
      </c>
      <c r="AO53" s="23">
        <f>IF([2]AIX!J55=0,"",[2]AIX!J55)</f>
        <v>690</v>
      </c>
      <c r="AP53" s="17">
        <f t="shared" si="7"/>
        <v>5.0228310502283158E-2</v>
      </c>
      <c r="AQ53" s="12" t="s">
        <v>64</v>
      </c>
      <c r="AR53" s="7">
        <f>SUM(AM345:AM351)</f>
        <v>4643</v>
      </c>
      <c r="AS53" s="7" t="str">
        <f>IF(SUM(AO344:AO350)=0,"",SUM(AO344:AO350))</f>
        <v/>
      </c>
      <c r="AT53" s="17" t="str">
        <f t="shared" si="19"/>
        <v/>
      </c>
      <c r="BB53" s="39"/>
      <c r="BD53" s="5">
        <v>46072</v>
      </c>
      <c r="BE53" s="42">
        <f t="shared" si="21"/>
        <v>16.542957540263544</v>
      </c>
      <c r="BF53" s="22">
        <f t="shared" si="9"/>
        <v>16.542957540263544</v>
      </c>
      <c r="BG53" s="42">
        <f t="shared" si="22"/>
        <v>18.07372463768116</v>
      </c>
      <c r="BH53" s="17">
        <f t="shared" si="10"/>
        <v>7.720863975496739E-2</v>
      </c>
      <c r="BI53" s="12" t="s">
        <v>64</v>
      </c>
      <c r="BJ53" s="45">
        <f t="shared" si="30"/>
        <v>18.325498600043076</v>
      </c>
      <c r="BK53" s="45" t="str">
        <f t="shared" si="30"/>
        <v/>
      </c>
      <c r="BL53" s="17" t="str">
        <f t="shared" si="23"/>
        <v/>
      </c>
      <c r="BT53" s="39"/>
      <c r="BV53" s="47" t="s">
        <v>64</v>
      </c>
      <c r="BW53" s="45"/>
      <c r="BX53" s="45"/>
      <c r="BY53" s="50">
        <f t="shared" si="25"/>
        <v>0</v>
      </c>
      <c r="BZ53" s="10"/>
      <c r="CG53" s="39"/>
      <c r="CI53" s="47" t="s">
        <v>64</v>
      </c>
      <c r="CJ53" s="45"/>
      <c r="CK53" s="45"/>
      <c r="CL53" s="50">
        <f t="shared" si="27"/>
        <v>0</v>
      </c>
      <c r="CM53" s="10"/>
      <c r="CT53" s="39"/>
    </row>
    <row r="54" spans="2:98">
      <c r="B54" s="5">
        <v>46073</v>
      </c>
      <c r="C54" s="23">
        <f>IF([1]AIX!H55=0,"",[1]AIX!H55)</f>
        <v>11023.34</v>
      </c>
      <c r="D54" s="22">
        <f t="shared" si="0"/>
        <v>11023.34</v>
      </c>
      <c r="E54" s="23">
        <f>IF([2]AIX!H56=0,"",[2]AIX!H56)</f>
        <v>15743.3</v>
      </c>
      <c r="F54" s="17">
        <f t="shared" si="1"/>
        <v>-1.6079417121129369E-2</v>
      </c>
      <c r="G54" s="12" t="s">
        <v>65</v>
      </c>
      <c r="H54" s="7">
        <f>SUM(C352:C358)</f>
        <v>88159.12</v>
      </c>
      <c r="I54" s="7" t="str">
        <f>IF(SUM(E351:E357)=0,"",SUM(E351:E357))</f>
        <v/>
      </c>
      <c r="J54" s="17" t="str">
        <f t="shared" si="15"/>
        <v/>
      </c>
      <c r="R54" s="39"/>
      <c r="T54" s="5">
        <v>46073</v>
      </c>
      <c r="U54" s="23">
        <f>IF([1]AIX!I55=0,"",[1]AIX!I55)</f>
        <v>10904.53</v>
      </c>
      <c r="V54" s="22">
        <f t="shared" si="3"/>
        <v>10904.53</v>
      </c>
      <c r="W54" s="23">
        <f>IF([2]AIX!I56=0,"",[2]AIX!I56)</f>
        <v>15422.92</v>
      </c>
      <c r="X54" s="17">
        <f t="shared" si="4"/>
        <v>-2.1324984231212873E-2</v>
      </c>
      <c r="Y54" s="12" t="s">
        <v>65</v>
      </c>
      <c r="Z54" s="7">
        <f>SUM(U352:U358)</f>
        <v>86036.69</v>
      </c>
      <c r="AA54" s="7" t="str">
        <f>IF(SUM(W351:W357)=0,"",SUM(W351:W357))</f>
        <v/>
      </c>
      <c r="AB54" s="17" t="str">
        <f t="shared" si="17"/>
        <v/>
      </c>
      <c r="AJ54" s="39"/>
      <c r="AL54" s="5">
        <v>46073</v>
      </c>
      <c r="AM54" s="23">
        <f>IF([1]AIX!J55=0,"",[1]AIX!J55)</f>
        <v>657</v>
      </c>
      <c r="AN54" s="22">
        <f t="shared" si="6"/>
        <v>657</v>
      </c>
      <c r="AO54" s="23">
        <f>IF([2]AIX!J56=0,"",[2]AIX!J56)</f>
        <v>844</v>
      </c>
      <c r="AP54" s="17">
        <f t="shared" si="7"/>
        <v>-0.12083333333333335</v>
      </c>
      <c r="AQ54" s="12" t="s">
        <v>65</v>
      </c>
      <c r="AR54" s="7">
        <f>SUM(AM352:AM358)</f>
        <v>4857</v>
      </c>
      <c r="AS54" s="7" t="str">
        <f>IF(SUM(AO351:AO357)=0,"",SUM(AO351:AO357))</f>
        <v/>
      </c>
      <c r="AT54" s="17" t="str">
        <f t="shared" si="19"/>
        <v/>
      </c>
      <c r="BB54" s="39"/>
      <c r="BD54" s="5">
        <v>46073</v>
      </c>
      <c r="BE54" s="42">
        <f t="shared" si="21"/>
        <v>16.778295281582952</v>
      </c>
      <c r="BF54" s="22">
        <f t="shared" si="9"/>
        <v>16.778295281582952</v>
      </c>
      <c r="BG54" s="42">
        <f t="shared" si="22"/>
        <v>18.653199052132699</v>
      </c>
      <c r="BH54" s="17">
        <f t="shared" si="10"/>
        <v>0.11915137389065844</v>
      </c>
      <c r="BI54" s="12" t="s">
        <v>65</v>
      </c>
      <c r="BJ54" s="45">
        <f t="shared" si="30"/>
        <v>18.150940910026765</v>
      </c>
      <c r="BK54" s="45" t="str">
        <f t="shared" si="30"/>
        <v/>
      </c>
      <c r="BL54" s="17" t="str">
        <f t="shared" si="23"/>
        <v/>
      </c>
      <c r="BT54" s="39"/>
      <c r="BV54" s="47" t="s">
        <v>65</v>
      </c>
      <c r="BW54" s="45"/>
      <c r="BX54" s="45"/>
      <c r="BY54" s="50">
        <f t="shared" si="25"/>
        <v>0</v>
      </c>
      <c r="BZ54" s="10"/>
      <c r="CG54" s="39"/>
      <c r="CI54" s="47" t="s">
        <v>65</v>
      </c>
      <c r="CJ54" s="45"/>
      <c r="CK54" s="45"/>
      <c r="CL54" s="50">
        <f t="shared" si="27"/>
        <v>0</v>
      </c>
      <c r="CM54" s="10"/>
      <c r="CT54" s="39"/>
    </row>
    <row r="55" spans="2:98">
      <c r="B55" s="5">
        <v>46074</v>
      </c>
      <c r="C55" s="23">
        <f>IF([1]AIX!H56=0,"",[1]AIX!H56)</f>
        <v>16000.58</v>
      </c>
      <c r="D55" s="22">
        <f t="shared" si="0"/>
        <v>16000.58</v>
      </c>
      <c r="E55" s="23">
        <f>IF([2]AIX!H57=0,"",[2]AIX!H57)</f>
        <v>17423.900000000001</v>
      </c>
      <c r="F55" s="17">
        <f t="shared" si="1"/>
        <v>8.4524154826919551E-2</v>
      </c>
      <c r="G55" s="12" t="s">
        <v>66</v>
      </c>
      <c r="H55" s="7">
        <f>SUM(C359:C365)</f>
        <v>99167.16</v>
      </c>
      <c r="I55" s="7" t="str">
        <f>IF(SUM(E358:E364)=0,"",SUM(E358:E364))</f>
        <v/>
      </c>
      <c r="J55" s="17" t="str">
        <f t="shared" si="15"/>
        <v/>
      </c>
      <c r="R55" s="39"/>
      <c r="T55" s="5">
        <v>46074</v>
      </c>
      <c r="U55" s="23">
        <f>IF([1]AIX!I56=0,"",[1]AIX!I56)</f>
        <v>15758.98</v>
      </c>
      <c r="V55" s="22">
        <f t="shared" si="3"/>
        <v>15758.98</v>
      </c>
      <c r="W55" s="23">
        <f>IF([2]AIX!I57=0,"",[2]AIX!I57)</f>
        <v>17123.490000000002</v>
      </c>
      <c r="X55" s="17">
        <f t="shared" si="4"/>
        <v>8.4328628990127275E-2</v>
      </c>
      <c r="Y55" s="12" t="s">
        <v>66</v>
      </c>
      <c r="Z55" s="7">
        <f>SUM(U359:U365)</f>
        <v>96735.09</v>
      </c>
      <c r="AA55" s="7" t="str">
        <f>IF(SUM(W358:W364)=0,"",SUM(W358:W364))</f>
        <v/>
      </c>
      <c r="AB55" s="17" t="str">
        <f t="shared" si="17"/>
        <v/>
      </c>
      <c r="AJ55" s="39"/>
      <c r="AL55" s="5">
        <v>46074</v>
      </c>
      <c r="AM55" s="23">
        <f>IF([1]AIX!J56=0,"",[1]AIX!J56)</f>
        <v>960</v>
      </c>
      <c r="AN55" s="22">
        <f t="shared" si="6"/>
        <v>960</v>
      </c>
      <c r="AO55" s="23">
        <f>IF([2]AIX!J57=0,"",[2]AIX!J57)</f>
        <v>927</v>
      </c>
      <c r="AP55" s="17">
        <f t="shared" si="7"/>
        <v>2.4309392265193353E-2</v>
      </c>
      <c r="AQ55" s="12" t="s">
        <v>66</v>
      </c>
      <c r="AR55" s="7">
        <f>SUM(AM359:AM365)</f>
        <v>5091</v>
      </c>
      <c r="AS55" s="7" t="str">
        <f>IF(SUM(AO358:AO364)=0,"",SUM(AO358:AO364))</f>
        <v/>
      </c>
      <c r="AT55" s="17" t="str">
        <f t="shared" si="19"/>
        <v/>
      </c>
      <c r="BB55" s="39"/>
      <c r="BD55" s="5">
        <v>46074</v>
      </c>
      <c r="BE55" s="42">
        <f t="shared" si="21"/>
        <v>16.667270833333333</v>
      </c>
      <c r="BF55" s="22">
        <f t="shared" si="9"/>
        <v>16.667270833333333</v>
      </c>
      <c r="BG55" s="42">
        <f t="shared" si="22"/>
        <v>18.796008629989213</v>
      </c>
      <c r="BH55" s="17">
        <f t="shared" si="10"/>
        <v>5.8785717495536183E-2</v>
      </c>
      <c r="BI55" s="12" t="s">
        <v>66</v>
      </c>
      <c r="BJ55" s="45">
        <f t="shared" si="30"/>
        <v>19.478915733647614</v>
      </c>
      <c r="BK55" s="45" t="str">
        <f t="shared" si="30"/>
        <v/>
      </c>
      <c r="BL55" s="17" t="str">
        <f t="shared" si="23"/>
        <v/>
      </c>
      <c r="BT55" s="39"/>
      <c r="BV55" s="47" t="s">
        <v>66</v>
      </c>
      <c r="BW55" s="45"/>
      <c r="BX55" s="45"/>
      <c r="BY55" s="50">
        <f t="shared" si="25"/>
        <v>0</v>
      </c>
      <c r="BZ55" s="10"/>
      <c r="CG55" s="39"/>
      <c r="CI55" s="47" t="s">
        <v>66</v>
      </c>
      <c r="CJ55" s="45"/>
      <c r="CK55" s="45"/>
      <c r="CL55" s="50">
        <f t="shared" si="27"/>
        <v>0</v>
      </c>
      <c r="CM55" s="10"/>
      <c r="CT55" s="39"/>
    </row>
    <row r="56" spans="2:98" ht="18" thickBot="1">
      <c r="B56" s="5">
        <v>46075</v>
      </c>
      <c r="C56" s="23">
        <f>IF([1]AIX!H57=0,"",[1]AIX!H57)</f>
        <v>16065.94</v>
      </c>
      <c r="D56" s="22">
        <f t="shared" si="0"/>
        <v>16065.94</v>
      </c>
      <c r="E56" s="24">
        <f>IF([2]AIX!H58=0,"",[2]AIX!H58)</f>
        <v>16544.91</v>
      </c>
      <c r="F56" s="17">
        <f t="shared" si="1"/>
        <v>-3.4144026284035012E-2</v>
      </c>
      <c r="G56" s="12" t="s">
        <v>67</v>
      </c>
      <c r="H56" s="7">
        <f>SUM(C366:C372)</f>
        <v>38587.75</v>
      </c>
      <c r="I56" s="7" t="str">
        <f>IF(SUM(E365:E371)=0,"",SUM(E365:E371))</f>
        <v/>
      </c>
      <c r="J56" s="17" t="str">
        <f t="shared" si="15"/>
        <v/>
      </c>
      <c r="R56" s="39"/>
      <c r="T56" s="5">
        <v>46075</v>
      </c>
      <c r="U56" s="23">
        <f>IF([1]AIX!I57=0,"",[1]AIX!I57)</f>
        <v>15791.79</v>
      </c>
      <c r="V56" s="22">
        <f t="shared" si="3"/>
        <v>15791.79</v>
      </c>
      <c r="W56" s="24">
        <f>IF([2]AIX!I58=0,"",[2]AIX!I58)</f>
        <v>16187.91</v>
      </c>
      <c r="X56" s="17">
        <f t="shared" si="4"/>
        <v>-3.9157459629312608E-2</v>
      </c>
      <c r="Y56" s="12" t="s">
        <v>67</v>
      </c>
      <c r="Z56" s="7">
        <f>SUM(U366:U372)</f>
        <v>37737.78</v>
      </c>
      <c r="AA56" s="7" t="str">
        <f>IF(SUM(W365:W371)=0,"",SUM(W365:W371))</f>
        <v/>
      </c>
      <c r="AB56" s="17" t="str">
        <f t="shared" si="17"/>
        <v/>
      </c>
      <c r="AJ56" s="39"/>
      <c r="AL56" s="5">
        <v>46075</v>
      </c>
      <c r="AM56" s="23">
        <f>IF([1]AIX!J57=0,"",[1]AIX!J57)</f>
        <v>905</v>
      </c>
      <c r="AN56" s="22">
        <f t="shared" si="6"/>
        <v>905</v>
      </c>
      <c r="AO56" s="24">
        <f>IF([2]AIX!J58=0,"",[2]AIX!J58)</f>
        <v>846</v>
      </c>
      <c r="AP56" s="17">
        <f t="shared" si="7"/>
        <v>-7.6419213973799138E-2</v>
      </c>
      <c r="AQ56" s="12" t="s">
        <v>67</v>
      </c>
      <c r="AR56" s="7">
        <f>SUM(AM366:AM372)</f>
        <v>2089</v>
      </c>
      <c r="AS56" s="7" t="str">
        <f>IF(SUM(AO365:AO371)=0,"",SUM(AO365:AO371))</f>
        <v/>
      </c>
      <c r="AT56" s="17" t="str">
        <f t="shared" si="19"/>
        <v/>
      </c>
      <c r="BB56" s="39"/>
      <c r="BD56" s="5">
        <v>46075</v>
      </c>
      <c r="BE56" s="42">
        <f t="shared" si="21"/>
        <v>17.752419889502765</v>
      </c>
      <c r="BF56" s="22">
        <f t="shared" si="9"/>
        <v>17.752419889502765</v>
      </c>
      <c r="BG56" s="43">
        <f t="shared" si="22"/>
        <v>19.55663120567376</v>
      </c>
      <c r="BH56" s="17">
        <f t="shared" si="10"/>
        <v>4.5773134661730497E-2</v>
      </c>
      <c r="BI56" s="12" t="s">
        <v>67</v>
      </c>
      <c r="BJ56" s="45">
        <f t="shared" si="30"/>
        <v>18.471876495931067</v>
      </c>
      <c r="BK56" s="45" t="str">
        <f t="shared" si="30"/>
        <v/>
      </c>
      <c r="BL56" s="17" t="str">
        <f t="shared" si="23"/>
        <v/>
      </c>
      <c r="BT56" s="39"/>
      <c r="BV56" s="48" t="s">
        <v>67</v>
      </c>
      <c r="BW56" s="49"/>
      <c r="BX56" s="49"/>
      <c r="BY56" s="51">
        <f t="shared" si="25"/>
        <v>0</v>
      </c>
      <c r="BZ56" s="13"/>
      <c r="CA56" s="9"/>
      <c r="CB56" s="9"/>
      <c r="CC56" s="9"/>
      <c r="CD56" s="9"/>
      <c r="CE56" s="9"/>
      <c r="CF56" s="9"/>
      <c r="CG56" s="40"/>
      <c r="CI56" s="48" t="s">
        <v>67</v>
      </c>
      <c r="CJ56" s="49"/>
      <c r="CK56" s="49"/>
      <c r="CL56" s="51">
        <f t="shared" si="27"/>
        <v>0</v>
      </c>
      <c r="CM56" s="13"/>
      <c r="CN56" s="9"/>
      <c r="CO56" s="9"/>
      <c r="CP56" s="9"/>
      <c r="CQ56" s="9"/>
      <c r="CR56" s="9"/>
      <c r="CS56" s="9"/>
      <c r="CT56" s="40"/>
    </row>
    <row r="57" spans="2:98">
      <c r="B57" s="5">
        <v>46076</v>
      </c>
      <c r="C57" s="24">
        <f>IF([1]AIX!H58=0,"",[1]AIX!H58)</f>
        <v>17129.79</v>
      </c>
      <c r="D57" s="22">
        <f t="shared" si="0"/>
        <v>17129.79</v>
      </c>
      <c r="E57" s="21">
        <f>IF([2]AIX!H59=0,"",[2]AIX!H59)</f>
        <v>8837.7999999999993</v>
      </c>
      <c r="F57" s="17">
        <f t="shared" si="1"/>
        <v>-0.28811009008776789</v>
      </c>
      <c r="R57" s="39"/>
      <c r="T57" s="5">
        <v>46076</v>
      </c>
      <c r="U57" s="24">
        <f>IF([1]AIX!I58=0,"",[1]AIX!I58)</f>
        <v>16847.62</v>
      </c>
      <c r="V57" s="22">
        <f t="shared" si="3"/>
        <v>16847.62</v>
      </c>
      <c r="W57" s="21">
        <f>IF([2]AIX!I59=0,"",[2]AIX!I59)</f>
        <v>8699.02</v>
      </c>
      <c r="X57" s="17">
        <f t="shared" si="4"/>
        <v>-0.2861915011114512</v>
      </c>
      <c r="AJ57" s="39"/>
      <c r="AL57" s="5">
        <v>46076</v>
      </c>
      <c r="AM57" s="24">
        <f>IF([1]AIX!J58=0,"",[1]AIX!J58)</f>
        <v>916</v>
      </c>
      <c r="AN57" s="22">
        <f t="shared" si="6"/>
        <v>916</v>
      </c>
      <c r="AO57" s="21">
        <f>IF([2]AIX!J59=0,"",[2]AIX!J59)</f>
        <v>523</v>
      </c>
      <c r="AP57" s="17">
        <f t="shared" si="7"/>
        <v>-0.30173564753004001</v>
      </c>
      <c r="BB57" s="39"/>
      <c r="BD57" s="5">
        <v>46076</v>
      </c>
      <c r="BE57" s="43">
        <f t="shared" si="21"/>
        <v>18.700644104803494</v>
      </c>
      <c r="BF57" s="22">
        <f t="shared" si="9"/>
        <v>18.700644104803494</v>
      </c>
      <c r="BG57" s="41">
        <f t="shared" si="22"/>
        <v>16.898279158699808</v>
      </c>
      <c r="BH57" s="17">
        <f t="shared" si="10"/>
        <v>1.9513465629563687E-2</v>
      </c>
      <c r="BT57" s="39"/>
    </row>
    <row r="58" spans="2:98">
      <c r="B58" s="5">
        <v>46077</v>
      </c>
      <c r="C58" s="21">
        <f>IF([1]AIX!H59=0,"",[1]AIX!H59)</f>
        <v>12414.56</v>
      </c>
      <c r="D58" s="22">
        <f t="shared" si="0"/>
        <v>12414.56</v>
      </c>
      <c r="E58" s="23">
        <f>IF([2]AIX!H60=0,"",[2]AIX!H60)</f>
        <v>9936.2999999999993</v>
      </c>
      <c r="F58" s="17">
        <f t="shared" si="1"/>
        <v>-0.16128558477799559</v>
      </c>
      <c r="R58" s="39"/>
      <c r="T58" s="5">
        <v>46077</v>
      </c>
      <c r="U58" s="21">
        <f>IF([1]AIX!I59=0,"",[1]AIX!I59)</f>
        <v>12186.77</v>
      </c>
      <c r="V58" s="22">
        <f t="shared" si="3"/>
        <v>12186.77</v>
      </c>
      <c r="W58" s="23">
        <f>IF([2]AIX!I60=0,"",[2]AIX!I60)</f>
        <v>9752.85</v>
      </c>
      <c r="X58" s="17">
        <f t="shared" si="4"/>
        <v>-0.1648548599378491</v>
      </c>
      <c r="AJ58" s="39"/>
      <c r="AL58" s="5">
        <v>46077</v>
      </c>
      <c r="AM58" s="21">
        <f>IF([1]AIX!J59=0,"",[1]AIX!J59)</f>
        <v>749</v>
      </c>
      <c r="AN58" s="22">
        <f t="shared" si="6"/>
        <v>749</v>
      </c>
      <c r="AO58" s="23">
        <f>IF([2]AIX!J60=0,"",[2]AIX!J60)</f>
        <v>597</v>
      </c>
      <c r="AP58" s="17">
        <f t="shared" si="7"/>
        <v>-0.18219178082191778</v>
      </c>
      <c r="BB58" s="39"/>
      <c r="BD58" s="5">
        <v>46077</v>
      </c>
      <c r="BE58" s="41">
        <f t="shared" si="21"/>
        <v>16.574846461949264</v>
      </c>
      <c r="BF58" s="22">
        <f t="shared" si="9"/>
        <v>16.574846461949264</v>
      </c>
      <c r="BG58" s="42">
        <f t="shared" si="22"/>
        <v>16.643718592964824</v>
      </c>
      <c r="BH58" s="17">
        <f t="shared" si="10"/>
        <v>2.5563690304963638E-2</v>
      </c>
      <c r="BT58" s="39"/>
    </row>
    <row r="59" spans="2:98">
      <c r="B59" s="5">
        <v>46078</v>
      </c>
      <c r="C59" s="23">
        <f>IF([1]AIX!H60=0,"",[1]AIX!H60)</f>
        <v>11847.06</v>
      </c>
      <c r="D59" s="22">
        <f t="shared" si="0"/>
        <v>11847.06</v>
      </c>
      <c r="E59" s="23">
        <f>IF([2]AIX!H61=0,"",[2]AIX!H61)</f>
        <v>11952.21</v>
      </c>
      <c r="F59" s="17">
        <f t="shared" si="1"/>
        <v>-8.624553050267092E-2</v>
      </c>
      <c r="R59" s="39"/>
      <c r="T59" s="5">
        <v>46078</v>
      </c>
      <c r="U59" s="23">
        <f>IF([1]AIX!I60=0,"",[1]AIX!I60)</f>
        <v>11678.03</v>
      </c>
      <c r="V59" s="22">
        <f t="shared" si="3"/>
        <v>11678.03</v>
      </c>
      <c r="W59" s="23">
        <f>IF([2]AIX!I61=0,"",[2]AIX!I61)</f>
        <v>11695.66</v>
      </c>
      <c r="X59" s="17">
        <f t="shared" si="4"/>
        <v>-8.7678543987481761E-2</v>
      </c>
      <c r="AJ59" s="39"/>
      <c r="AL59" s="5">
        <v>46078</v>
      </c>
      <c r="AM59" s="23">
        <f>IF([1]AIX!J60=0,"",[1]AIX!J60)</f>
        <v>730</v>
      </c>
      <c r="AN59" s="22">
        <f t="shared" si="6"/>
        <v>730</v>
      </c>
      <c r="AO59" s="23">
        <f>IF([2]AIX!J61=0,"",[2]AIX!J61)</f>
        <v>714</v>
      </c>
      <c r="AP59" s="17">
        <f t="shared" si="7"/>
        <v>-0.10075566750629728</v>
      </c>
      <c r="BB59" s="39"/>
      <c r="BD59" s="5">
        <v>46078</v>
      </c>
      <c r="BE59" s="42">
        <f t="shared" si="21"/>
        <v>16.228849315068491</v>
      </c>
      <c r="BF59" s="22">
        <f t="shared" si="9"/>
        <v>16.228849315068491</v>
      </c>
      <c r="BG59" s="42">
        <f t="shared" si="22"/>
        <v>16.739789915966384</v>
      </c>
      <c r="BH59" s="17">
        <f t="shared" si="10"/>
        <v>1.613592266229591E-2</v>
      </c>
      <c r="BT59" s="39"/>
    </row>
    <row r="60" spans="2:98">
      <c r="B60" s="5">
        <v>46079</v>
      </c>
      <c r="C60" s="23">
        <f>IF([1]AIX!H61=0,"",[1]AIX!H61)</f>
        <v>13080.33</v>
      </c>
      <c r="D60" s="22">
        <f t="shared" si="0"/>
        <v>13080.33</v>
      </c>
      <c r="E60" s="23">
        <f>IF([2]AIX!H62=0,"",[2]AIX!H62)</f>
        <v>9750.42</v>
      </c>
      <c r="F60" s="17">
        <f t="shared" si="1"/>
        <v>-0.30728653444342691</v>
      </c>
      <c r="R60" s="39"/>
      <c r="T60" s="5">
        <v>46079</v>
      </c>
      <c r="U60" s="23">
        <f>IF([1]AIX!I61=0,"",[1]AIX!I61)</f>
        <v>12819.67</v>
      </c>
      <c r="V60" s="22">
        <f t="shared" si="3"/>
        <v>12819.67</v>
      </c>
      <c r="W60" s="23">
        <f>IF([2]AIX!I62=0,"",[2]AIX!I62)</f>
        <v>9538.16</v>
      </c>
      <c r="X60" s="17">
        <f t="shared" si="4"/>
        <v>-0.30833479573086275</v>
      </c>
      <c r="AJ60" s="39"/>
      <c r="AL60" s="5">
        <v>46079</v>
      </c>
      <c r="AM60" s="23">
        <f>IF([1]AIX!J61=0,"",[1]AIX!J61)</f>
        <v>794</v>
      </c>
      <c r="AN60" s="22">
        <f t="shared" si="6"/>
        <v>794</v>
      </c>
      <c r="AO60" s="23">
        <f>IF([2]AIX!J62=0,"",[2]AIX!J62)</f>
        <v>566</v>
      </c>
      <c r="AP60" s="17">
        <f t="shared" si="7"/>
        <v>-0.32377538829151731</v>
      </c>
      <c r="BB60" s="39"/>
      <c r="BD60" s="5">
        <v>46079</v>
      </c>
      <c r="BE60" s="42">
        <f t="shared" si="21"/>
        <v>16.473967254408059</v>
      </c>
      <c r="BF60" s="22">
        <f t="shared" si="9"/>
        <v>16.473967254408059</v>
      </c>
      <c r="BG60" s="42">
        <f t="shared" si="22"/>
        <v>17.226890459363958</v>
      </c>
      <c r="BH60" s="17">
        <f t="shared" si="10"/>
        <v>2.4383693764755465E-2</v>
      </c>
      <c r="BT60" s="39"/>
    </row>
    <row r="61" spans="2:98">
      <c r="B61" s="5">
        <v>46080</v>
      </c>
      <c r="C61" s="23">
        <f>IF([1]AIX!H62=0,"",[1]AIX!H62)</f>
        <v>14075.69</v>
      </c>
      <c r="D61" s="22">
        <f t="shared" si="0"/>
        <v>14075.69</v>
      </c>
      <c r="E61" s="23">
        <f>IF([2]AIX!H63=0,"",[2]AIX!H63)</f>
        <v>16942.3</v>
      </c>
      <c r="F61" s="17">
        <f t="shared" si="1"/>
        <v>-2.8518347558580737E-2</v>
      </c>
      <c r="R61" s="39"/>
      <c r="T61" s="5">
        <v>46080</v>
      </c>
      <c r="U61" s="23">
        <f>IF([1]AIX!I62=0,"",[1]AIX!I62)</f>
        <v>13790.14</v>
      </c>
      <c r="V61" s="22">
        <f t="shared" si="3"/>
        <v>13790.14</v>
      </c>
      <c r="W61" s="23">
        <f>IF([2]AIX!I63=0,"",[2]AIX!I63)</f>
        <v>16692.64</v>
      </c>
      <c r="X61" s="17">
        <f t="shared" si="4"/>
        <v>-2.7741957278667129E-2</v>
      </c>
      <c r="AJ61" s="39"/>
      <c r="AL61" s="5">
        <v>46080</v>
      </c>
      <c r="AM61" s="23">
        <f>IF([1]AIX!J62=0,"",[1]AIX!J62)</f>
        <v>837</v>
      </c>
      <c r="AN61" s="22">
        <f t="shared" si="6"/>
        <v>837</v>
      </c>
      <c r="AO61" s="23">
        <f>IF([2]AIX!J63=0,"",[2]AIX!J63)</f>
        <v>982</v>
      </c>
      <c r="AP61" s="17">
        <f t="shared" si="7"/>
        <v>-6.3870352716873247E-2</v>
      </c>
      <c r="BB61" s="39"/>
      <c r="BD61" s="5">
        <v>46080</v>
      </c>
      <c r="BE61" s="42">
        <f t="shared" si="21"/>
        <v>16.816833930704899</v>
      </c>
      <c r="BF61" s="22">
        <f t="shared" si="9"/>
        <v>16.816833930704899</v>
      </c>
      <c r="BG61" s="42">
        <f t="shared" si="22"/>
        <v>17.252851323828921</v>
      </c>
      <c r="BH61" s="17">
        <f t="shared" si="10"/>
        <v>3.7764005510233067E-2</v>
      </c>
      <c r="BT61" s="39"/>
    </row>
    <row r="62" spans="2:98">
      <c r="B62" s="5">
        <v>46081</v>
      </c>
      <c r="C62" s="23">
        <f>IF([1]AIX!H63=0,"",[1]AIX!H63)</f>
        <v>17439.650000000001</v>
      </c>
      <c r="D62" s="22">
        <f t="shared" si="0"/>
        <v>17439.650000000001</v>
      </c>
      <c r="E62" s="23">
        <f>IF([2]AIX!H64=0,"",[2]AIX!H64)</f>
        <v>16095.82</v>
      </c>
      <c r="F62" s="17">
        <f t="shared" si="1"/>
        <v>-3.7636395161820713E-2</v>
      </c>
      <c r="H62" s="4"/>
      <c r="I62" s="4"/>
      <c r="J62" s="33"/>
      <c r="K62" s="4"/>
      <c r="R62" s="39"/>
      <c r="T62" s="5">
        <v>46081</v>
      </c>
      <c r="U62" s="23">
        <f>IF([1]AIX!I63=0,"",[1]AIX!I63)</f>
        <v>17168.939999999999</v>
      </c>
      <c r="V62" s="22">
        <f t="shared" si="3"/>
        <v>17168.939999999999</v>
      </c>
      <c r="W62" s="23">
        <f>IF([2]AIX!I64=0,"",[2]AIX!I64)</f>
        <v>15867.14</v>
      </c>
      <c r="X62" s="17">
        <f t="shared" si="4"/>
        <v>-3.6824578208522807E-2</v>
      </c>
      <c r="Z62" s="4"/>
      <c r="AA62" s="4"/>
      <c r="AB62" s="33"/>
      <c r="AC62" s="4"/>
      <c r="AJ62" s="39"/>
      <c r="AL62" s="5">
        <v>46081</v>
      </c>
      <c r="AM62" s="23">
        <f>IF([1]AIX!J63=0,"",[1]AIX!J63)</f>
        <v>1049</v>
      </c>
      <c r="AN62" s="22">
        <f t="shared" si="6"/>
        <v>1049</v>
      </c>
      <c r="AO62" s="23">
        <f>IF([2]AIX!J64=0,"",[2]AIX!J64)</f>
        <v>927</v>
      </c>
      <c r="AP62" s="17">
        <f t="shared" si="7"/>
        <v>-2.1528525296017342E-3</v>
      </c>
      <c r="AR62" s="4"/>
      <c r="AS62" s="4"/>
      <c r="AT62" s="33"/>
      <c r="AU62" s="4"/>
      <c r="BB62" s="39"/>
      <c r="BD62" s="5">
        <v>46081</v>
      </c>
      <c r="BE62" s="42">
        <f t="shared" si="21"/>
        <v>16.625023832221164</v>
      </c>
      <c r="BF62" s="22">
        <f t="shared" si="9"/>
        <v>16.625023832221164</v>
      </c>
      <c r="BG62" s="42">
        <f t="shared" si="22"/>
        <v>17.36334412081985</v>
      </c>
      <c r="BH62" s="17">
        <f t="shared" si="10"/>
        <v>-3.5560098279753372E-2</v>
      </c>
      <c r="BJ62" s="4"/>
      <c r="BK62" s="4"/>
      <c r="BL62" s="33"/>
      <c r="BM62" s="4"/>
      <c r="BT62" s="39"/>
    </row>
    <row r="63" spans="2:98">
      <c r="B63" s="5">
        <v>46082</v>
      </c>
      <c r="C63" s="23">
        <f>IF([1]AIX!H64=0,"",[1]AIX!H64)</f>
        <v>16725.3</v>
      </c>
      <c r="D63" s="22">
        <f t="shared" si="0"/>
        <v>16725.3</v>
      </c>
      <c r="E63" s="24">
        <f>IF([2]AIX!H65=0,"",[2]AIX!H65)</f>
        <v>20445.13</v>
      </c>
      <c r="F63" s="17">
        <f t="shared" si="1"/>
        <v>0.11156822821663637</v>
      </c>
      <c r="H63" s="4"/>
      <c r="I63" s="31"/>
      <c r="J63" s="34"/>
      <c r="K63" s="14"/>
      <c r="R63" s="39"/>
      <c r="T63" s="5">
        <v>46082</v>
      </c>
      <c r="U63" s="23">
        <f>IF([1]AIX!I64=0,"",[1]AIX!I64)</f>
        <v>16473.78</v>
      </c>
      <c r="V63" s="22">
        <f t="shared" si="3"/>
        <v>16473.78</v>
      </c>
      <c r="W63" s="24">
        <f>IF([2]AIX!I65=0,"",[2]AIX!I65)</f>
        <v>20097.419999999998</v>
      </c>
      <c r="X63" s="17">
        <f t="shared" si="4"/>
        <v>0.10781712166495971</v>
      </c>
      <c r="Z63" s="4"/>
      <c r="AA63" s="31"/>
      <c r="AB63" s="34"/>
      <c r="AC63" s="14"/>
      <c r="AJ63" s="39"/>
      <c r="AL63" s="5">
        <v>46082</v>
      </c>
      <c r="AM63" s="23">
        <f>IF([1]AIX!J64=0,"",[1]AIX!J64)</f>
        <v>929</v>
      </c>
      <c r="AN63" s="22">
        <f t="shared" si="6"/>
        <v>929</v>
      </c>
      <c r="AO63" s="24">
        <f>IF([2]AIX!J65=0,"",[2]AIX!J65)</f>
        <v>1032</v>
      </c>
      <c r="AP63" s="17">
        <f t="shared" si="7"/>
        <v>5.5214723926380271E-2</v>
      </c>
      <c r="AR63" s="4"/>
      <c r="AS63" s="31"/>
      <c r="AT63" s="34"/>
      <c r="AU63" s="14"/>
      <c r="BB63" s="39"/>
      <c r="BD63" s="5">
        <v>46082</v>
      </c>
      <c r="BE63" s="42">
        <f t="shared" si="21"/>
        <v>18.003552206673842</v>
      </c>
      <c r="BF63" s="22">
        <f t="shared" si="9"/>
        <v>18.003552206673842</v>
      </c>
      <c r="BG63" s="43">
        <f t="shared" si="22"/>
        <v>19.811172480620154</v>
      </c>
      <c r="BH63" s="17">
        <f t="shared" si="10"/>
        <v>5.3404774414602896E-2</v>
      </c>
      <c r="BJ63" s="4"/>
      <c r="BK63" s="31"/>
      <c r="BL63" s="34"/>
      <c r="BM63" s="14"/>
      <c r="BT63" s="39"/>
    </row>
    <row r="64" spans="2:98">
      <c r="B64" s="5">
        <v>46083</v>
      </c>
      <c r="C64" s="24">
        <f>IF([1]AIX!H65=0,"",[1]AIX!H65)</f>
        <v>18393.05</v>
      </c>
      <c r="D64" s="22">
        <f t="shared" si="0"/>
        <v>18393.05</v>
      </c>
      <c r="E64" s="21">
        <f>IF([2]AIX!H66=0,"",[2]AIX!H66)</f>
        <v>9762.39</v>
      </c>
      <c r="F64" s="17">
        <f t="shared" si="1"/>
        <v>-0.28681552695885959</v>
      </c>
      <c r="R64" s="39"/>
      <c r="T64" s="5">
        <v>46083</v>
      </c>
      <c r="U64" s="24">
        <f>IF([1]AIX!I65=0,"",[1]AIX!I65)</f>
        <v>18141.46</v>
      </c>
      <c r="V64" s="22">
        <f t="shared" si="3"/>
        <v>18141.46</v>
      </c>
      <c r="W64" s="21">
        <f>IF([2]AIX!I66=0,"",[2]AIX!I66)</f>
        <v>9551.84</v>
      </c>
      <c r="X64" s="17">
        <f t="shared" si="4"/>
        <v>-0.29115727637166189</v>
      </c>
      <c r="AJ64" s="39"/>
      <c r="AL64" s="5">
        <v>46083</v>
      </c>
      <c r="AM64" s="24">
        <f>IF([1]AIX!J65=0,"",[1]AIX!J65)</f>
        <v>978</v>
      </c>
      <c r="AN64" s="22">
        <f t="shared" si="6"/>
        <v>978</v>
      </c>
      <c r="AO64" s="21">
        <f>IF([2]AIX!J66=0,"",[2]AIX!J66)</f>
        <v>548</v>
      </c>
      <c r="AP64" s="17">
        <f t="shared" si="7"/>
        <v>-0.32595325953259535</v>
      </c>
      <c r="BB64" s="39"/>
      <c r="BD64" s="5">
        <v>46083</v>
      </c>
      <c r="BE64" s="43">
        <f t="shared" si="21"/>
        <v>18.806799591002044</v>
      </c>
      <c r="BF64" s="22">
        <f t="shared" si="9"/>
        <v>18.806799591002044</v>
      </c>
      <c r="BG64" s="41">
        <f t="shared" si="22"/>
        <v>17.814580291970803</v>
      </c>
      <c r="BH64" s="17">
        <f t="shared" si="10"/>
        <v>5.8063825880378062E-2</v>
      </c>
      <c r="BT64" s="39"/>
    </row>
    <row r="65" spans="2:72">
      <c r="B65" s="5">
        <v>46084</v>
      </c>
      <c r="C65" s="21">
        <f>IF([1]AIX!H66=0,"",[1]AIX!H66)</f>
        <v>13688.45</v>
      </c>
      <c r="D65" s="22">
        <f t="shared" si="0"/>
        <v>13688.45</v>
      </c>
      <c r="E65" s="23">
        <f>IF([2]AIX!H67=0,"",[2]AIX!H67)</f>
        <v>9260.08</v>
      </c>
      <c r="F65" s="17">
        <f t="shared" si="1"/>
        <v>-0.33610598696742855</v>
      </c>
      <c r="R65" s="39"/>
      <c r="T65" s="5">
        <v>46084</v>
      </c>
      <c r="U65" s="21">
        <f>IF([1]AIX!I66=0,"",[1]AIX!I66)</f>
        <v>13475.26</v>
      </c>
      <c r="V65" s="22">
        <f t="shared" si="3"/>
        <v>13475.26</v>
      </c>
      <c r="W65" s="23">
        <f>IF([2]AIX!I67=0,"",[2]AIX!I67)</f>
        <v>9082.82</v>
      </c>
      <c r="X65" s="17">
        <f t="shared" si="4"/>
        <v>-0.33671784573254226</v>
      </c>
      <c r="AJ65" s="39"/>
      <c r="AL65" s="5">
        <v>46084</v>
      </c>
      <c r="AM65" s="21">
        <f>IF([1]AIX!J66=0,"",[1]AIX!J66)</f>
        <v>813</v>
      </c>
      <c r="AN65" s="22">
        <f t="shared" si="6"/>
        <v>813</v>
      </c>
      <c r="AO65" s="23">
        <f>IF([2]AIX!J67=0,"",[2]AIX!J67)</f>
        <v>550</v>
      </c>
      <c r="AP65" s="17">
        <f t="shared" si="7"/>
        <v>-0.32098765432098764</v>
      </c>
      <c r="BB65" s="39"/>
      <c r="BD65" s="5">
        <v>46084</v>
      </c>
      <c r="BE65" s="41">
        <f t="shared" si="21"/>
        <v>16.836961869618698</v>
      </c>
      <c r="BF65" s="22">
        <f t="shared" si="9"/>
        <v>16.836961869618698</v>
      </c>
      <c r="BG65" s="42">
        <f t="shared" si="22"/>
        <v>16.83650909090909</v>
      </c>
      <c r="BH65" s="17">
        <f t="shared" si="10"/>
        <v>-2.2265180806576801E-2</v>
      </c>
      <c r="BT65" s="39"/>
    </row>
    <row r="66" spans="2:72">
      <c r="B66" s="5">
        <v>46085</v>
      </c>
      <c r="C66" s="23">
        <f>IF([1]AIX!H67=0,"",[1]AIX!H67)</f>
        <v>13948.13</v>
      </c>
      <c r="D66" s="22">
        <f t="shared" si="0"/>
        <v>13948.13</v>
      </c>
      <c r="E66" s="23">
        <f>IF([2]AIX!H68=0,"",[2]AIX!H68)</f>
        <v>12380.39</v>
      </c>
      <c r="F66" s="17">
        <f t="shared" si="1"/>
        <v>-0.12459987767411107</v>
      </c>
      <c r="R66" s="39"/>
      <c r="T66" s="5">
        <v>46085</v>
      </c>
      <c r="U66" s="23">
        <f>IF([1]AIX!I67=0,"",[1]AIX!I67)</f>
        <v>13693.75</v>
      </c>
      <c r="V66" s="22">
        <f t="shared" si="3"/>
        <v>13693.75</v>
      </c>
      <c r="W66" s="23">
        <f>IF([2]AIX!I68=0,"",[2]AIX!I68)</f>
        <v>12086.39</v>
      </c>
      <c r="X66" s="17">
        <f t="shared" si="4"/>
        <v>-0.1294747486678931</v>
      </c>
      <c r="AJ66" s="39"/>
      <c r="AL66" s="5">
        <v>46085</v>
      </c>
      <c r="AM66" s="23">
        <f>IF([1]AIX!J67=0,"",[1]AIX!J67)</f>
        <v>810</v>
      </c>
      <c r="AN66" s="22">
        <f t="shared" si="6"/>
        <v>810</v>
      </c>
      <c r="AO66" s="23">
        <f>IF([2]AIX!J68=0,"",[2]AIX!J68)</f>
        <v>705</v>
      </c>
      <c r="AP66" s="17">
        <f t="shared" si="7"/>
        <v>-0.14129110840438486</v>
      </c>
      <c r="BB66" s="39"/>
      <c r="BD66" s="5">
        <v>46085</v>
      </c>
      <c r="BE66" s="42">
        <f t="shared" si="21"/>
        <v>17.219913580246914</v>
      </c>
      <c r="BF66" s="22">
        <f t="shared" si="9"/>
        <v>17.219913580246914</v>
      </c>
      <c r="BG66" s="42">
        <f t="shared" si="22"/>
        <v>17.560836879432625</v>
      </c>
      <c r="BH66" s="17">
        <f t="shared" si="10"/>
        <v>1.9437589261779964E-2</v>
      </c>
      <c r="BT66" s="39"/>
    </row>
    <row r="67" spans="2:72">
      <c r="B67" s="5">
        <v>46086</v>
      </c>
      <c r="C67" s="23">
        <f>IF([1]AIX!H68=0,"",[1]AIX!H68)</f>
        <v>14142.55</v>
      </c>
      <c r="D67" s="22">
        <f t="shared" si="0"/>
        <v>14142.55</v>
      </c>
      <c r="E67" s="23">
        <f>IF([2]AIX!H69=0,"",[2]AIX!H69)</f>
        <v>9372.4</v>
      </c>
      <c r="F67" s="17">
        <f t="shared" si="1"/>
        <v>-0.27226421613731044</v>
      </c>
      <c r="R67" s="39"/>
      <c r="T67" s="5">
        <v>46086</v>
      </c>
      <c r="U67" s="23">
        <f>IF([1]AIX!I68=0,"",[1]AIX!I68)</f>
        <v>13884.02</v>
      </c>
      <c r="V67" s="22">
        <f t="shared" si="3"/>
        <v>13884.02</v>
      </c>
      <c r="W67" s="23">
        <f>IF([2]AIX!I69=0,"",[2]AIX!I69)</f>
        <v>9166.57</v>
      </c>
      <c r="X67" s="17">
        <f t="shared" si="4"/>
        <v>-0.27908112546322805</v>
      </c>
      <c r="AJ67" s="39"/>
      <c r="AL67" s="5">
        <v>46086</v>
      </c>
      <c r="AM67" s="23">
        <f>IF([1]AIX!J68=0,"",[1]AIX!J68)</f>
        <v>821</v>
      </c>
      <c r="AN67" s="22">
        <f t="shared" si="6"/>
        <v>821</v>
      </c>
      <c r="AO67" s="23">
        <f>IF([2]AIX!J69=0,"",[2]AIX!J69)</f>
        <v>560</v>
      </c>
      <c r="AP67" s="17">
        <f t="shared" si="7"/>
        <v>-0.27178153446033815</v>
      </c>
      <c r="BB67" s="39"/>
      <c r="BD67" s="5">
        <v>46086</v>
      </c>
      <c r="BE67" s="42">
        <f t="shared" si="21"/>
        <v>17.226004872107186</v>
      </c>
      <c r="BF67" s="22">
        <f t="shared" si="9"/>
        <v>17.226004872107186</v>
      </c>
      <c r="BG67" s="42">
        <f t="shared" si="22"/>
        <v>16.736428571428572</v>
      </c>
      <c r="BH67" s="17">
        <f t="shared" si="10"/>
        <v>-6.6282537427075905E-4</v>
      </c>
      <c r="BT67" s="39"/>
    </row>
    <row r="68" spans="2:72">
      <c r="B68" s="5">
        <v>46087</v>
      </c>
      <c r="C68" s="23">
        <f>IF([1]AIX!H69=0,"",[1]AIX!H69)</f>
        <v>12878.85</v>
      </c>
      <c r="D68" s="22">
        <f t="shared" ref="D68:D131" si="33">IF(E67="","",C68)</f>
        <v>12878.85</v>
      </c>
      <c r="E68" s="23">
        <f>IF([2]AIX!H70=0,"",[2]AIX!H70)</f>
        <v>13952.03</v>
      </c>
      <c r="F68" s="17">
        <f t="shared" ref="F68:F131" si="34">IF(E68="","",(E68/C69)-1)</f>
        <v>-0.20586142675977126</v>
      </c>
      <c r="R68" s="39"/>
      <c r="T68" s="5">
        <v>46087</v>
      </c>
      <c r="U68" s="23">
        <f>IF([1]AIX!I69=0,"",[1]AIX!I69)</f>
        <v>12715.12</v>
      </c>
      <c r="V68" s="22">
        <f t="shared" ref="V68:V131" si="35">IF(W67="","",U68)</f>
        <v>12715.12</v>
      </c>
      <c r="W68" s="23">
        <f>IF([2]AIX!I70=0,"",[2]AIX!I70)</f>
        <v>13672.2</v>
      </c>
      <c r="X68" s="17">
        <f t="shared" ref="X68:X131" si="36">IF(W68="","",(W68/U69)-1)</f>
        <v>-0.20907674134202769</v>
      </c>
      <c r="AJ68" s="39"/>
      <c r="AL68" s="5">
        <v>46087</v>
      </c>
      <c r="AM68" s="23">
        <f>IF([1]AIX!J69=0,"",[1]AIX!J69)</f>
        <v>769</v>
      </c>
      <c r="AN68" s="22">
        <f t="shared" ref="AN68:AN131" si="37">IF(AO67="","",AM68)</f>
        <v>769</v>
      </c>
      <c r="AO68" s="23">
        <f>IF([2]AIX!J70=0,"",[2]AIX!J70)</f>
        <v>796</v>
      </c>
      <c r="AP68" s="17">
        <f t="shared" ref="AP68:AP131" si="38">IF(AO68="","",(AO68/AM69)-1)</f>
        <v>-0.22942884801548891</v>
      </c>
      <c r="BB68" s="39"/>
      <c r="BD68" s="5">
        <v>46087</v>
      </c>
      <c r="BE68" s="42">
        <f t="shared" si="21"/>
        <v>16.747529258777632</v>
      </c>
      <c r="BF68" s="22">
        <f t="shared" ref="BF68:BF131" si="39">IF(BG67="","",BE68)</f>
        <v>16.747529258777632</v>
      </c>
      <c r="BG68" s="42">
        <f t="shared" si="22"/>
        <v>17.527675879396984</v>
      </c>
      <c r="BH68" s="17">
        <f t="shared" ref="BH68:BH131" si="40">IF(BG68="","",(BG68/BE69)-1)</f>
        <v>3.0584354468789154E-2</v>
      </c>
      <c r="BT68" s="39"/>
    </row>
    <row r="69" spans="2:72">
      <c r="B69" s="5">
        <v>46088</v>
      </c>
      <c r="C69" s="23">
        <f>IF([1]AIX!H70=0,"",[1]AIX!H70)</f>
        <v>17568.759999999998</v>
      </c>
      <c r="D69" s="22">
        <f t="shared" si="33"/>
        <v>17568.759999999998</v>
      </c>
      <c r="E69" s="23">
        <f>IF([2]AIX!H71=0,"",[2]AIX!H71)</f>
        <v>19290.419999999998</v>
      </c>
      <c r="F69" s="17">
        <f t="shared" si="34"/>
        <v>0.12264955822461121</v>
      </c>
      <c r="R69" s="39"/>
      <c r="T69" s="5">
        <v>46088</v>
      </c>
      <c r="U69" s="23">
        <f>IF([1]AIX!I70=0,"",[1]AIX!I70)</f>
        <v>17286.38</v>
      </c>
      <c r="V69" s="22">
        <f t="shared" si="35"/>
        <v>17286.38</v>
      </c>
      <c r="W69" s="23">
        <f>IF([2]AIX!I71=0,"",[2]AIX!I71)</f>
        <v>18913.52</v>
      </c>
      <c r="X69" s="17">
        <f t="shared" si="36"/>
        <v>0.11778663881880647</v>
      </c>
      <c r="AJ69" s="39"/>
      <c r="AL69" s="5">
        <v>46088</v>
      </c>
      <c r="AM69" s="23">
        <f>IF([1]AIX!J70=0,"",[1]AIX!J70)</f>
        <v>1033</v>
      </c>
      <c r="AN69" s="22">
        <f t="shared" si="37"/>
        <v>1033</v>
      </c>
      <c r="AO69" s="23">
        <f>IF([2]AIX!J71=0,"",[2]AIX!J71)</f>
        <v>1065</v>
      </c>
      <c r="AP69" s="17">
        <f t="shared" si="38"/>
        <v>7.0351758793969932E-2</v>
      </c>
      <c r="BB69" s="39"/>
      <c r="BD69" s="5">
        <v>46088</v>
      </c>
      <c r="BE69" s="42">
        <f t="shared" ref="BE69:BE132" si="41">IFERROR(C69/AM69,"")</f>
        <v>17.007512100677637</v>
      </c>
      <c r="BF69" s="22">
        <f t="shared" si="39"/>
        <v>17.007512100677637</v>
      </c>
      <c r="BG69" s="42">
        <f t="shared" ref="BG69:BG132" si="42">IFERROR(E69/AO69,"")</f>
        <v>18.113070422535209</v>
      </c>
      <c r="BH69" s="17">
        <f t="shared" si="40"/>
        <v>4.8860385383556748E-2</v>
      </c>
      <c r="BT69" s="39"/>
    </row>
    <row r="70" spans="2:72">
      <c r="B70" s="5">
        <v>46089</v>
      </c>
      <c r="C70" s="23">
        <f>IF([1]AIX!H71=0,"",[1]AIX!H71)</f>
        <v>17182.939999999999</v>
      </c>
      <c r="D70" s="22">
        <f t="shared" si="33"/>
        <v>17182.939999999999</v>
      </c>
      <c r="E70" s="24">
        <f>IF([2]AIX!H72=0,"",[2]AIX!H72)</f>
        <v>18626.28</v>
      </c>
      <c r="F70" s="17">
        <f t="shared" si="34"/>
        <v>0.12741416503845948</v>
      </c>
      <c r="R70" s="39"/>
      <c r="T70" s="5">
        <v>46089</v>
      </c>
      <c r="U70" s="23">
        <f>IF([1]AIX!I71=0,"",[1]AIX!I71)</f>
        <v>16920.509999999998</v>
      </c>
      <c r="V70" s="22">
        <f t="shared" si="35"/>
        <v>16920.509999999998</v>
      </c>
      <c r="W70" s="24">
        <f>IF([2]AIX!I72=0,"",[2]AIX!I72)</f>
        <v>18312.25</v>
      </c>
      <c r="X70" s="17">
        <f t="shared" si="36"/>
        <v>0.12725523376745684</v>
      </c>
      <c r="AJ70" s="39"/>
      <c r="AL70" s="5">
        <v>46089</v>
      </c>
      <c r="AM70" s="23">
        <f>IF([1]AIX!J71=0,"",[1]AIX!J71)</f>
        <v>995</v>
      </c>
      <c r="AN70" s="22">
        <f t="shared" si="37"/>
        <v>995</v>
      </c>
      <c r="AO70" s="24">
        <f>IF([2]AIX!J72=0,"",[2]AIX!J72)</f>
        <v>1011</v>
      </c>
      <c r="AP70" s="17">
        <f t="shared" si="38"/>
        <v>0.15675057208237986</v>
      </c>
      <c r="BB70" s="39"/>
      <c r="BD70" s="5">
        <v>46089</v>
      </c>
      <c r="BE70" s="42">
        <f t="shared" si="41"/>
        <v>17.269286432160804</v>
      </c>
      <c r="BF70" s="22">
        <f t="shared" si="39"/>
        <v>17.269286432160804</v>
      </c>
      <c r="BG70" s="43">
        <f t="shared" si="42"/>
        <v>18.423620178041542</v>
      </c>
      <c r="BH70" s="17">
        <f t="shared" si="40"/>
        <v>-2.5361048225901572E-2</v>
      </c>
      <c r="BT70" s="39"/>
    </row>
    <row r="71" spans="2:72">
      <c r="B71" s="5">
        <v>46090</v>
      </c>
      <c r="C71" s="24">
        <f>IF([1]AIX!H72=0,"",[1]AIX!H72)</f>
        <v>16521.240000000002</v>
      </c>
      <c r="D71" s="22">
        <f t="shared" si="33"/>
        <v>16521.240000000002</v>
      </c>
      <c r="E71" s="21">
        <f>IF([2]AIX!H73=0,"",[2]AIX!H73)</f>
        <v>7939.67</v>
      </c>
      <c r="F71" s="17">
        <f t="shared" si="34"/>
        <v>-5.7764744695849468E-2</v>
      </c>
      <c r="R71" s="39"/>
      <c r="T71" s="5">
        <v>46090</v>
      </c>
      <c r="U71" s="24">
        <f>IF([1]AIX!I72=0,"",[1]AIX!I72)</f>
        <v>16244.99</v>
      </c>
      <c r="V71" s="22">
        <f t="shared" si="35"/>
        <v>16244.99</v>
      </c>
      <c r="W71" s="21">
        <f>IF([2]AIX!I73=0,"",[2]AIX!I73)</f>
        <v>7829.9</v>
      </c>
      <c r="X71" s="17">
        <f t="shared" si="36"/>
        <v>-5.7170173926027301E-2</v>
      </c>
      <c r="AJ71" s="39"/>
      <c r="AL71" s="5">
        <v>46090</v>
      </c>
      <c r="AM71" s="24">
        <f>IF([1]AIX!J72=0,"",[1]AIX!J72)</f>
        <v>874</v>
      </c>
      <c r="AN71" s="22">
        <f t="shared" si="37"/>
        <v>874</v>
      </c>
      <c r="AO71" s="21">
        <f>IF([2]AIX!J73=0,"",[2]AIX!J73)</f>
        <v>472</v>
      </c>
      <c r="AP71" s="17">
        <f t="shared" si="38"/>
        <v>-0.10943396226415092</v>
      </c>
      <c r="BB71" s="39"/>
      <c r="BD71" s="5">
        <v>46090</v>
      </c>
      <c r="BE71" s="43">
        <f t="shared" si="41"/>
        <v>18.903020594965678</v>
      </c>
      <c r="BF71" s="22">
        <f t="shared" si="39"/>
        <v>18.903020594965678</v>
      </c>
      <c r="BG71" s="41">
        <f t="shared" si="42"/>
        <v>16.821334745762712</v>
      </c>
      <c r="BH71" s="17">
        <f t="shared" si="40"/>
        <v>5.8018401083050453E-2</v>
      </c>
      <c r="BT71" s="39"/>
    </row>
    <row r="72" spans="2:72">
      <c r="B72" s="5">
        <v>46091</v>
      </c>
      <c r="C72" s="21">
        <f>IF([1]AIX!H73=0,"",[1]AIX!H73)</f>
        <v>8426.42</v>
      </c>
      <c r="D72" s="22">
        <f t="shared" si="33"/>
        <v>8426.42</v>
      </c>
      <c r="E72" s="23">
        <f>IF([2]AIX!H74=0,"",[2]AIX!H74)</f>
        <v>8656.69</v>
      </c>
      <c r="F72" s="17">
        <f t="shared" si="34"/>
        <v>-5.9595145394816917E-2</v>
      </c>
      <c r="R72" s="39"/>
      <c r="T72" s="5">
        <v>46091</v>
      </c>
      <c r="U72" s="21">
        <f>IF([1]AIX!I73=0,"",[1]AIX!I73)</f>
        <v>8304.68</v>
      </c>
      <c r="V72" s="22">
        <f t="shared" si="35"/>
        <v>8304.68</v>
      </c>
      <c r="W72" s="23">
        <f>IF([2]AIX!I74=0,"",[2]AIX!I74)</f>
        <v>8491.8799999999992</v>
      </c>
      <c r="X72" s="17">
        <f t="shared" si="36"/>
        <v>-6.935649673305766E-2</v>
      </c>
      <c r="AJ72" s="39"/>
      <c r="AL72" s="5">
        <v>46091</v>
      </c>
      <c r="AM72" s="21">
        <f>IF([1]AIX!J73=0,"",[1]AIX!J73)</f>
        <v>530</v>
      </c>
      <c r="AN72" s="22">
        <f t="shared" si="37"/>
        <v>530</v>
      </c>
      <c r="AO72" s="23">
        <f>IF([2]AIX!J74=0,"",[2]AIX!J74)</f>
        <v>494</v>
      </c>
      <c r="AP72" s="17">
        <f t="shared" si="38"/>
        <v>-0.10507246376811596</v>
      </c>
      <c r="BB72" s="39"/>
      <c r="BD72" s="5">
        <v>46091</v>
      </c>
      <c r="BE72" s="41">
        <f t="shared" si="41"/>
        <v>15.898905660377359</v>
      </c>
      <c r="BF72" s="22">
        <f t="shared" si="39"/>
        <v>15.898905660377359</v>
      </c>
      <c r="BG72" s="42">
        <f t="shared" si="42"/>
        <v>17.523663967611338</v>
      </c>
      <c r="BH72" s="17">
        <f t="shared" si="40"/>
        <v>5.0816760611459566E-2</v>
      </c>
      <c r="BT72" s="39"/>
    </row>
    <row r="73" spans="2:72">
      <c r="B73" s="5">
        <v>46092</v>
      </c>
      <c r="C73" s="23">
        <f>IF([1]AIX!H74=0,"",[1]AIX!H74)</f>
        <v>9205.2800000000007</v>
      </c>
      <c r="D73" s="22">
        <f t="shared" si="33"/>
        <v>9205.2800000000007</v>
      </c>
      <c r="E73" s="23">
        <f>IF([2]AIX!H75=0,"",[2]AIX!H75)</f>
        <v>11708.15</v>
      </c>
      <c r="F73" s="17">
        <f t="shared" si="34"/>
        <v>8.3433889910905501E-2</v>
      </c>
      <c r="R73" s="39"/>
      <c r="T73" s="5">
        <v>46092</v>
      </c>
      <c r="U73" s="23">
        <f>IF([1]AIX!I74=0,"",[1]AIX!I74)</f>
        <v>9124.74</v>
      </c>
      <c r="V73" s="22">
        <f t="shared" si="35"/>
        <v>9124.74</v>
      </c>
      <c r="W73" s="23">
        <f>IF([2]AIX!I75=0,"",[2]AIX!I75)</f>
        <v>11459.45</v>
      </c>
      <c r="X73" s="17">
        <f t="shared" si="36"/>
        <v>7.7607446192271112E-2</v>
      </c>
      <c r="AJ73" s="39"/>
      <c r="AL73" s="5">
        <v>46092</v>
      </c>
      <c r="AM73" s="23">
        <f>IF([1]AIX!J74=0,"",[1]AIX!J74)</f>
        <v>552</v>
      </c>
      <c r="AN73" s="22">
        <f t="shared" si="37"/>
        <v>552</v>
      </c>
      <c r="AO73" s="23">
        <f>IF([2]AIX!J75=0,"",[2]AIX!J75)</f>
        <v>618</v>
      </c>
      <c r="AP73" s="17">
        <f t="shared" si="38"/>
        <v>-6.2215477996965141E-2</v>
      </c>
      <c r="BB73" s="39"/>
      <c r="BD73" s="5">
        <v>46092</v>
      </c>
      <c r="BE73" s="42">
        <f t="shared" si="41"/>
        <v>16.676231884057973</v>
      </c>
      <c r="BF73" s="22">
        <f t="shared" si="39"/>
        <v>16.676231884057973</v>
      </c>
      <c r="BG73" s="42">
        <f t="shared" si="42"/>
        <v>18.945226537216829</v>
      </c>
      <c r="BH73" s="17">
        <f t="shared" si="40"/>
        <v>0.1553121900506258</v>
      </c>
      <c r="BT73" s="39"/>
    </row>
    <row r="74" spans="2:72">
      <c r="B74" s="5">
        <v>46093</v>
      </c>
      <c r="C74" s="23">
        <f>IF([1]AIX!H75=0,"",[1]AIX!H75)</f>
        <v>10806.52</v>
      </c>
      <c r="D74" s="22">
        <f t="shared" si="33"/>
        <v>10806.52</v>
      </c>
      <c r="E74" s="23">
        <f>IF([2]AIX!H76=0,"",[2]AIX!H76)</f>
        <v>8821.4500000000007</v>
      </c>
      <c r="F74" s="17">
        <f t="shared" si="34"/>
        <v>-3.3027321805376597E-2</v>
      </c>
      <c r="R74" s="39"/>
      <c r="T74" s="5">
        <v>46093</v>
      </c>
      <c r="U74" s="23">
        <f>IF([1]AIX!I75=0,"",[1]AIX!I75)</f>
        <v>10634.16</v>
      </c>
      <c r="V74" s="22">
        <f t="shared" si="35"/>
        <v>10634.16</v>
      </c>
      <c r="W74" s="23">
        <f>IF([2]AIX!I76=0,"",[2]AIX!I76)</f>
        <v>8673.24</v>
      </c>
      <c r="X74" s="17">
        <f t="shared" si="36"/>
        <v>-3.2371644688399481E-2</v>
      </c>
      <c r="AJ74" s="39"/>
      <c r="AL74" s="5">
        <v>46093</v>
      </c>
      <c r="AM74" s="23">
        <f>IF([1]AIX!J75=0,"",[1]AIX!J75)</f>
        <v>659</v>
      </c>
      <c r="AN74" s="22">
        <f t="shared" si="37"/>
        <v>659</v>
      </c>
      <c r="AO74" s="23">
        <f>IF([2]AIX!J76=0,"",[2]AIX!J76)</f>
        <v>524</v>
      </c>
      <c r="AP74" s="17">
        <f t="shared" si="38"/>
        <v>-6.7615658362989328E-2</v>
      </c>
      <c r="BB74" s="39"/>
      <c r="BD74" s="5">
        <v>46093</v>
      </c>
      <c r="BE74" s="42">
        <f t="shared" si="41"/>
        <v>16.39836115326252</v>
      </c>
      <c r="BF74" s="22">
        <f t="shared" si="39"/>
        <v>16.39836115326252</v>
      </c>
      <c r="BG74" s="42">
        <f t="shared" si="42"/>
        <v>16.83482824427481</v>
      </c>
      <c r="BH74" s="17">
        <f t="shared" si="40"/>
        <v>3.7096651040798401E-2</v>
      </c>
      <c r="BT74" s="39"/>
    </row>
    <row r="75" spans="2:72">
      <c r="B75" s="5">
        <v>46094</v>
      </c>
      <c r="C75" s="23">
        <f>IF([1]AIX!H76=0,"",[1]AIX!H76)</f>
        <v>9122.75</v>
      </c>
      <c r="D75" s="22">
        <f t="shared" si="33"/>
        <v>9122.75</v>
      </c>
      <c r="E75" s="23">
        <f>IF([2]AIX!H77=0,"",[2]AIX!H77)</f>
        <v>13370.08</v>
      </c>
      <c r="F75" s="17">
        <f t="shared" si="34"/>
        <v>5.0591533713021386E-2</v>
      </c>
      <c r="R75" s="39"/>
      <c r="T75" s="5">
        <v>46094</v>
      </c>
      <c r="U75" s="23">
        <f>IF([1]AIX!I76=0,"",[1]AIX!I76)</f>
        <v>8963.4</v>
      </c>
      <c r="V75" s="22">
        <f t="shared" si="35"/>
        <v>8963.4</v>
      </c>
      <c r="W75" s="23">
        <f>IF([2]AIX!I77=0,"",[2]AIX!I77)</f>
        <v>13125.36</v>
      </c>
      <c r="X75" s="17">
        <f t="shared" si="36"/>
        <v>4.6543391887657437E-2</v>
      </c>
      <c r="AJ75" s="39"/>
      <c r="AL75" s="5">
        <v>46094</v>
      </c>
      <c r="AM75" s="23">
        <f>IF([1]AIX!J76=0,"",[1]AIX!J76)</f>
        <v>562</v>
      </c>
      <c r="AN75" s="22">
        <f t="shared" si="37"/>
        <v>562</v>
      </c>
      <c r="AO75" s="23">
        <f>IF([2]AIX!J77=0,"",[2]AIX!J77)</f>
        <v>805</v>
      </c>
      <c r="AP75" s="17">
        <f t="shared" si="38"/>
        <v>7.0478723404255428E-2</v>
      </c>
      <c r="BB75" s="39"/>
      <c r="BD75" s="5">
        <v>46094</v>
      </c>
      <c r="BE75" s="42">
        <f t="shared" si="41"/>
        <v>16.232651245551601</v>
      </c>
      <c r="BF75" s="22">
        <f t="shared" si="39"/>
        <v>16.232651245551601</v>
      </c>
      <c r="BG75" s="42">
        <f t="shared" si="42"/>
        <v>16.608795031055902</v>
      </c>
      <c r="BH75" s="17">
        <f t="shared" si="40"/>
        <v>-1.8577846767463324E-2</v>
      </c>
      <c r="BT75" s="39"/>
    </row>
    <row r="76" spans="2:72">
      <c r="B76" s="5">
        <v>46095</v>
      </c>
      <c r="C76" s="23">
        <f>IF([1]AIX!H77=0,"",[1]AIX!H77)</f>
        <v>12726.24</v>
      </c>
      <c r="D76" s="22">
        <f t="shared" si="33"/>
        <v>12726.24</v>
      </c>
      <c r="E76" s="23">
        <f>IF([2]AIX!H78=0,"",[2]AIX!H78)</f>
        <v>14286.51</v>
      </c>
      <c r="F76" s="17">
        <f t="shared" si="34"/>
        <v>5.5390900293276646E-2</v>
      </c>
      <c r="R76" s="39"/>
      <c r="T76" s="5">
        <v>46095</v>
      </c>
      <c r="U76" s="23">
        <f>IF([1]AIX!I77=0,"",[1]AIX!I77)</f>
        <v>12541.63</v>
      </c>
      <c r="V76" s="22">
        <f t="shared" si="35"/>
        <v>12541.63</v>
      </c>
      <c r="W76" s="23">
        <f>IF([2]AIX!I78=0,"",[2]AIX!I78)</f>
        <v>13948.74</v>
      </c>
      <c r="X76" s="17">
        <f t="shared" si="36"/>
        <v>4.1715707653978695E-2</v>
      </c>
      <c r="AJ76" s="39"/>
      <c r="AL76" s="5">
        <v>46095</v>
      </c>
      <c r="AM76" s="23">
        <f>IF([1]AIX!J77=0,"",[1]AIX!J77)</f>
        <v>752</v>
      </c>
      <c r="AN76" s="22">
        <f t="shared" si="37"/>
        <v>752</v>
      </c>
      <c r="AO76" s="23">
        <f>IF([2]AIX!J78=0,"",[2]AIX!J78)</f>
        <v>789</v>
      </c>
      <c r="AP76" s="17">
        <f t="shared" si="38"/>
        <v>7.7868852459016313E-2</v>
      </c>
      <c r="BB76" s="39"/>
      <c r="BD76" s="5">
        <v>46095</v>
      </c>
      <c r="BE76" s="42">
        <f t="shared" si="41"/>
        <v>16.923191489361702</v>
      </c>
      <c r="BF76" s="22">
        <f t="shared" si="39"/>
        <v>16.923191489361702</v>
      </c>
      <c r="BG76" s="42">
        <f t="shared" si="42"/>
        <v>18.107110266159697</v>
      </c>
      <c r="BH76" s="17">
        <f t="shared" si="40"/>
        <v>-2.0854069689887678E-2</v>
      </c>
      <c r="BT76" s="39"/>
    </row>
    <row r="77" spans="2:72">
      <c r="B77" s="5">
        <v>46096</v>
      </c>
      <c r="C77" s="23">
        <f>IF([1]AIX!H78=0,"",[1]AIX!H78)</f>
        <v>13536.7</v>
      </c>
      <c r="D77" s="22">
        <f t="shared" si="33"/>
        <v>13536.7</v>
      </c>
      <c r="E77" s="24">
        <f>IF([2]AIX!H79=0,"",[2]AIX!H79)</f>
        <v>15224.84</v>
      </c>
      <c r="F77" s="17">
        <f t="shared" si="34"/>
        <v>-4.5692533633031829E-2</v>
      </c>
      <c r="R77" s="39"/>
      <c r="T77" s="5">
        <v>46096</v>
      </c>
      <c r="U77" s="23">
        <f>IF([1]AIX!I78=0,"",[1]AIX!I78)</f>
        <v>13390.16</v>
      </c>
      <c r="V77" s="22">
        <f t="shared" si="35"/>
        <v>13390.16</v>
      </c>
      <c r="W77" s="24">
        <f>IF([2]AIX!I79=0,"",[2]AIX!I79)</f>
        <v>14919.99</v>
      </c>
      <c r="X77" s="17">
        <f t="shared" si="36"/>
        <v>-5.2964818761972898E-2</v>
      </c>
      <c r="AJ77" s="39"/>
      <c r="AL77" s="5">
        <v>46096</v>
      </c>
      <c r="AM77" s="23">
        <f>IF([1]AIX!J78=0,"",[1]AIX!J78)</f>
        <v>732</v>
      </c>
      <c r="AN77" s="22">
        <f t="shared" si="37"/>
        <v>732</v>
      </c>
      <c r="AO77" s="24">
        <f>IF([2]AIX!J79=0,"",[2]AIX!J79)</f>
        <v>782</v>
      </c>
      <c r="AP77" s="17">
        <f t="shared" si="38"/>
        <v>-7.5650118203309691E-2</v>
      </c>
      <c r="BB77" s="39"/>
      <c r="BD77" s="5">
        <v>46096</v>
      </c>
      <c r="BE77" s="42">
        <f t="shared" si="41"/>
        <v>18.492759562841531</v>
      </c>
      <c r="BF77" s="22">
        <f t="shared" si="39"/>
        <v>18.492759562841531</v>
      </c>
      <c r="BG77" s="43">
        <f t="shared" si="42"/>
        <v>19.46910485933504</v>
      </c>
      <c r="BH77" s="17">
        <f t="shared" si="40"/>
        <v>3.2409356197512951E-2</v>
      </c>
      <c r="BT77" s="39"/>
    </row>
    <row r="78" spans="2:72">
      <c r="B78" s="5">
        <v>46097</v>
      </c>
      <c r="C78" s="24">
        <f>IF([1]AIX!H79=0,"",[1]AIX!H79)</f>
        <v>15953.81</v>
      </c>
      <c r="D78" s="22">
        <f t="shared" si="33"/>
        <v>15953.81</v>
      </c>
      <c r="E78" s="21">
        <f>IF([2]AIX!H80=0,"",[2]AIX!H80)</f>
        <v>8190.35</v>
      </c>
      <c r="F78" s="17">
        <f t="shared" si="34"/>
        <v>1.9340506163697313E-2</v>
      </c>
      <c r="R78" s="39"/>
      <c r="T78" s="5">
        <v>46097</v>
      </c>
      <c r="U78" s="24">
        <f>IF([1]AIX!I79=0,"",[1]AIX!I79)</f>
        <v>15754.42</v>
      </c>
      <c r="V78" s="22">
        <f t="shared" si="35"/>
        <v>15754.42</v>
      </c>
      <c r="W78" s="21">
        <f>IF([2]AIX!I80=0,"",[2]AIX!I80)</f>
        <v>8058.41</v>
      </c>
      <c r="X78" s="17">
        <f t="shared" si="36"/>
        <v>1.9940867196735601E-2</v>
      </c>
      <c r="AJ78" s="39"/>
      <c r="AL78" s="5">
        <v>46097</v>
      </c>
      <c r="AM78" s="24">
        <f>IF([1]AIX!J79=0,"",[1]AIX!J79)</f>
        <v>846</v>
      </c>
      <c r="AN78" s="22">
        <f t="shared" si="37"/>
        <v>846</v>
      </c>
      <c r="AO78" s="21">
        <f>IF([2]AIX!J80=0,"",[2]AIX!J80)</f>
        <v>495</v>
      </c>
      <c r="AP78" s="17">
        <f t="shared" si="38"/>
        <v>-6.0240963855421326E-3</v>
      </c>
      <c r="BB78" s="39"/>
      <c r="BD78" s="5">
        <v>46097</v>
      </c>
      <c r="BE78" s="43">
        <f t="shared" si="41"/>
        <v>18.857931442080378</v>
      </c>
      <c r="BF78" s="22">
        <f t="shared" si="39"/>
        <v>18.857931442080378</v>
      </c>
      <c r="BG78" s="41">
        <f t="shared" si="42"/>
        <v>16.546161616161616</v>
      </c>
      <c r="BH78" s="17">
        <f t="shared" si="40"/>
        <v>2.551832741317428E-2</v>
      </c>
      <c r="BT78" s="39"/>
    </row>
    <row r="79" spans="2:72">
      <c r="B79" s="5">
        <v>46098</v>
      </c>
      <c r="C79" s="21">
        <f>IF([1]AIX!H80=0,"",[1]AIX!H80)</f>
        <v>8034.95</v>
      </c>
      <c r="D79" s="22">
        <f t="shared" si="33"/>
        <v>8034.95</v>
      </c>
      <c r="E79" s="23">
        <f>IF([2]AIX!H81=0,"",[2]AIX!H81)</f>
        <v>9243.81</v>
      </c>
      <c r="F79" s="17">
        <f t="shared" si="34"/>
        <v>-6.9538433663994259E-2</v>
      </c>
      <c r="R79" s="39"/>
      <c r="T79" s="5">
        <v>46098</v>
      </c>
      <c r="U79" s="21">
        <f>IF([1]AIX!I80=0,"",[1]AIX!I80)</f>
        <v>7900.86</v>
      </c>
      <c r="V79" s="22">
        <f t="shared" si="35"/>
        <v>7900.86</v>
      </c>
      <c r="W79" s="23">
        <f>IF([2]AIX!I81=0,"",[2]AIX!I81)</f>
        <v>9096.08</v>
      </c>
      <c r="X79" s="17">
        <f t="shared" si="36"/>
        <v>-7.4731836329883228E-2</v>
      </c>
      <c r="AJ79" s="39"/>
      <c r="AL79" s="5">
        <v>46098</v>
      </c>
      <c r="AM79" s="21">
        <f>IF([1]AIX!J80=0,"",[1]AIX!J80)</f>
        <v>498</v>
      </c>
      <c r="AN79" s="22">
        <f t="shared" si="37"/>
        <v>498</v>
      </c>
      <c r="AO79" s="23">
        <f>IF([2]AIX!J81=0,"",[2]AIX!J81)</f>
        <v>531</v>
      </c>
      <c r="AP79" s="17">
        <f t="shared" si="38"/>
        <v>-0.11940298507462688</v>
      </c>
      <c r="BB79" s="39"/>
      <c r="BD79" s="5">
        <v>46098</v>
      </c>
      <c r="BE79" s="41">
        <f t="shared" si="41"/>
        <v>16.134437751004015</v>
      </c>
      <c r="BF79" s="22">
        <f t="shared" si="39"/>
        <v>16.134437751004015</v>
      </c>
      <c r="BG79" s="42">
        <f t="shared" si="42"/>
        <v>17.408305084745763</v>
      </c>
      <c r="BH79" s="17">
        <f t="shared" si="40"/>
        <v>5.6625846517159184E-2</v>
      </c>
      <c r="BT79" s="39"/>
    </row>
    <row r="80" spans="2:72">
      <c r="B80" s="5">
        <v>46099</v>
      </c>
      <c r="C80" s="23">
        <f>IF([1]AIX!H81=0,"",[1]AIX!H81)</f>
        <v>9934.65</v>
      </c>
      <c r="D80" s="22">
        <f t="shared" si="33"/>
        <v>9934.65</v>
      </c>
      <c r="E80" s="23">
        <f>IF([2]AIX!H82=0,"",[2]AIX!H82)</f>
        <v>10952.5</v>
      </c>
      <c r="F80" s="17">
        <f t="shared" si="34"/>
        <v>-4.0347884296753067E-2</v>
      </c>
      <c r="R80" s="39"/>
      <c r="T80" s="5">
        <v>46099</v>
      </c>
      <c r="U80" s="23">
        <f>IF([1]AIX!I81=0,"",[1]AIX!I81)</f>
        <v>9830.75</v>
      </c>
      <c r="V80" s="22">
        <f t="shared" si="35"/>
        <v>9830.75</v>
      </c>
      <c r="W80" s="23">
        <f>IF([2]AIX!I82=0,"",[2]AIX!I82)</f>
        <v>10719.36</v>
      </c>
      <c r="X80" s="17">
        <f t="shared" si="36"/>
        <v>-4.8187496947713626E-2</v>
      </c>
      <c r="AJ80" s="39"/>
      <c r="AL80" s="5">
        <v>46099</v>
      </c>
      <c r="AM80" s="23">
        <f>IF([1]AIX!J81=0,"",[1]AIX!J81)</f>
        <v>603</v>
      </c>
      <c r="AN80" s="22">
        <f t="shared" si="37"/>
        <v>603</v>
      </c>
      <c r="AO80" s="23">
        <f>IF([2]AIX!J82=0,"",[2]AIX!J82)</f>
        <v>641</v>
      </c>
      <c r="AP80" s="17">
        <f t="shared" si="38"/>
        <v>-0.11095700416088761</v>
      </c>
      <c r="BB80" s="39"/>
      <c r="BD80" s="5">
        <v>46099</v>
      </c>
      <c r="BE80" s="42">
        <f t="shared" si="41"/>
        <v>16.475373134328358</v>
      </c>
      <c r="BF80" s="22">
        <f t="shared" si="39"/>
        <v>16.475373134328358</v>
      </c>
      <c r="BG80" s="42">
        <f t="shared" si="42"/>
        <v>17.086583463338535</v>
      </c>
      <c r="BH80" s="17">
        <f t="shared" si="40"/>
        <v>7.9421490518004845E-2</v>
      </c>
      <c r="BT80" s="39"/>
    </row>
    <row r="81" spans="2:72">
      <c r="B81" s="5">
        <v>46100</v>
      </c>
      <c r="C81" s="23">
        <f>IF([1]AIX!H82=0,"",[1]AIX!H82)</f>
        <v>11412.99</v>
      </c>
      <c r="D81" s="22">
        <f t="shared" si="33"/>
        <v>11412.99</v>
      </c>
      <c r="E81" s="23">
        <f>IF([2]AIX!H83=0,"",[2]AIX!H83)</f>
        <v>8769.68</v>
      </c>
      <c r="F81" s="17">
        <f t="shared" si="34"/>
        <v>-0.15116904838416179</v>
      </c>
      <c r="R81" s="39"/>
      <c r="T81" s="5">
        <v>46100</v>
      </c>
      <c r="U81" s="23">
        <f>IF([1]AIX!I82=0,"",[1]AIX!I82)</f>
        <v>11262.05</v>
      </c>
      <c r="V81" s="22">
        <f t="shared" si="35"/>
        <v>11262.05</v>
      </c>
      <c r="W81" s="23">
        <f>IF([2]AIX!I83=0,"",[2]AIX!I83)</f>
        <v>8602.2000000000007</v>
      </c>
      <c r="X81" s="17">
        <f t="shared" si="36"/>
        <v>-0.15644857613556129</v>
      </c>
      <c r="AJ81" s="39"/>
      <c r="AL81" s="5">
        <v>46100</v>
      </c>
      <c r="AM81" s="23">
        <f>IF([1]AIX!J82=0,"",[1]AIX!J82)</f>
        <v>721</v>
      </c>
      <c r="AN81" s="22">
        <f t="shared" si="37"/>
        <v>721</v>
      </c>
      <c r="AO81" s="23">
        <f>IF([2]AIX!J83=0,"",[2]AIX!J83)</f>
        <v>551</v>
      </c>
      <c r="AP81" s="17">
        <f t="shared" si="38"/>
        <v>-0.14837712519319934</v>
      </c>
      <c r="BB81" s="39"/>
      <c r="BD81" s="5">
        <v>46100</v>
      </c>
      <c r="BE81" s="42">
        <f t="shared" si="41"/>
        <v>15.829389736477115</v>
      </c>
      <c r="BF81" s="22">
        <f t="shared" si="39"/>
        <v>15.829389736477115</v>
      </c>
      <c r="BG81" s="42">
        <f t="shared" si="42"/>
        <v>15.915934664246825</v>
      </c>
      <c r="BH81" s="17">
        <f t="shared" si="40"/>
        <v>-3.2783562696055979E-3</v>
      </c>
      <c r="BT81" s="39"/>
    </row>
    <row r="82" spans="2:72">
      <c r="B82" s="5">
        <v>46101</v>
      </c>
      <c r="C82" s="23">
        <f>IF([1]AIX!H83=0,"",[1]AIX!H83)</f>
        <v>10331.48</v>
      </c>
      <c r="D82" s="22">
        <f t="shared" si="33"/>
        <v>10331.48</v>
      </c>
      <c r="E82" s="23">
        <f>IF([2]AIX!H84=0,"",[2]AIX!H84)</f>
        <v>15639.58</v>
      </c>
      <c r="F82" s="17">
        <f t="shared" si="34"/>
        <v>0.27720086237872787</v>
      </c>
      <c r="R82" s="39"/>
      <c r="T82" s="5">
        <v>46101</v>
      </c>
      <c r="U82" s="23">
        <f>IF([1]AIX!I83=0,"",[1]AIX!I83)</f>
        <v>10197.6</v>
      </c>
      <c r="V82" s="22">
        <f t="shared" si="35"/>
        <v>10197.6</v>
      </c>
      <c r="W82" s="23">
        <f>IF([2]AIX!I84=0,"",[2]AIX!I84)</f>
        <v>15348.66</v>
      </c>
      <c r="X82" s="17">
        <f t="shared" si="36"/>
        <v>0.2688922306427437</v>
      </c>
      <c r="AJ82" s="39"/>
      <c r="AL82" s="5">
        <v>46101</v>
      </c>
      <c r="AM82" s="23">
        <f>IF([1]AIX!J83=0,"",[1]AIX!J83)</f>
        <v>647</v>
      </c>
      <c r="AN82" s="22">
        <f t="shared" si="37"/>
        <v>647</v>
      </c>
      <c r="AO82" s="23">
        <f>IF([2]AIX!J84=0,"",[2]AIX!J84)</f>
        <v>933</v>
      </c>
      <c r="AP82" s="17">
        <f t="shared" si="38"/>
        <v>0.14760147601476015</v>
      </c>
      <c r="BB82" s="39"/>
      <c r="BD82" s="5">
        <v>46101</v>
      </c>
      <c r="BE82" s="42">
        <f t="shared" si="41"/>
        <v>15.968284389489954</v>
      </c>
      <c r="BF82" s="22">
        <f t="shared" si="39"/>
        <v>15.968284389489954</v>
      </c>
      <c r="BG82" s="42">
        <f t="shared" si="42"/>
        <v>16.762679528403002</v>
      </c>
      <c r="BH82" s="17">
        <f t="shared" si="40"/>
        <v>0.11293065499882737</v>
      </c>
      <c r="BT82" s="39"/>
    </row>
    <row r="83" spans="2:72">
      <c r="B83" s="5">
        <v>46102</v>
      </c>
      <c r="C83" s="23">
        <f>IF([1]AIX!H84=0,"",[1]AIX!H84)</f>
        <v>12245.2</v>
      </c>
      <c r="D83" s="22">
        <f t="shared" si="33"/>
        <v>12245.2</v>
      </c>
      <c r="E83" s="23">
        <f>IF([2]AIX!H85=0,"",[2]AIX!H85)</f>
        <v>17388.919999999998</v>
      </c>
      <c r="F83" s="17">
        <f t="shared" si="34"/>
        <v>0.14548119456274344</v>
      </c>
      <c r="R83" s="39"/>
      <c r="T83" s="5">
        <v>46102</v>
      </c>
      <c r="U83" s="23">
        <f>IF([1]AIX!I84=0,"",[1]AIX!I84)</f>
        <v>12096.11</v>
      </c>
      <c r="V83" s="22">
        <f t="shared" si="35"/>
        <v>12096.11</v>
      </c>
      <c r="W83" s="23">
        <f>IF([2]AIX!I85=0,"",[2]AIX!I85)</f>
        <v>17111.919999999998</v>
      </c>
      <c r="X83" s="17">
        <f t="shared" si="36"/>
        <v>0.14311824501937598</v>
      </c>
      <c r="AJ83" s="39"/>
      <c r="AL83" s="5">
        <v>46102</v>
      </c>
      <c r="AM83" s="23">
        <f>IF([1]AIX!J84=0,"",[1]AIX!J84)</f>
        <v>813</v>
      </c>
      <c r="AN83" s="22">
        <f t="shared" si="37"/>
        <v>813</v>
      </c>
      <c r="AO83" s="23">
        <f>IF([2]AIX!J85=0,"",[2]AIX!J85)</f>
        <v>1004</v>
      </c>
      <c r="AP83" s="17">
        <f t="shared" si="38"/>
        <v>9.7267759562841505E-2</v>
      </c>
      <c r="BB83" s="39"/>
      <c r="BD83" s="5">
        <v>46102</v>
      </c>
      <c r="BE83" s="42">
        <f t="shared" si="41"/>
        <v>15.061746617466175</v>
      </c>
      <c r="BF83" s="22">
        <f t="shared" si="39"/>
        <v>15.061746617466175</v>
      </c>
      <c r="BG83" s="42">
        <f t="shared" si="42"/>
        <v>17.319641434262948</v>
      </c>
      <c r="BH83" s="17">
        <f t="shared" si="40"/>
        <v>4.3939534885368836E-2</v>
      </c>
      <c r="BT83" s="39"/>
    </row>
    <row r="84" spans="2:72">
      <c r="B84" s="5">
        <v>46103</v>
      </c>
      <c r="C84" s="23">
        <f>IF([1]AIX!H85=0,"",[1]AIX!H85)</f>
        <v>15180.45</v>
      </c>
      <c r="D84" s="22">
        <f t="shared" si="33"/>
        <v>15180.45</v>
      </c>
      <c r="E84" s="24">
        <f>IF([2]AIX!H86=0,"",[2]AIX!H86)</f>
        <v>16797.509999999998</v>
      </c>
      <c r="F84" s="17">
        <f t="shared" si="34"/>
        <v>-0.12564109637956555</v>
      </c>
      <c r="R84" s="39"/>
      <c r="T84" s="5">
        <v>46103</v>
      </c>
      <c r="U84" s="23">
        <f>IF([1]AIX!I85=0,"",[1]AIX!I85)</f>
        <v>14969.51</v>
      </c>
      <c r="V84" s="22">
        <f t="shared" si="35"/>
        <v>14969.51</v>
      </c>
      <c r="W84" s="24">
        <f>IF([2]AIX!I86=0,"",[2]AIX!I86)</f>
        <v>16466.86</v>
      </c>
      <c r="X84" s="17">
        <f t="shared" si="36"/>
        <v>-0.12982873328154643</v>
      </c>
      <c r="AJ84" s="39"/>
      <c r="AL84" s="5">
        <v>46103</v>
      </c>
      <c r="AM84" s="23">
        <f>IF([1]AIX!J85=0,"",[1]AIX!J85)</f>
        <v>915</v>
      </c>
      <c r="AN84" s="22">
        <f t="shared" si="37"/>
        <v>915</v>
      </c>
      <c r="AO84" s="24">
        <f>IF([2]AIX!J86=0,"",[2]AIX!J86)</f>
        <v>789</v>
      </c>
      <c r="AP84" s="17">
        <f t="shared" si="38"/>
        <v>-0.22722820763956908</v>
      </c>
      <c r="BB84" s="39"/>
      <c r="BD84" s="5">
        <v>46103</v>
      </c>
      <c r="BE84" s="42">
        <f t="shared" si="41"/>
        <v>16.590655737704918</v>
      </c>
      <c r="BF84" s="22">
        <f t="shared" si="39"/>
        <v>16.590655737704918</v>
      </c>
      <c r="BG84" s="43">
        <f t="shared" si="42"/>
        <v>21.289619771863116</v>
      </c>
      <c r="BH84" s="17">
        <f t="shared" si="40"/>
        <v>0.13145809961528965</v>
      </c>
      <c r="BT84" s="39"/>
    </row>
    <row r="85" spans="2:72">
      <c r="B85" s="5">
        <v>46104</v>
      </c>
      <c r="C85" s="24">
        <f>IF([1]AIX!H86=0,"",[1]AIX!H86)</f>
        <v>19211.23</v>
      </c>
      <c r="D85" s="22">
        <f t="shared" si="33"/>
        <v>19211.23</v>
      </c>
      <c r="E85" s="21">
        <f>IF([2]AIX!H87=0,"",[2]AIX!H87)</f>
        <v>7827.75</v>
      </c>
      <c r="F85" s="17">
        <f t="shared" si="34"/>
        <v>-4.8521137289365579E-2</v>
      </c>
      <c r="R85" s="39"/>
      <c r="T85" s="5">
        <v>46104</v>
      </c>
      <c r="U85" s="24">
        <f>IF([1]AIX!I86=0,"",[1]AIX!I86)</f>
        <v>18923.7</v>
      </c>
      <c r="V85" s="22">
        <f t="shared" si="35"/>
        <v>18923.7</v>
      </c>
      <c r="W85" s="21">
        <f>IF([2]AIX!I87=0,"",[2]AIX!I87)</f>
        <v>7672.94</v>
      </c>
      <c r="X85" s="17">
        <f t="shared" si="36"/>
        <v>-5.442665618349174E-2</v>
      </c>
      <c r="AJ85" s="39"/>
      <c r="AL85" s="5">
        <v>46104</v>
      </c>
      <c r="AM85" s="24">
        <f>IF([1]AIX!J86=0,"",[1]AIX!J86)</f>
        <v>1021</v>
      </c>
      <c r="AN85" s="22">
        <f t="shared" si="37"/>
        <v>1021</v>
      </c>
      <c r="AO85" s="21">
        <f>IF([2]AIX!J87=0,"",[2]AIX!J87)</f>
        <v>482</v>
      </c>
      <c r="AP85" s="17">
        <f t="shared" si="38"/>
        <v>-4.1749502982107334E-2</v>
      </c>
      <c r="BB85" s="39"/>
      <c r="BD85" s="5">
        <v>46104</v>
      </c>
      <c r="BE85" s="43">
        <f t="shared" si="41"/>
        <v>18.816092066601371</v>
      </c>
      <c r="BF85" s="22">
        <f t="shared" si="39"/>
        <v>18.816092066601371</v>
      </c>
      <c r="BG85" s="41">
        <f t="shared" si="42"/>
        <v>16.240145228215766</v>
      </c>
      <c r="BH85" s="17">
        <f t="shared" si="40"/>
        <v>-7.066664017740476E-3</v>
      </c>
      <c r="BT85" s="39"/>
    </row>
    <row r="86" spans="2:72">
      <c r="B86" s="5">
        <v>46105</v>
      </c>
      <c r="C86" s="21">
        <f>IF([1]AIX!H87=0,"",[1]AIX!H87)</f>
        <v>8226.93</v>
      </c>
      <c r="D86" s="22">
        <f t="shared" si="33"/>
        <v>8226.93</v>
      </c>
      <c r="E86" s="23">
        <f>IF([2]AIX!H88=0,"",[2]AIX!H88)</f>
        <v>9647.68</v>
      </c>
      <c r="F86" s="17">
        <f t="shared" si="34"/>
        <v>-8.138680154326039E-2</v>
      </c>
      <c r="R86" s="39"/>
      <c r="T86" s="5">
        <v>46105</v>
      </c>
      <c r="U86" s="21">
        <f>IF([1]AIX!I87=0,"",[1]AIX!I87)</f>
        <v>8114.59</v>
      </c>
      <c r="V86" s="22">
        <f t="shared" si="35"/>
        <v>8114.59</v>
      </c>
      <c r="W86" s="23">
        <f>IF([2]AIX!I88=0,"",[2]AIX!I88)</f>
        <v>9458.1</v>
      </c>
      <c r="X86" s="17">
        <f t="shared" si="36"/>
        <v>-8.3357562365528937E-2</v>
      </c>
      <c r="AJ86" s="39"/>
      <c r="AL86" s="5">
        <v>46105</v>
      </c>
      <c r="AM86" s="21">
        <f>IF([1]AIX!J87=0,"",[1]AIX!J87)</f>
        <v>503</v>
      </c>
      <c r="AN86" s="22">
        <f t="shared" si="37"/>
        <v>503</v>
      </c>
      <c r="AO86" s="23">
        <f>IF([2]AIX!J88=0,"",[2]AIX!J88)</f>
        <v>567</v>
      </c>
      <c r="AP86" s="17">
        <f t="shared" si="38"/>
        <v>-0.13036809815950923</v>
      </c>
      <c r="BB86" s="39"/>
      <c r="BD86" s="5">
        <v>46105</v>
      </c>
      <c r="BE86" s="41">
        <f t="shared" si="41"/>
        <v>16.355725646123261</v>
      </c>
      <c r="BF86" s="22">
        <f t="shared" si="39"/>
        <v>16.355725646123261</v>
      </c>
      <c r="BG86" s="42">
        <f t="shared" si="42"/>
        <v>17.015308641975309</v>
      </c>
      <c r="BH86" s="17">
        <f t="shared" si="40"/>
        <v>5.6324171770359976E-2</v>
      </c>
      <c r="BT86" s="39"/>
    </row>
    <row r="87" spans="2:72">
      <c r="B87" s="5">
        <v>46106</v>
      </c>
      <c r="C87" s="23">
        <f>IF([1]AIX!H88=0,"",[1]AIX!H88)</f>
        <v>10502.44</v>
      </c>
      <c r="D87" s="22">
        <f t="shared" si="33"/>
        <v>10502.44</v>
      </c>
      <c r="E87" s="23">
        <f>IF([2]AIX!H89=0,"",[2]AIX!H89)</f>
        <v>11111.74</v>
      </c>
      <c r="F87" s="17">
        <f t="shared" si="34"/>
        <v>2.8598141222645923E-2</v>
      </c>
      <c r="R87" s="39"/>
      <c r="T87" s="5">
        <v>46106</v>
      </c>
      <c r="U87" s="23">
        <f>IF([1]AIX!I88=0,"",[1]AIX!I88)</f>
        <v>10318.200000000001</v>
      </c>
      <c r="V87" s="22">
        <f t="shared" si="35"/>
        <v>10318.200000000001</v>
      </c>
      <c r="W87" s="23">
        <f>IF([2]AIX!I89=0,"",[2]AIX!I89)</f>
        <v>10752.24</v>
      </c>
      <c r="X87" s="17">
        <f t="shared" si="36"/>
        <v>1.8487137056020231E-2</v>
      </c>
      <c r="AJ87" s="39"/>
      <c r="AL87" s="5">
        <v>46106</v>
      </c>
      <c r="AM87" s="23">
        <f>IF([1]AIX!J88=0,"",[1]AIX!J88)</f>
        <v>652</v>
      </c>
      <c r="AN87" s="22">
        <f t="shared" si="37"/>
        <v>652</v>
      </c>
      <c r="AO87" s="23">
        <f>IF([2]AIX!J89=0,"",[2]AIX!J89)</f>
        <v>622</v>
      </c>
      <c r="AP87" s="17">
        <f t="shared" si="38"/>
        <v>-8.259587020648973E-2</v>
      </c>
      <c r="BB87" s="39"/>
      <c r="BD87" s="5">
        <v>46106</v>
      </c>
      <c r="BE87" s="42">
        <f t="shared" si="41"/>
        <v>16.108036809815953</v>
      </c>
      <c r="BF87" s="22">
        <f t="shared" si="39"/>
        <v>16.108036809815953</v>
      </c>
      <c r="BG87" s="42">
        <f t="shared" si="42"/>
        <v>17.864533762057878</v>
      </c>
      <c r="BH87" s="17">
        <f t="shared" si="40"/>
        <v>0.12120504782790031</v>
      </c>
      <c r="BT87" s="39"/>
    </row>
    <row r="88" spans="2:72">
      <c r="B88" s="5">
        <v>46107</v>
      </c>
      <c r="C88" s="23">
        <f>IF([1]AIX!H89=0,"",[1]AIX!H89)</f>
        <v>10802.8</v>
      </c>
      <c r="D88" s="22">
        <f t="shared" si="33"/>
        <v>10802.8</v>
      </c>
      <c r="E88" s="23">
        <f>IF([2]AIX!H90=0,"",[2]AIX!H90)</f>
        <v>8719.91</v>
      </c>
      <c r="F88" s="17">
        <f t="shared" si="34"/>
        <v>-0.21735989071646411</v>
      </c>
      <c r="R88" s="39"/>
      <c r="T88" s="5">
        <v>46107</v>
      </c>
      <c r="U88" s="23">
        <f>IF([1]AIX!I89=0,"",[1]AIX!I89)</f>
        <v>10557.07</v>
      </c>
      <c r="V88" s="22">
        <f t="shared" si="35"/>
        <v>10557.07</v>
      </c>
      <c r="W88" s="23">
        <f>IF([2]AIX!I90=0,"",[2]AIX!I90)</f>
        <v>8559.0300000000007</v>
      </c>
      <c r="X88" s="17">
        <f t="shared" si="36"/>
        <v>-0.21847903898551457</v>
      </c>
      <c r="AJ88" s="39"/>
      <c r="AL88" s="5">
        <v>46107</v>
      </c>
      <c r="AM88" s="23">
        <f>IF([1]AIX!J89=0,"",[1]AIX!J89)</f>
        <v>678</v>
      </c>
      <c r="AN88" s="22">
        <f t="shared" si="37"/>
        <v>678</v>
      </c>
      <c r="AO88" s="23">
        <f>IF([2]AIX!J90=0,"",[2]AIX!J90)</f>
        <v>496</v>
      </c>
      <c r="AP88" s="17">
        <f t="shared" si="38"/>
        <v>-0.22861586314152416</v>
      </c>
      <c r="BB88" s="39"/>
      <c r="BD88" s="5">
        <v>46107</v>
      </c>
      <c r="BE88" s="42">
        <f t="shared" si="41"/>
        <v>15.933333333333332</v>
      </c>
      <c r="BF88" s="22">
        <f t="shared" si="39"/>
        <v>15.933333333333332</v>
      </c>
      <c r="BG88" s="42">
        <f t="shared" si="42"/>
        <v>17.580463709677421</v>
      </c>
      <c r="BH88" s="17">
        <f t="shared" si="40"/>
        <v>1.4591915865551641E-2</v>
      </c>
      <c r="BT88" s="39"/>
    </row>
    <row r="89" spans="2:72">
      <c r="B89" s="5">
        <v>46108</v>
      </c>
      <c r="C89" s="23">
        <f>IF([1]AIX!H90=0,"",[1]AIX!H90)</f>
        <v>11141.66</v>
      </c>
      <c r="D89" s="22">
        <f t="shared" si="33"/>
        <v>11141.66</v>
      </c>
      <c r="E89" s="23">
        <f>IF([2]AIX!H91=0,"",[2]AIX!H91)</f>
        <v>13732.83</v>
      </c>
      <c r="F89" s="17">
        <f t="shared" si="34"/>
        <v>-8.3076329348797828E-2</v>
      </c>
      <c r="R89" s="39"/>
      <c r="T89" s="5">
        <v>46108</v>
      </c>
      <c r="U89" s="23">
        <f>IF([1]AIX!I90=0,"",[1]AIX!I90)</f>
        <v>10951.76</v>
      </c>
      <c r="V89" s="22">
        <f t="shared" si="35"/>
        <v>10951.76</v>
      </c>
      <c r="W89" s="23">
        <f>IF([2]AIX!I91=0,"",[2]AIX!I91)</f>
        <v>13442.51</v>
      </c>
      <c r="X89" s="17">
        <f t="shared" si="36"/>
        <v>-7.714556202943379E-2</v>
      </c>
      <c r="AJ89" s="39"/>
      <c r="AL89" s="5">
        <v>46108</v>
      </c>
      <c r="AM89" s="23">
        <f>IF([1]AIX!J90=0,"",[1]AIX!J90)</f>
        <v>643</v>
      </c>
      <c r="AN89" s="22">
        <f t="shared" si="37"/>
        <v>643</v>
      </c>
      <c r="AO89" s="23">
        <f>IF([2]AIX!J91=0,"",[2]AIX!J91)</f>
        <v>762</v>
      </c>
      <c r="AP89" s="17">
        <f t="shared" si="38"/>
        <v>-0.13800904977375561</v>
      </c>
      <c r="BB89" s="39"/>
      <c r="BD89" s="5">
        <v>46108</v>
      </c>
      <c r="BE89" s="42">
        <f t="shared" si="41"/>
        <v>17.327620528771384</v>
      </c>
      <c r="BF89" s="22">
        <f t="shared" si="39"/>
        <v>17.327620528771384</v>
      </c>
      <c r="BG89" s="42">
        <f t="shared" si="42"/>
        <v>18.022086614173229</v>
      </c>
      <c r="BH89" s="17">
        <f t="shared" si="40"/>
        <v>6.3727722907694018E-2</v>
      </c>
      <c r="BT89" s="39"/>
    </row>
    <row r="90" spans="2:72">
      <c r="B90" s="5">
        <v>46109</v>
      </c>
      <c r="C90" s="23">
        <f>IF([1]AIX!H91=0,"",[1]AIX!H91)</f>
        <v>14977.07</v>
      </c>
      <c r="D90" s="22">
        <f t="shared" si="33"/>
        <v>14977.07</v>
      </c>
      <c r="E90" s="23">
        <f>IF([2]AIX!H92=0,"",[2]AIX!H92)</f>
        <v>16149.54</v>
      </c>
      <c r="F90" s="17">
        <f t="shared" si="34"/>
        <v>-5.9008545494590892E-2</v>
      </c>
      <c r="R90" s="39"/>
      <c r="T90" s="5">
        <v>46109</v>
      </c>
      <c r="U90" s="23">
        <f>IF([1]AIX!I91=0,"",[1]AIX!I91)</f>
        <v>14566.23</v>
      </c>
      <c r="V90" s="22">
        <f t="shared" si="35"/>
        <v>14566.23</v>
      </c>
      <c r="W90" s="23">
        <f>IF([2]AIX!I92=0,"",[2]AIX!I92)</f>
        <v>15795.13</v>
      </c>
      <c r="X90" s="17">
        <f t="shared" si="36"/>
        <v>-5.4246693782628919E-2</v>
      </c>
      <c r="AJ90" s="39"/>
      <c r="AL90" s="5">
        <v>46109</v>
      </c>
      <c r="AM90" s="23">
        <f>IF([1]AIX!J91=0,"",[1]AIX!J91)</f>
        <v>884</v>
      </c>
      <c r="AN90" s="22">
        <f t="shared" si="37"/>
        <v>884</v>
      </c>
      <c r="AO90" s="23">
        <f>IF([2]AIX!J92=0,"",[2]AIX!J92)</f>
        <v>930</v>
      </c>
      <c r="AP90" s="17">
        <f t="shared" si="38"/>
        <v>-6.7201604814443372E-2</v>
      </c>
      <c r="BB90" s="39"/>
      <c r="BD90" s="5">
        <v>46109</v>
      </c>
      <c r="BE90" s="42">
        <f t="shared" si="41"/>
        <v>16.942386877828053</v>
      </c>
      <c r="BF90" s="22">
        <f t="shared" si="39"/>
        <v>16.942386877828053</v>
      </c>
      <c r="BG90" s="42">
        <f t="shared" si="42"/>
        <v>17.36509677419355</v>
      </c>
      <c r="BH90" s="17">
        <f t="shared" si="40"/>
        <v>8.7833119805300619E-3</v>
      </c>
      <c r="BT90" s="39"/>
    </row>
    <row r="91" spans="2:72">
      <c r="B91" s="5">
        <v>46110</v>
      </c>
      <c r="C91" s="23">
        <f>IF([1]AIX!H92=0,"",[1]AIX!H92)</f>
        <v>17162.259999999998</v>
      </c>
      <c r="D91" s="22">
        <f t="shared" si="33"/>
        <v>17162.259999999998</v>
      </c>
      <c r="E91" s="24">
        <f>IF([2]AIX!H93=0,"",[2]AIX!H93)</f>
        <v>19387.150000000001</v>
      </c>
      <c r="F91" s="17">
        <f t="shared" si="34"/>
        <v>-0.12686581616269788</v>
      </c>
      <c r="R91" s="39"/>
      <c r="T91" s="5">
        <v>46110</v>
      </c>
      <c r="U91" s="23">
        <f>IF([1]AIX!I92=0,"",[1]AIX!I92)</f>
        <v>16701.11</v>
      </c>
      <c r="V91" s="22">
        <f t="shared" si="35"/>
        <v>16701.11</v>
      </c>
      <c r="W91" s="24">
        <f>IF([2]AIX!I93=0,"",[2]AIX!I93)</f>
        <v>18874.73</v>
      </c>
      <c r="X91" s="17">
        <f t="shared" si="36"/>
        <v>-0.12962882692116151</v>
      </c>
      <c r="AJ91" s="39"/>
      <c r="AL91" s="5">
        <v>46110</v>
      </c>
      <c r="AM91" s="23">
        <f>IF([1]AIX!J92=0,"",[1]AIX!J92)</f>
        <v>997</v>
      </c>
      <c r="AN91" s="22">
        <f t="shared" si="37"/>
        <v>997</v>
      </c>
      <c r="AO91" s="24">
        <f>IF([2]AIX!J93=0,"",[2]AIX!J93)</f>
        <v>907</v>
      </c>
      <c r="AP91" s="17">
        <f t="shared" si="38"/>
        <v>-0.27323717948717952</v>
      </c>
      <c r="BB91" s="39"/>
      <c r="BD91" s="5">
        <v>46110</v>
      </c>
      <c r="BE91" s="42">
        <f t="shared" si="41"/>
        <v>17.213901705115344</v>
      </c>
      <c r="BF91" s="22">
        <f t="shared" si="39"/>
        <v>17.213901705115344</v>
      </c>
      <c r="BG91" s="43">
        <f t="shared" si="42"/>
        <v>21.375027563395811</v>
      </c>
      <c r="BH91" s="17">
        <f t="shared" si="40"/>
        <v>0.20140183178495352</v>
      </c>
      <c r="BT91" s="39"/>
    </row>
    <row r="92" spans="2:72">
      <c r="B92" s="5">
        <v>46111</v>
      </c>
      <c r="C92" s="24">
        <f>IF([1]AIX!H93=0,"",[1]AIX!H93)</f>
        <v>22204.09</v>
      </c>
      <c r="D92" s="22">
        <f t="shared" si="33"/>
        <v>22204.09</v>
      </c>
      <c r="E92" s="21">
        <f>IF([2]AIX!H94=0,"",[2]AIX!H94)</f>
        <v>8898.9699999999993</v>
      </c>
      <c r="F92" s="17">
        <f t="shared" si="34"/>
        <v>-7.4711645737826182E-2</v>
      </c>
      <c r="R92" s="39"/>
      <c r="T92" s="5">
        <v>46111</v>
      </c>
      <c r="U92" s="24">
        <f>IF([1]AIX!I93=0,"",[1]AIX!I93)</f>
        <v>21685.84</v>
      </c>
      <c r="V92" s="22">
        <f t="shared" si="35"/>
        <v>21685.84</v>
      </c>
      <c r="W92" s="21">
        <f>IF([2]AIX!I94=0,"",[2]AIX!I94)</f>
        <v>8727.69</v>
      </c>
      <c r="X92" s="17">
        <f t="shared" si="36"/>
        <v>-7.6724116044074919E-2</v>
      </c>
      <c r="AJ92" s="39"/>
      <c r="AL92" s="5">
        <v>46111</v>
      </c>
      <c r="AM92" s="24">
        <f>IF([1]AIX!J93=0,"",[1]AIX!J93)</f>
        <v>1248</v>
      </c>
      <c r="AN92" s="22">
        <f t="shared" si="37"/>
        <v>1248</v>
      </c>
      <c r="AO92" s="21">
        <f>IF([2]AIX!J94=0,"",[2]AIX!J94)</f>
        <v>476</v>
      </c>
      <c r="AP92" s="17">
        <f t="shared" si="38"/>
        <v>-0.22852512155591576</v>
      </c>
      <c r="BB92" s="39"/>
      <c r="BD92" s="5">
        <v>46111</v>
      </c>
      <c r="BE92" s="43">
        <f t="shared" si="41"/>
        <v>17.791738782051283</v>
      </c>
      <c r="BF92" s="22">
        <f t="shared" si="39"/>
        <v>17.791738782051283</v>
      </c>
      <c r="BG92" s="41">
        <f t="shared" si="42"/>
        <v>18.695315126050417</v>
      </c>
      <c r="BH92" s="17">
        <f t="shared" si="40"/>
        <v>0.19937587096588483</v>
      </c>
      <c r="BT92" s="39"/>
    </row>
    <row r="93" spans="2:72">
      <c r="B93" s="5">
        <v>46112</v>
      </c>
      <c r="C93" s="21">
        <f>IF([1]AIX!H94=0,"",[1]AIX!H94)</f>
        <v>9617.51</v>
      </c>
      <c r="D93" s="22">
        <f t="shared" si="33"/>
        <v>9617.51</v>
      </c>
      <c r="E93" s="23">
        <f>IF([2]AIX!H95=0,"",[2]AIX!H95)</f>
        <v>9741.7999999999993</v>
      </c>
      <c r="F93" s="17">
        <f t="shared" si="34"/>
        <v>-0.1841284517384737</v>
      </c>
      <c r="R93" s="39"/>
      <c r="T93" s="5">
        <v>46112</v>
      </c>
      <c r="U93" s="21">
        <f>IF([1]AIX!I94=0,"",[1]AIX!I94)</f>
        <v>9452.9599999999991</v>
      </c>
      <c r="V93" s="22">
        <f t="shared" si="35"/>
        <v>9452.9599999999991</v>
      </c>
      <c r="W93" s="23">
        <f>IF([2]AIX!I95=0,"",[2]AIX!I95)</f>
        <v>9503.9</v>
      </c>
      <c r="X93" s="17">
        <f t="shared" si="36"/>
        <v>-0.18765641881265305</v>
      </c>
      <c r="AJ93" s="39"/>
      <c r="AL93" s="5">
        <v>46112</v>
      </c>
      <c r="AM93" s="21">
        <f>IF([1]AIX!J94=0,"",[1]AIX!J94)</f>
        <v>617</v>
      </c>
      <c r="AN93" s="22">
        <f t="shared" si="37"/>
        <v>617</v>
      </c>
      <c r="AO93" s="23">
        <f>IF([2]AIX!J95=0,"",[2]AIX!J95)</f>
        <v>558</v>
      </c>
      <c r="AP93" s="17">
        <f t="shared" si="38"/>
        <v>-0.22284122562674091</v>
      </c>
      <c r="BB93" s="39"/>
      <c r="BD93" s="5">
        <v>46112</v>
      </c>
      <c r="BE93" s="41">
        <f t="shared" si="41"/>
        <v>15.587536466774717</v>
      </c>
      <c r="BF93" s="22">
        <f t="shared" si="39"/>
        <v>15.587536466774717</v>
      </c>
      <c r="BG93" s="42">
        <f t="shared" si="42"/>
        <v>17.4584229390681</v>
      </c>
      <c r="BH93" s="17">
        <f t="shared" si="40"/>
        <v>4.9813210845476519E-2</v>
      </c>
      <c r="BT93" s="39"/>
    </row>
    <row r="94" spans="2:72">
      <c r="B94" s="5">
        <v>46113</v>
      </c>
      <c r="C94" s="23">
        <f>IF([1]AIX!H95=0,"",[1]AIX!H95)</f>
        <v>11940.36</v>
      </c>
      <c r="D94" s="22">
        <f t="shared" si="33"/>
        <v>11940.36</v>
      </c>
      <c r="E94" s="23">
        <f>IF([2]AIX!H96=0,"",[2]AIX!H96)</f>
        <v>13770.15</v>
      </c>
      <c r="F94" s="17">
        <f t="shared" si="34"/>
        <v>-3.6831524993145237E-2</v>
      </c>
      <c r="R94" s="39"/>
      <c r="T94" s="5">
        <v>46113</v>
      </c>
      <c r="U94" s="23">
        <f>IF([1]AIX!I95=0,"",[1]AIX!I95)</f>
        <v>11699.36</v>
      </c>
      <c r="V94" s="22">
        <f t="shared" si="35"/>
        <v>11699.36</v>
      </c>
      <c r="W94" s="23">
        <f>IF([2]AIX!I96=0,"",[2]AIX!I96)</f>
        <v>13367.06</v>
      </c>
      <c r="X94" s="17">
        <f t="shared" si="36"/>
        <v>-3.2465497311370717E-2</v>
      </c>
      <c r="AJ94" s="39"/>
      <c r="AL94" s="5">
        <v>46113</v>
      </c>
      <c r="AM94" s="23">
        <f>IF([1]AIX!J95=0,"",[1]AIX!J95)</f>
        <v>718</v>
      </c>
      <c r="AN94" s="22">
        <f t="shared" si="37"/>
        <v>718</v>
      </c>
      <c r="AO94" s="23">
        <f>IF([2]AIX!J96=0,"",[2]AIX!J96)</f>
        <v>747</v>
      </c>
      <c r="AP94" s="17">
        <f t="shared" si="38"/>
        <v>-0.13240418118466901</v>
      </c>
      <c r="BB94" s="39"/>
      <c r="BD94" s="5">
        <v>46113</v>
      </c>
      <c r="BE94" s="42">
        <f t="shared" si="41"/>
        <v>16.630027855153205</v>
      </c>
      <c r="BF94" s="22">
        <f t="shared" si="39"/>
        <v>16.630027855153205</v>
      </c>
      <c r="BG94" s="42">
        <f t="shared" si="42"/>
        <v>18.433935742971887</v>
      </c>
      <c r="BH94" s="17">
        <f t="shared" si="40"/>
        <v>0.11015804147376418</v>
      </c>
      <c r="BT94" s="39"/>
    </row>
    <row r="95" spans="2:72">
      <c r="B95" s="5">
        <v>46114</v>
      </c>
      <c r="C95" s="23">
        <f>IF([1]AIX!H96=0,"",[1]AIX!H96)</f>
        <v>14296.72</v>
      </c>
      <c r="D95" s="22">
        <f t="shared" si="33"/>
        <v>14296.72</v>
      </c>
      <c r="E95" s="23">
        <f>IF([2]AIX!H97=0,"",[2]AIX!H97)</f>
        <v>10589.29</v>
      </c>
      <c r="F95" s="17">
        <f t="shared" si="34"/>
        <v>-0.11960901035422522</v>
      </c>
      <c r="R95" s="39"/>
      <c r="T95" s="5">
        <v>46114</v>
      </c>
      <c r="U95" s="23">
        <f>IF([1]AIX!I96=0,"",[1]AIX!I96)</f>
        <v>13815.59</v>
      </c>
      <c r="V95" s="22">
        <f t="shared" si="35"/>
        <v>13815.59</v>
      </c>
      <c r="W95" s="23">
        <f>IF([2]AIX!I97=0,"",[2]AIX!I97)</f>
        <v>10267.51</v>
      </c>
      <c r="X95" s="17">
        <f t="shared" si="36"/>
        <v>-0.13018163026719309</v>
      </c>
      <c r="AJ95" s="39"/>
      <c r="AL95" s="5">
        <v>46114</v>
      </c>
      <c r="AM95" s="23">
        <f>IF([1]AIX!J96=0,"",[1]AIX!J96)</f>
        <v>861</v>
      </c>
      <c r="AN95" s="22">
        <f t="shared" si="37"/>
        <v>861</v>
      </c>
      <c r="AO95" s="23">
        <f>IF([2]AIX!J97=0,"",[2]AIX!J97)</f>
        <v>613</v>
      </c>
      <c r="AP95" s="17">
        <f t="shared" si="38"/>
        <v>-0.18807947019867555</v>
      </c>
      <c r="BB95" s="39"/>
      <c r="BD95" s="5">
        <v>46114</v>
      </c>
      <c r="BE95" s="42">
        <f t="shared" si="41"/>
        <v>16.60478513356562</v>
      </c>
      <c r="BF95" s="22">
        <f t="shared" si="39"/>
        <v>16.60478513356562</v>
      </c>
      <c r="BG95" s="42">
        <f t="shared" si="42"/>
        <v>17.274535073409464</v>
      </c>
      <c r="BH95" s="17">
        <f t="shared" si="40"/>
        <v>8.4331479906296858E-2</v>
      </c>
      <c r="BT95" s="39"/>
    </row>
    <row r="96" spans="2:72">
      <c r="B96" s="5">
        <v>46115</v>
      </c>
      <c r="C96" s="23">
        <f>IF([1]AIX!H97=0,"",[1]AIX!H97)</f>
        <v>12027.94</v>
      </c>
      <c r="D96" s="22">
        <f t="shared" si="33"/>
        <v>12027.94</v>
      </c>
      <c r="E96" s="23">
        <f>IF([2]AIX!H98=0,"",[2]AIX!H98)</f>
        <v>16452.45</v>
      </c>
      <c r="F96" s="17">
        <f t="shared" si="34"/>
        <v>-0.10345464592004538</v>
      </c>
      <c r="R96" s="39"/>
      <c r="T96" s="5">
        <v>46115</v>
      </c>
      <c r="U96" s="23">
        <f>IF([1]AIX!I97=0,"",[1]AIX!I97)</f>
        <v>11804.2</v>
      </c>
      <c r="V96" s="22">
        <f t="shared" si="35"/>
        <v>11804.2</v>
      </c>
      <c r="W96" s="23">
        <f>IF([2]AIX!I98=0,"",[2]AIX!I98)</f>
        <v>15997.12</v>
      </c>
      <c r="X96" s="17">
        <f t="shared" si="36"/>
        <v>-0.10853580179628941</v>
      </c>
      <c r="AJ96" s="39"/>
      <c r="AL96" s="5">
        <v>46115</v>
      </c>
      <c r="AM96" s="23">
        <f>IF([1]AIX!J97=0,"",[1]AIX!J97)</f>
        <v>755</v>
      </c>
      <c r="AN96" s="22">
        <f t="shared" si="37"/>
        <v>755</v>
      </c>
      <c r="AO96" s="23">
        <f>IF([2]AIX!J98=0,"",[2]AIX!J98)</f>
        <v>912</v>
      </c>
      <c r="AP96" s="17">
        <f t="shared" si="38"/>
        <v>-0.17911791179117909</v>
      </c>
      <c r="BB96" s="39"/>
      <c r="BD96" s="5">
        <v>46115</v>
      </c>
      <c r="BE96" s="42">
        <f t="shared" si="41"/>
        <v>15.931046357615894</v>
      </c>
      <c r="BF96" s="22">
        <f t="shared" si="39"/>
        <v>15.931046357615894</v>
      </c>
      <c r="BG96" s="42">
        <f t="shared" si="42"/>
        <v>18.039967105263159</v>
      </c>
      <c r="BH96" s="17">
        <f t="shared" si="40"/>
        <v>9.2173123226786835E-2</v>
      </c>
      <c r="BT96" s="39"/>
    </row>
    <row r="97" spans="2:72">
      <c r="B97" s="5">
        <v>46116</v>
      </c>
      <c r="C97" s="23">
        <f>IF([1]AIX!H98=0,"",[1]AIX!H98)</f>
        <v>18350.939999999999</v>
      </c>
      <c r="D97" s="22">
        <f t="shared" si="33"/>
        <v>18350.939999999999</v>
      </c>
      <c r="E97" s="23">
        <f>IF([2]AIX!H99=0,"",[2]AIX!H99)</f>
        <v>20147.91</v>
      </c>
      <c r="F97" s="17">
        <f t="shared" si="34"/>
        <v>-9.4884375769315854E-2</v>
      </c>
      <c r="R97" s="39"/>
      <c r="T97" s="5">
        <v>46116</v>
      </c>
      <c r="U97" s="23">
        <f>IF([1]AIX!I98=0,"",[1]AIX!I98)</f>
        <v>17944.77</v>
      </c>
      <c r="V97" s="22">
        <f t="shared" si="35"/>
        <v>17944.77</v>
      </c>
      <c r="W97" s="23">
        <f>IF([2]AIX!I99=0,"",[2]AIX!I99)</f>
        <v>19698.21</v>
      </c>
      <c r="X97" s="17">
        <f t="shared" si="36"/>
        <v>-9.2453735122605907E-2</v>
      </c>
      <c r="AJ97" s="39"/>
      <c r="AL97" s="5">
        <v>46116</v>
      </c>
      <c r="AM97" s="23">
        <f>IF([1]AIX!J98=0,"",[1]AIX!J98)</f>
        <v>1111</v>
      </c>
      <c r="AN97" s="22">
        <f t="shared" si="37"/>
        <v>1111</v>
      </c>
      <c r="AO97" s="23">
        <f>IF([2]AIX!J99=0,"",[2]AIX!J99)</f>
        <v>1158</v>
      </c>
      <c r="AP97" s="17">
        <f t="shared" si="38"/>
        <v>-8.6750788643533139E-2</v>
      </c>
      <c r="BB97" s="39"/>
      <c r="BD97" s="5">
        <v>46116</v>
      </c>
      <c r="BE97" s="42">
        <f t="shared" si="41"/>
        <v>16.517497749774975</v>
      </c>
      <c r="BF97" s="22">
        <f t="shared" si="39"/>
        <v>16.517497749774975</v>
      </c>
      <c r="BG97" s="42">
        <f t="shared" si="42"/>
        <v>17.398886010362695</v>
      </c>
      <c r="BH97" s="17">
        <f t="shared" si="40"/>
        <v>-8.9062076645012311E-3</v>
      </c>
      <c r="BT97" s="39"/>
    </row>
    <row r="98" spans="2:72">
      <c r="B98" s="5">
        <v>46117</v>
      </c>
      <c r="C98" s="23">
        <f>IF([1]AIX!H99=0,"",[1]AIX!H99)</f>
        <v>22260.04</v>
      </c>
      <c r="D98" s="22">
        <f t="shared" si="33"/>
        <v>22260.04</v>
      </c>
      <c r="E98" s="24">
        <f>IF([2]AIX!H100=0,"",[2]AIX!H100)</f>
        <v>21943.96</v>
      </c>
      <c r="F98" s="17">
        <f t="shared" si="34"/>
        <v>-0.16104238303546925</v>
      </c>
      <c r="R98" s="39"/>
      <c r="T98" s="5">
        <v>46117</v>
      </c>
      <c r="U98" s="23">
        <f>IF([1]AIX!I99=0,"",[1]AIX!I99)</f>
        <v>21704.91</v>
      </c>
      <c r="V98" s="22">
        <f t="shared" si="35"/>
        <v>21704.91</v>
      </c>
      <c r="W98" s="24">
        <f>IF([2]AIX!I100=0,"",[2]AIX!I100)</f>
        <v>21393.39</v>
      </c>
      <c r="X98" s="17">
        <f t="shared" si="36"/>
        <v>-0.16580758593179423</v>
      </c>
      <c r="AJ98" s="39"/>
      <c r="AL98" s="5">
        <v>46117</v>
      </c>
      <c r="AM98" s="23">
        <f>IF([1]AIX!J99=0,"",[1]AIX!J99)</f>
        <v>1268</v>
      </c>
      <c r="AN98" s="22">
        <f t="shared" si="37"/>
        <v>1268</v>
      </c>
      <c r="AO98" s="24">
        <f>IF([2]AIX!J100=0,"",[2]AIX!J100)</f>
        <v>1231</v>
      </c>
      <c r="AP98" s="17">
        <f t="shared" si="38"/>
        <v>-0.14632454923717064</v>
      </c>
      <c r="BB98" s="39"/>
      <c r="BD98" s="5">
        <v>46117</v>
      </c>
      <c r="BE98" s="42">
        <f t="shared" si="41"/>
        <v>17.555236593059938</v>
      </c>
      <c r="BF98" s="22">
        <f t="shared" si="39"/>
        <v>17.555236593059938</v>
      </c>
      <c r="BG98" s="43">
        <f t="shared" si="42"/>
        <v>17.826125101543461</v>
      </c>
      <c r="BH98" s="17">
        <f t="shared" si="40"/>
        <v>-1.7240549420915241E-2</v>
      </c>
      <c r="BT98" s="39"/>
    </row>
    <row r="99" spans="2:72">
      <c r="B99" s="5">
        <v>46118</v>
      </c>
      <c r="C99" s="24">
        <f>IF([1]AIX!H100=0,"",[1]AIX!H100)</f>
        <v>26156.22</v>
      </c>
      <c r="D99" s="22">
        <f t="shared" si="33"/>
        <v>26156.22</v>
      </c>
      <c r="E99" s="21">
        <f>IF([2]AIX!H101=0,"",[2]AIX!H101)</f>
        <v>20913.09</v>
      </c>
      <c r="F99" s="17">
        <f t="shared" si="34"/>
        <v>0.82158507618431287</v>
      </c>
      <c r="R99" s="39"/>
      <c r="T99" s="5">
        <v>46118</v>
      </c>
      <c r="U99" s="24">
        <f>IF([1]AIX!I100=0,"",[1]AIX!I100)</f>
        <v>25645.63</v>
      </c>
      <c r="V99" s="22">
        <f t="shared" si="35"/>
        <v>25645.63</v>
      </c>
      <c r="W99" s="21">
        <f>IF([2]AIX!I101=0,"",[2]AIX!I101)</f>
        <v>20387.05</v>
      </c>
      <c r="X99" s="17">
        <f t="shared" si="36"/>
        <v>0.80967120289092187</v>
      </c>
      <c r="AJ99" s="39"/>
      <c r="AL99" s="5">
        <v>46118</v>
      </c>
      <c r="AM99" s="24">
        <f>IF([1]AIX!J100=0,"",[1]AIX!J100)</f>
        <v>1442</v>
      </c>
      <c r="AN99" s="22">
        <f t="shared" si="37"/>
        <v>1442</v>
      </c>
      <c r="AO99" s="21">
        <f>IF([2]AIX!J101=0,"",[2]AIX!J101)</f>
        <v>1139</v>
      </c>
      <c r="AP99" s="17">
        <f t="shared" si="38"/>
        <v>0.59523809523809534</v>
      </c>
      <c r="BB99" s="39"/>
      <c r="BD99" s="5">
        <v>46118</v>
      </c>
      <c r="BE99" s="43">
        <f t="shared" si="41"/>
        <v>18.138848821081833</v>
      </c>
      <c r="BF99" s="22">
        <f t="shared" si="39"/>
        <v>18.138848821081833</v>
      </c>
      <c r="BG99" s="41">
        <f t="shared" si="42"/>
        <v>18.360921861281827</v>
      </c>
      <c r="BH99" s="17">
        <f t="shared" si="40"/>
        <v>0.14188915223494236</v>
      </c>
      <c r="BT99" s="39"/>
    </row>
    <row r="100" spans="2:72">
      <c r="B100" s="5">
        <v>46119</v>
      </c>
      <c r="C100" s="21">
        <f>IF([1]AIX!H101=0,"",[1]AIX!H101)</f>
        <v>11480.71</v>
      </c>
      <c r="D100" s="22">
        <f t="shared" si="33"/>
        <v>11480.71</v>
      </c>
      <c r="E100" s="23">
        <f>IF([2]AIX!H102=0,"",[2]AIX!H102)</f>
        <v>15323.83</v>
      </c>
      <c r="F100" s="17">
        <f t="shared" si="34"/>
        <v>0.19303587555666279</v>
      </c>
      <c r="R100" s="39"/>
      <c r="T100" s="5">
        <v>46119</v>
      </c>
      <c r="U100" s="21">
        <f>IF([1]AIX!I101=0,"",[1]AIX!I101)</f>
        <v>11265.61</v>
      </c>
      <c r="V100" s="22">
        <f t="shared" si="35"/>
        <v>11265.61</v>
      </c>
      <c r="W100" s="23">
        <f>IF([2]AIX!I102=0,"",[2]AIX!I102)</f>
        <v>14991.35</v>
      </c>
      <c r="X100" s="17">
        <f t="shared" si="36"/>
        <v>0.18749009853933662</v>
      </c>
      <c r="AJ100" s="39"/>
      <c r="AL100" s="5">
        <v>46119</v>
      </c>
      <c r="AM100" s="21">
        <f>IF([1]AIX!J101=0,"",[1]AIX!J101)</f>
        <v>714</v>
      </c>
      <c r="AN100" s="22">
        <f t="shared" si="37"/>
        <v>714</v>
      </c>
      <c r="AO100" s="23">
        <f>IF([2]AIX!J102=0,"",[2]AIX!J102)</f>
        <v>955</v>
      </c>
      <c r="AP100" s="17">
        <f t="shared" si="38"/>
        <v>0.21811224489795911</v>
      </c>
      <c r="BB100" s="39"/>
      <c r="BD100" s="5">
        <v>46119</v>
      </c>
      <c r="BE100" s="41">
        <f t="shared" si="41"/>
        <v>16.079425770308124</v>
      </c>
      <c r="BF100" s="22">
        <f t="shared" si="39"/>
        <v>16.079425770308124</v>
      </c>
      <c r="BG100" s="42">
        <f t="shared" si="42"/>
        <v>16.045895287958114</v>
      </c>
      <c r="BH100" s="17">
        <f t="shared" si="40"/>
        <v>-2.0586255040394241E-2</v>
      </c>
      <c r="BT100" s="39"/>
    </row>
    <row r="101" spans="2:72">
      <c r="B101" s="5">
        <v>46120</v>
      </c>
      <c r="C101" s="23">
        <f>IF([1]AIX!H102=0,"",[1]AIX!H102)</f>
        <v>12844.4</v>
      </c>
      <c r="D101" s="22">
        <f t="shared" si="33"/>
        <v>12844.4</v>
      </c>
      <c r="E101" s="23">
        <f>IF([2]AIX!H103=0,"",[2]AIX!H103)</f>
        <v>16947.2</v>
      </c>
      <c r="F101" s="17">
        <f t="shared" si="34"/>
        <v>0.15324731885241438</v>
      </c>
      <c r="R101" s="39"/>
      <c r="T101" s="5">
        <v>46120</v>
      </c>
      <c r="U101" s="23">
        <f>IF([1]AIX!I102=0,"",[1]AIX!I102)</f>
        <v>12624.4</v>
      </c>
      <c r="V101" s="22">
        <f t="shared" si="35"/>
        <v>12624.4</v>
      </c>
      <c r="W101" s="23">
        <f>IF([2]AIX!I103=0,"",[2]AIX!I103)</f>
        <v>16538.939999999999</v>
      </c>
      <c r="X101" s="17">
        <f t="shared" si="36"/>
        <v>0.14611553501870689</v>
      </c>
      <c r="AJ101" s="39"/>
      <c r="AL101" s="5">
        <v>46120</v>
      </c>
      <c r="AM101" s="23">
        <f>IF([1]AIX!J102=0,"",[1]AIX!J102)</f>
        <v>784</v>
      </c>
      <c r="AN101" s="22">
        <f t="shared" si="37"/>
        <v>784</v>
      </c>
      <c r="AO101" s="23">
        <f>IF([2]AIX!J103=0,"",[2]AIX!J103)</f>
        <v>1087</v>
      </c>
      <c r="AP101" s="17">
        <f t="shared" si="38"/>
        <v>0.14541622760800843</v>
      </c>
      <c r="BB101" s="39"/>
      <c r="BD101" s="5">
        <v>46120</v>
      </c>
      <c r="BE101" s="42">
        <f t="shared" si="41"/>
        <v>16.383163265306123</v>
      </c>
      <c r="BF101" s="22">
        <f t="shared" si="39"/>
        <v>16.383163265306123</v>
      </c>
      <c r="BG101" s="42">
        <f t="shared" si="42"/>
        <v>15.590800367985281</v>
      </c>
      <c r="BH101" s="17">
        <f t="shared" si="40"/>
        <v>6.8368956678392934E-3</v>
      </c>
      <c r="BT101" s="39"/>
    </row>
    <row r="102" spans="2:72">
      <c r="B102" s="5">
        <v>46121</v>
      </c>
      <c r="C102" s="23">
        <f>IF([1]AIX!H103=0,"",[1]AIX!H103)</f>
        <v>14695.2</v>
      </c>
      <c r="D102" s="22">
        <f t="shared" si="33"/>
        <v>14695.2</v>
      </c>
      <c r="E102" s="23">
        <f>IF([2]AIX!H104=0,"",[2]AIX!H104)</f>
        <v>17218.009999999998</v>
      </c>
      <c r="F102" s="17">
        <f t="shared" si="34"/>
        <v>0.36344530661664143</v>
      </c>
      <c r="R102" s="39"/>
      <c r="T102" s="5">
        <v>46121</v>
      </c>
      <c r="U102" s="23">
        <f>IF([1]AIX!I103=0,"",[1]AIX!I103)</f>
        <v>14430.43</v>
      </c>
      <c r="V102" s="22">
        <f t="shared" si="35"/>
        <v>14430.43</v>
      </c>
      <c r="W102" s="23">
        <f>IF([2]AIX!I104=0,"",[2]AIX!I104)</f>
        <v>16791.54</v>
      </c>
      <c r="X102" s="17">
        <f t="shared" si="36"/>
        <v>0.34986301634157169</v>
      </c>
      <c r="AJ102" s="39"/>
      <c r="AL102" s="5">
        <v>46121</v>
      </c>
      <c r="AM102" s="23">
        <f>IF([1]AIX!J103=0,"",[1]AIX!J103)</f>
        <v>949</v>
      </c>
      <c r="AN102" s="22">
        <f t="shared" si="37"/>
        <v>949</v>
      </c>
      <c r="AO102" s="23">
        <f>IF([2]AIX!J104=0,"",[2]AIX!J104)</f>
        <v>1070</v>
      </c>
      <c r="AP102" s="17">
        <f t="shared" si="38"/>
        <v>0.35443037974683533</v>
      </c>
      <c r="BB102" s="39"/>
      <c r="BD102" s="5">
        <v>46121</v>
      </c>
      <c r="BE102" s="42">
        <f t="shared" si="41"/>
        <v>15.484931506849316</v>
      </c>
      <c r="BF102" s="22">
        <f t="shared" si="39"/>
        <v>15.484931506849316</v>
      </c>
      <c r="BG102" s="42">
        <f t="shared" si="42"/>
        <v>16.09159813084112</v>
      </c>
      <c r="BH102" s="17">
        <f t="shared" si="40"/>
        <v>6.6558805861183234E-3</v>
      </c>
      <c r="BT102" s="39"/>
    </row>
    <row r="103" spans="2:72">
      <c r="B103" s="5">
        <v>46122</v>
      </c>
      <c r="C103" s="23">
        <f>IF([1]AIX!H104=0,"",[1]AIX!H104)</f>
        <v>12628.31</v>
      </c>
      <c r="D103" s="22">
        <f t="shared" si="33"/>
        <v>12628.31</v>
      </c>
      <c r="E103" s="23">
        <f>IF([2]AIX!H105=0,"",[2]AIX!H105)</f>
        <v>18961.900000000001</v>
      </c>
      <c r="F103" s="17">
        <f t="shared" si="34"/>
        <v>-4.9632195395287626E-2</v>
      </c>
      <c r="R103" s="39"/>
      <c r="T103" s="5">
        <v>46122</v>
      </c>
      <c r="U103" s="23">
        <f>IF([1]AIX!I104=0,"",[1]AIX!I104)</f>
        <v>12439.44</v>
      </c>
      <c r="V103" s="22">
        <f t="shared" si="35"/>
        <v>12439.44</v>
      </c>
      <c r="W103" s="23">
        <f>IF([2]AIX!I105=0,"",[2]AIX!I105)</f>
        <v>18510.849999999999</v>
      </c>
      <c r="X103" s="17">
        <f t="shared" si="36"/>
        <v>-6.0279943507700717E-2</v>
      </c>
      <c r="AJ103" s="39"/>
      <c r="AL103" s="5">
        <v>46122</v>
      </c>
      <c r="AM103" s="23">
        <f>IF([1]AIX!J104=0,"",[1]AIX!J104)</f>
        <v>790</v>
      </c>
      <c r="AN103" s="22">
        <f t="shared" si="37"/>
        <v>790</v>
      </c>
      <c r="AO103" s="23">
        <f>IF([2]AIX!J105=0,"",[2]AIX!J105)</f>
        <v>1107</v>
      </c>
      <c r="AP103" s="17">
        <f t="shared" si="38"/>
        <v>-0.12834645669291334</v>
      </c>
      <c r="BB103" s="39"/>
      <c r="BD103" s="5">
        <v>46122</v>
      </c>
      <c r="BE103" s="42">
        <f t="shared" si="41"/>
        <v>15.985202531645569</v>
      </c>
      <c r="BF103" s="22">
        <f t="shared" si="39"/>
        <v>15.985202531645569</v>
      </c>
      <c r="BG103" s="42">
        <f t="shared" si="42"/>
        <v>17.129087624209578</v>
      </c>
      <c r="BH103" s="17">
        <f t="shared" si="40"/>
        <v>9.0304527414620361E-2</v>
      </c>
      <c r="BT103" s="39"/>
    </row>
    <row r="104" spans="2:72">
      <c r="B104" s="5">
        <v>46123</v>
      </c>
      <c r="C104" s="23">
        <f>IF([1]AIX!H105=0,"",[1]AIX!H105)</f>
        <v>19952.169999999998</v>
      </c>
      <c r="D104" s="22">
        <f t="shared" si="33"/>
        <v>19952.169999999998</v>
      </c>
      <c r="E104" s="23">
        <f>IF([2]AIX!H106=0,"",[2]AIX!H106)</f>
        <v>18755.939999999999</v>
      </c>
      <c r="F104" s="17">
        <f t="shared" si="34"/>
        <v>-0.12100965177230349</v>
      </c>
      <c r="R104" s="39"/>
      <c r="T104" s="5">
        <v>46123</v>
      </c>
      <c r="U104" s="23">
        <f>IF([1]AIX!I105=0,"",[1]AIX!I105)</f>
        <v>19698.259999999998</v>
      </c>
      <c r="V104" s="22">
        <f t="shared" si="35"/>
        <v>19698.259999999998</v>
      </c>
      <c r="W104" s="23">
        <f>IF([2]AIX!I106=0,"",[2]AIX!I106)</f>
        <v>18324.310000000001</v>
      </c>
      <c r="X104" s="17">
        <f t="shared" si="36"/>
        <v>-0.12842732403557378</v>
      </c>
      <c r="AJ104" s="39"/>
      <c r="AL104" s="5">
        <v>46123</v>
      </c>
      <c r="AM104" s="23">
        <f>IF([1]AIX!J105=0,"",[1]AIX!J105)</f>
        <v>1270</v>
      </c>
      <c r="AN104" s="22">
        <f t="shared" si="37"/>
        <v>1270</v>
      </c>
      <c r="AO104" s="23">
        <f>IF([2]AIX!J106=0,"",[2]AIX!J106)</f>
        <v>1046</v>
      </c>
      <c r="AP104" s="17">
        <f t="shared" si="38"/>
        <v>-0.15508885298869146</v>
      </c>
      <c r="BB104" s="39"/>
      <c r="BD104" s="5">
        <v>46123</v>
      </c>
      <c r="BE104" s="42">
        <f t="shared" si="41"/>
        <v>15.710370078740157</v>
      </c>
      <c r="BF104" s="22">
        <f t="shared" si="39"/>
        <v>15.710370078740157</v>
      </c>
      <c r="BG104" s="42">
        <f t="shared" si="42"/>
        <v>17.931108986615676</v>
      </c>
      <c r="BH104" s="17">
        <f t="shared" si="40"/>
        <v>4.0334656888994402E-2</v>
      </c>
      <c r="BT104" s="39"/>
    </row>
    <row r="105" spans="2:72">
      <c r="B105" s="5">
        <v>46124</v>
      </c>
      <c r="C105" s="23">
        <f>IF([1]AIX!H106=0,"",[1]AIX!H106)</f>
        <v>21338.05</v>
      </c>
      <c r="D105" s="22">
        <f t="shared" si="33"/>
        <v>21338.05</v>
      </c>
      <c r="E105" s="24">
        <f>IF([2]AIX!H107=0,"",[2]AIX!H107)</f>
        <v>16053.62</v>
      </c>
      <c r="F105" s="17">
        <f t="shared" si="34"/>
        <v>-0.15639043851499335</v>
      </c>
      <c r="R105" s="39"/>
      <c r="T105" s="5">
        <v>46124</v>
      </c>
      <c r="U105" s="23">
        <f>IF([1]AIX!I106=0,"",[1]AIX!I106)</f>
        <v>21024.42</v>
      </c>
      <c r="V105" s="22">
        <f t="shared" si="35"/>
        <v>21024.42</v>
      </c>
      <c r="W105" s="24">
        <f>IF([2]AIX!I107=0,"",[2]AIX!I107)</f>
        <v>15504.04</v>
      </c>
      <c r="X105" s="17">
        <f t="shared" si="36"/>
        <v>-0.1693375773587209</v>
      </c>
      <c r="AJ105" s="39"/>
      <c r="AL105" s="5">
        <v>46124</v>
      </c>
      <c r="AM105" s="23">
        <f>IF([1]AIX!J106=0,"",[1]AIX!J106)</f>
        <v>1238</v>
      </c>
      <c r="AN105" s="22">
        <f t="shared" si="37"/>
        <v>1238</v>
      </c>
      <c r="AO105" s="24">
        <f>IF([2]AIX!J107=0,"",[2]AIX!J107)</f>
        <v>743</v>
      </c>
      <c r="AP105" s="17">
        <f t="shared" si="38"/>
        <v>-0.21125265392781312</v>
      </c>
      <c r="BB105" s="39"/>
      <c r="BD105" s="5">
        <v>46124</v>
      </c>
      <c r="BE105" s="42">
        <f t="shared" si="41"/>
        <v>17.235904684975768</v>
      </c>
      <c r="BF105" s="22">
        <f t="shared" si="39"/>
        <v>17.235904684975768</v>
      </c>
      <c r="BG105" s="43">
        <f t="shared" si="42"/>
        <v>21.606487213997308</v>
      </c>
      <c r="BH105" s="17">
        <f t="shared" si="40"/>
        <v>6.9556133134422993E-2</v>
      </c>
      <c r="BT105" s="39"/>
    </row>
    <row r="106" spans="2:72">
      <c r="B106" s="5">
        <v>46125</v>
      </c>
      <c r="C106" s="24">
        <f>IF([1]AIX!H107=0,"",[1]AIX!H107)</f>
        <v>19029.68</v>
      </c>
      <c r="D106" s="22">
        <f t="shared" si="33"/>
        <v>19029.68</v>
      </c>
      <c r="E106" s="21">
        <f>IF([2]AIX!H108=0,"",[2]AIX!H108)</f>
        <v>10967.43</v>
      </c>
      <c r="F106" s="17">
        <f t="shared" si="34"/>
        <v>0.16860769906148509</v>
      </c>
      <c r="R106" s="39"/>
      <c r="T106" s="5">
        <v>46125</v>
      </c>
      <c r="U106" s="24">
        <f>IF([1]AIX!I107=0,"",[1]AIX!I107)</f>
        <v>18664.669999999998</v>
      </c>
      <c r="V106" s="22">
        <f t="shared" si="35"/>
        <v>18664.669999999998</v>
      </c>
      <c r="W106" s="21">
        <f>IF([2]AIX!I108=0,"",[2]AIX!I108)</f>
        <v>10648.08</v>
      </c>
      <c r="X106" s="17">
        <f t="shared" si="36"/>
        <v>0.15299106243733207</v>
      </c>
      <c r="AJ106" s="39"/>
      <c r="AL106" s="5">
        <v>46125</v>
      </c>
      <c r="AM106" s="24">
        <f>IF([1]AIX!J107=0,"",[1]AIX!J107)</f>
        <v>942</v>
      </c>
      <c r="AN106" s="22">
        <f t="shared" si="37"/>
        <v>942</v>
      </c>
      <c r="AO106" s="21">
        <f>IF([2]AIX!J108=0,"",[2]AIX!J108)</f>
        <v>624</v>
      </c>
      <c r="AP106" s="17">
        <f t="shared" si="38"/>
        <v>8.710801393728218E-2</v>
      </c>
      <c r="BB106" s="39"/>
      <c r="BD106" s="5">
        <v>46125</v>
      </c>
      <c r="BE106" s="43">
        <f t="shared" si="41"/>
        <v>20.20135881104034</v>
      </c>
      <c r="BF106" s="22">
        <f t="shared" si="39"/>
        <v>20.20135881104034</v>
      </c>
      <c r="BG106" s="41">
        <f t="shared" si="42"/>
        <v>17.576009615384617</v>
      </c>
      <c r="BH106" s="17">
        <f t="shared" si="40"/>
        <v>7.4969261636686602E-2</v>
      </c>
      <c r="BT106" s="39"/>
    </row>
    <row r="107" spans="2:72">
      <c r="B107" s="5">
        <v>46126</v>
      </c>
      <c r="C107" s="21">
        <f>IF([1]AIX!H108=0,"",[1]AIX!H108)</f>
        <v>9385.0400000000009</v>
      </c>
      <c r="D107" s="22">
        <f t="shared" si="33"/>
        <v>9385.0400000000009</v>
      </c>
      <c r="E107" s="23">
        <f>IF([2]AIX!H109=0,"",[2]AIX!H109)</f>
        <v>15038.03</v>
      </c>
      <c r="F107" s="17">
        <f t="shared" si="34"/>
        <v>0.39908824063004422</v>
      </c>
      <c r="R107" s="39"/>
      <c r="T107" s="5">
        <v>46126</v>
      </c>
      <c r="U107" s="21">
        <f>IF([1]AIX!I108=0,"",[1]AIX!I108)</f>
        <v>9235.18</v>
      </c>
      <c r="V107" s="22">
        <f t="shared" si="35"/>
        <v>9235.18</v>
      </c>
      <c r="W107" s="23">
        <f>IF([2]AIX!I109=0,"",[2]AIX!I109)</f>
        <v>14624.29</v>
      </c>
      <c r="X107" s="17">
        <f t="shared" si="36"/>
        <v>0.38017602935458439</v>
      </c>
      <c r="AJ107" s="39"/>
      <c r="AL107" s="5">
        <v>46126</v>
      </c>
      <c r="AM107" s="21">
        <f>IF([1]AIX!J108=0,"",[1]AIX!J108)</f>
        <v>574</v>
      </c>
      <c r="AN107" s="22">
        <f t="shared" si="37"/>
        <v>574</v>
      </c>
      <c r="AO107" s="23">
        <f>IF([2]AIX!J109=0,"",[2]AIX!J109)</f>
        <v>818</v>
      </c>
      <c r="AP107" s="17">
        <f t="shared" si="38"/>
        <v>0.28012519561815341</v>
      </c>
      <c r="BB107" s="39"/>
      <c r="BD107" s="5">
        <v>46126</v>
      </c>
      <c r="BE107" s="41">
        <f t="shared" si="41"/>
        <v>16.350243902439026</v>
      </c>
      <c r="BF107" s="22">
        <f t="shared" si="39"/>
        <v>16.350243902439026</v>
      </c>
      <c r="BG107" s="42">
        <f t="shared" si="42"/>
        <v>18.383899755501222</v>
      </c>
      <c r="BH107" s="17">
        <f t="shared" si="40"/>
        <v>9.2930789440829109E-2</v>
      </c>
      <c r="BT107" s="39"/>
    </row>
    <row r="108" spans="2:72">
      <c r="B108" s="5">
        <v>46127</v>
      </c>
      <c r="C108" s="23">
        <f>IF([1]AIX!H109=0,"",[1]AIX!H109)</f>
        <v>10748.45</v>
      </c>
      <c r="D108" s="22">
        <f t="shared" si="33"/>
        <v>10748.45</v>
      </c>
      <c r="E108" s="23">
        <f>IF([2]AIX!H110=0,"",[2]AIX!H110)</f>
        <v>14914.76</v>
      </c>
      <c r="F108" s="17">
        <f t="shared" si="34"/>
        <v>0.35634843119387871</v>
      </c>
      <c r="R108" s="39"/>
      <c r="T108" s="5">
        <v>46127</v>
      </c>
      <c r="U108" s="23">
        <f>IF([1]AIX!I109=0,"",[1]AIX!I109)</f>
        <v>10595.96</v>
      </c>
      <c r="V108" s="22">
        <f t="shared" si="35"/>
        <v>10595.96</v>
      </c>
      <c r="W108" s="23">
        <f>IF([2]AIX!I110=0,"",[2]AIX!I110)</f>
        <v>14514.7</v>
      </c>
      <c r="X108" s="17">
        <f t="shared" si="36"/>
        <v>0.34504842367074695</v>
      </c>
      <c r="AJ108" s="39"/>
      <c r="AL108" s="5">
        <v>46127</v>
      </c>
      <c r="AM108" s="23">
        <f>IF([1]AIX!J109=0,"",[1]AIX!J109)</f>
        <v>639</v>
      </c>
      <c r="AN108" s="22">
        <f t="shared" si="37"/>
        <v>639</v>
      </c>
      <c r="AO108" s="23">
        <f>IF([2]AIX!J110=0,"",[2]AIX!J110)</f>
        <v>864</v>
      </c>
      <c r="AP108" s="17">
        <f t="shared" si="38"/>
        <v>0.29924812030075199</v>
      </c>
      <c r="BB108" s="39"/>
      <c r="BD108" s="5">
        <v>46127</v>
      </c>
      <c r="BE108" s="42">
        <f t="shared" si="41"/>
        <v>16.820735524256651</v>
      </c>
      <c r="BF108" s="22">
        <f t="shared" si="39"/>
        <v>16.820735524256651</v>
      </c>
      <c r="BG108" s="42">
        <f t="shared" si="42"/>
        <v>17.262453703703702</v>
      </c>
      <c r="BH108" s="17">
        <f t="shared" si="40"/>
        <v>4.3948734657325517E-2</v>
      </c>
      <c r="BT108" s="39"/>
    </row>
    <row r="109" spans="2:72">
      <c r="B109" s="5">
        <v>46128</v>
      </c>
      <c r="C109" s="23">
        <f>IF([1]AIX!H110=0,"",[1]AIX!H110)</f>
        <v>10996.26</v>
      </c>
      <c r="D109" s="22">
        <f t="shared" si="33"/>
        <v>10996.26</v>
      </c>
      <c r="E109" s="23">
        <f>IF([2]AIX!H111=0,"",[2]AIX!H111)</f>
        <v>15192.68</v>
      </c>
      <c r="F109" s="17">
        <f t="shared" si="34"/>
        <v>0.37066465057825715</v>
      </c>
      <c r="R109" s="39"/>
      <c r="T109" s="5">
        <v>46128</v>
      </c>
      <c r="U109" s="23">
        <f>IF([1]AIX!I110=0,"",[1]AIX!I110)</f>
        <v>10791.21</v>
      </c>
      <c r="V109" s="22">
        <f t="shared" si="35"/>
        <v>10791.21</v>
      </c>
      <c r="W109" s="23">
        <f>IF([2]AIX!I111=0,"",[2]AIX!I111)</f>
        <v>14852.28</v>
      </c>
      <c r="X109" s="17">
        <f t="shared" si="36"/>
        <v>0.35931343701579044</v>
      </c>
      <c r="AJ109" s="39"/>
      <c r="AL109" s="5">
        <v>46128</v>
      </c>
      <c r="AM109" s="23">
        <f>IF([1]AIX!J110=0,"",[1]AIX!J110)</f>
        <v>665</v>
      </c>
      <c r="AN109" s="22">
        <f t="shared" si="37"/>
        <v>665</v>
      </c>
      <c r="AO109" s="23">
        <f>IF([2]AIX!J111=0,"",[2]AIX!J111)</f>
        <v>970</v>
      </c>
      <c r="AP109" s="17">
        <f t="shared" si="38"/>
        <v>0.52037617554858939</v>
      </c>
      <c r="BB109" s="39"/>
      <c r="BD109" s="5">
        <v>46128</v>
      </c>
      <c r="BE109" s="42">
        <f t="shared" si="41"/>
        <v>16.535729323308271</v>
      </c>
      <c r="BF109" s="22">
        <f t="shared" si="39"/>
        <v>16.535729323308271</v>
      </c>
      <c r="BG109" s="42">
        <f t="shared" si="42"/>
        <v>15.662556701030928</v>
      </c>
      <c r="BH109" s="17">
        <f t="shared" si="40"/>
        <v>-9.8470054568115528E-2</v>
      </c>
      <c r="BT109" s="39"/>
    </row>
    <row r="110" spans="2:72">
      <c r="B110" s="5">
        <v>46129</v>
      </c>
      <c r="C110" s="23">
        <f>IF([1]AIX!H111=0,"",[1]AIX!H111)</f>
        <v>11084.17</v>
      </c>
      <c r="D110" s="22">
        <f t="shared" si="33"/>
        <v>11084.17</v>
      </c>
      <c r="E110" s="23">
        <f>IF([2]AIX!H112=0,"",[2]AIX!H112)</f>
        <v>20169.650000000001</v>
      </c>
      <c r="F110" s="17">
        <f t="shared" si="34"/>
        <v>0.12382078954098641</v>
      </c>
      <c r="R110" s="39"/>
      <c r="T110" s="5">
        <v>46129</v>
      </c>
      <c r="U110" s="23">
        <f>IF([1]AIX!I111=0,"",[1]AIX!I111)</f>
        <v>10926.31</v>
      </c>
      <c r="V110" s="22">
        <f t="shared" si="35"/>
        <v>10926.31</v>
      </c>
      <c r="W110" s="23">
        <f>IF([2]AIX!I112=0,"",[2]AIX!I112)</f>
        <v>19705.240000000002</v>
      </c>
      <c r="X110" s="17">
        <f t="shared" si="36"/>
        <v>0.11076575670101252</v>
      </c>
      <c r="AJ110" s="39"/>
      <c r="AL110" s="5">
        <v>46129</v>
      </c>
      <c r="AM110" s="23">
        <f>IF([1]AIX!J111=0,"",[1]AIX!J111)</f>
        <v>638</v>
      </c>
      <c r="AN110" s="22">
        <f t="shared" si="37"/>
        <v>638</v>
      </c>
      <c r="AO110" s="23">
        <f>IF([2]AIX!J112=0,"",[2]AIX!J112)</f>
        <v>1225</v>
      </c>
      <c r="AP110" s="17">
        <f t="shared" si="38"/>
        <v>0.13847583643122685</v>
      </c>
      <c r="BB110" s="39"/>
      <c r="BD110" s="5">
        <v>46129</v>
      </c>
      <c r="BE110" s="42">
        <f t="shared" si="41"/>
        <v>17.373307210031349</v>
      </c>
      <c r="BF110" s="22">
        <f t="shared" si="39"/>
        <v>17.373307210031349</v>
      </c>
      <c r="BG110" s="42">
        <f t="shared" si="42"/>
        <v>16.465020408163266</v>
      </c>
      <c r="BH110" s="17">
        <f t="shared" si="40"/>
        <v>-1.2872514656243839E-2</v>
      </c>
      <c r="BT110" s="39"/>
    </row>
    <row r="111" spans="2:72">
      <c r="B111" s="5">
        <v>46130</v>
      </c>
      <c r="C111" s="23">
        <f>IF([1]AIX!H112=0,"",[1]AIX!H112)</f>
        <v>17947.39</v>
      </c>
      <c r="D111" s="22">
        <f t="shared" si="33"/>
        <v>17947.39</v>
      </c>
      <c r="E111" s="23">
        <f>IF([2]AIX!H113=0,"",[2]AIX!H113)</f>
        <v>19408.22</v>
      </c>
      <c r="F111" s="17">
        <f t="shared" si="34"/>
        <v>1.9503134432319547E-2</v>
      </c>
      <c r="R111" s="39"/>
      <c r="T111" s="5">
        <v>46130</v>
      </c>
      <c r="U111" s="23">
        <f>IF([1]AIX!I112=0,"",[1]AIX!I112)</f>
        <v>17740.23</v>
      </c>
      <c r="V111" s="22">
        <f t="shared" si="35"/>
        <v>17740.23</v>
      </c>
      <c r="W111" s="23">
        <f>IF([2]AIX!I113=0,"",[2]AIX!I113)</f>
        <v>18939.66</v>
      </c>
      <c r="X111" s="17">
        <f t="shared" si="36"/>
        <v>1.0903435105132475E-2</v>
      </c>
      <c r="AJ111" s="39"/>
      <c r="AL111" s="5">
        <v>46130</v>
      </c>
      <c r="AM111" s="23">
        <f>IF([1]AIX!J112=0,"",[1]AIX!J112)</f>
        <v>1076</v>
      </c>
      <c r="AN111" s="22">
        <f t="shared" si="37"/>
        <v>1076</v>
      </c>
      <c r="AO111" s="23">
        <f>IF([2]AIX!J113=0,"",[2]AIX!J113)</f>
        <v>1152</v>
      </c>
      <c r="AP111" s="17">
        <f t="shared" si="38"/>
        <v>-1.2006861063464824E-2</v>
      </c>
      <c r="BB111" s="39"/>
      <c r="BD111" s="5">
        <v>46130</v>
      </c>
      <c r="BE111" s="42">
        <f t="shared" si="41"/>
        <v>16.679730483271374</v>
      </c>
      <c r="BF111" s="22">
        <f t="shared" si="39"/>
        <v>16.679730483271374</v>
      </c>
      <c r="BG111" s="42">
        <f t="shared" si="42"/>
        <v>16.847413194444446</v>
      </c>
      <c r="BH111" s="17">
        <f t="shared" si="40"/>
        <v>3.1892929468823494E-2</v>
      </c>
      <c r="BT111" s="39"/>
    </row>
    <row r="112" spans="2:72">
      <c r="B112" s="5">
        <v>46131</v>
      </c>
      <c r="C112" s="23">
        <f>IF([1]AIX!H113=0,"",[1]AIX!H113)</f>
        <v>19036.939999999999</v>
      </c>
      <c r="D112" s="22">
        <f t="shared" si="33"/>
        <v>19036.939999999999</v>
      </c>
      <c r="E112" s="24">
        <f>IF([2]AIX!H114=0,"",[2]AIX!H114)</f>
        <v>18661.29</v>
      </c>
      <c r="F112" s="17">
        <f t="shared" si="34"/>
        <v>-4.1200358831393391E-2</v>
      </c>
      <c r="R112" s="39"/>
      <c r="T112" s="5">
        <v>46131</v>
      </c>
      <c r="U112" s="23">
        <f>IF([1]AIX!I113=0,"",[1]AIX!I113)</f>
        <v>18735.38</v>
      </c>
      <c r="V112" s="22">
        <f t="shared" si="35"/>
        <v>18735.38</v>
      </c>
      <c r="W112" s="24">
        <f>IF([2]AIX!I114=0,"",[2]AIX!I114)</f>
        <v>18300.29</v>
      </c>
      <c r="X112" s="17">
        <f t="shared" si="36"/>
        <v>-4.8780170863402694E-2</v>
      </c>
      <c r="AJ112" s="39"/>
      <c r="AL112" s="5">
        <v>46131</v>
      </c>
      <c r="AM112" s="23">
        <f>IF([1]AIX!J113=0,"",[1]AIX!J113)</f>
        <v>1166</v>
      </c>
      <c r="AN112" s="22">
        <f t="shared" si="37"/>
        <v>1166</v>
      </c>
      <c r="AO112" s="24">
        <f>IF([2]AIX!J114=0,"",[2]AIX!J114)</f>
        <v>988</v>
      </c>
      <c r="AP112" s="17">
        <f t="shared" si="38"/>
        <v>-0.12255772646536411</v>
      </c>
      <c r="BB112" s="39"/>
      <c r="BD112" s="5">
        <v>46131</v>
      </c>
      <c r="BE112" s="42">
        <f t="shared" si="41"/>
        <v>16.326706689536877</v>
      </c>
      <c r="BF112" s="22">
        <f t="shared" si="39"/>
        <v>16.326706689536877</v>
      </c>
      <c r="BG112" s="43">
        <f t="shared" si="42"/>
        <v>18.887945344129555</v>
      </c>
      <c r="BH112" s="17">
        <f t="shared" si="40"/>
        <v>9.2721048538310757E-2</v>
      </c>
      <c r="BT112" s="39"/>
    </row>
    <row r="113" spans="2:72">
      <c r="B113" s="5">
        <v>46132</v>
      </c>
      <c r="C113" s="24">
        <f>IF([1]AIX!H114=0,"",[1]AIX!H114)</f>
        <v>19463.18</v>
      </c>
      <c r="D113" s="22">
        <f t="shared" si="33"/>
        <v>19463.18</v>
      </c>
      <c r="E113" s="21">
        <f>IF([2]AIX!H115=0,"",[2]AIX!H115)</f>
        <v>9748.68</v>
      </c>
      <c r="F113" s="17">
        <f t="shared" si="34"/>
        <v>-0.48096480145413423</v>
      </c>
      <c r="R113" s="39"/>
      <c r="T113" s="5">
        <v>46132</v>
      </c>
      <c r="U113" s="24">
        <f>IF([1]AIX!I114=0,"",[1]AIX!I114)</f>
        <v>19238.759999999998</v>
      </c>
      <c r="V113" s="22">
        <f t="shared" si="35"/>
        <v>19238.759999999998</v>
      </c>
      <c r="W113" s="21">
        <f>IF([2]AIX!I115=0,"",[2]AIX!I115)</f>
        <v>9548.67</v>
      </c>
      <c r="X113" s="17">
        <f t="shared" si="36"/>
        <v>-0.48339631726589316</v>
      </c>
      <c r="AJ113" s="39"/>
      <c r="AL113" s="5">
        <v>46132</v>
      </c>
      <c r="AM113" s="24">
        <f>IF([1]AIX!J114=0,"",[1]AIX!J114)</f>
        <v>1126</v>
      </c>
      <c r="AN113" s="22">
        <f t="shared" si="37"/>
        <v>1126</v>
      </c>
      <c r="AO113" s="21">
        <f>IF([2]AIX!J115=0,"",[2]AIX!J115)</f>
        <v>561</v>
      </c>
      <c r="AP113" s="17">
        <f t="shared" si="38"/>
        <v>-0.47422680412371132</v>
      </c>
      <c r="BB113" s="39"/>
      <c r="BD113" s="5">
        <v>46132</v>
      </c>
      <c r="BE113" s="43">
        <f t="shared" si="41"/>
        <v>17.285239786856128</v>
      </c>
      <c r="BF113" s="22">
        <f t="shared" si="39"/>
        <v>17.285239786856128</v>
      </c>
      <c r="BG113" s="41">
        <f t="shared" si="42"/>
        <v>17.377326203208558</v>
      </c>
      <c r="BH113" s="17">
        <f t="shared" si="40"/>
        <v>-1.2815406687274988E-2</v>
      </c>
      <c r="BT113" s="39"/>
    </row>
    <row r="114" spans="2:72">
      <c r="B114" s="5">
        <v>46133</v>
      </c>
      <c r="C114" s="21">
        <f>IF([1]AIX!H115=0,"",[1]AIX!H115)</f>
        <v>18782.310000000001</v>
      </c>
      <c r="D114" s="22">
        <f t="shared" si="33"/>
        <v>18782.310000000001</v>
      </c>
      <c r="E114" s="23">
        <f>IF([2]AIX!H116=0,"",[2]AIX!H116)</f>
        <v>11147.55</v>
      </c>
      <c r="F114" s="17">
        <f t="shared" si="34"/>
        <v>-0.29363984062533277</v>
      </c>
      <c r="R114" s="39"/>
      <c r="T114" s="5">
        <v>46133</v>
      </c>
      <c r="U114" s="21">
        <f>IF([1]AIX!I115=0,"",[1]AIX!I115)</f>
        <v>18483.55</v>
      </c>
      <c r="V114" s="22">
        <f t="shared" si="35"/>
        <v>18483.55</v>
      </c>
      <c r="W114" s="23">
        <f>IF([2]AIX!I116=0,"",[2]AIX!I116)</f>
        <v>10858</v>
      </c>
      <c r="X114" s="17">
        <f t="shared" si="36"/>
        <v>-0.30158497372099291</v>
      </c>
      <c r="AJ114" s="39"/>
      <c r="AL114" s="5">
        <v>46133</v>
      </c>
      <c r="AM114" s="21">
        <f>IF([1]AIX!J115=0,"",[1]AIX!J115)</f>
        <v>1067</v>
      </c>
      <c r="AN114" s="22">
        <f t="shared" si="37"/>
        <v>1067</v>
      </c>
      <c r="AO114" s="23">
        <f>IF([2]AIX!J116=0,"",[2]AIX!J116)</f>
        <v>640</v>
      </c>
      <c r="AP114" s="17">
        <f t="shared" si="38"/>
        <v>-0.34291581108829572</v>
      </c>
      <c r="BB114" s="39"/>
      <c r="BD114" s="5">
        <v>46133</v>
      </c>
      <c r="BE114" s="41">
        <f t="shared" si="41"/>
        <v>17.602914714151829</v>
      </c>
      <c r="BF114" s="22">
        <f t="shared" si="39"/>
        <v>17.602914714151829</v>
      </c>
      <c r="BG114" s="42">
        <f t="shared" si="42"/>
        <v>17.418046874999998</v>
      </c>
      <c r="BH114" s="17">
        <f t="shared" si="40"/>
        <v>7.4991867548321656E-2</v>
      </c>
      <c r="BT114" s="39"/>
    </row>
    <row r="115" spans="2:72">
      <c r="B115" s="5">
        <v>46134</v>
      </c>
      <c r="C115" s="23">
        <f>IF([1]AIX!H116=0,"",[1]AIX!H116)</f>
        <v>15781.68</v>
      </c>
      <c r="D115" s="22">
        <f t="shared" si="33"/>
        <v>15781.68</v>
      </c>
      <c r="E115" s="23">
        <f>IF([2]AIX!H117=0,"",[2]AIX!H117)</f>
        <v>12563.37</v>
      </c>
      <c r="F115" s="17">
        <f t="shared" si="34"/>
        <v>-1.6642154541448351E-2</v>
      </c>
      <c r="R115" s="39"/>
      <c r="T115" s="5">
        <v>46134</v>
      </c>
      <c r="U115" s="23">
        <f>IF([1]AIX!I116=0,"",[1]AIX!I116)</f>
        <v>15546.63</v>
      </c>
      <c r="V115" s="22">
        <f t="shared" si="35"/>
        <v>15546.63</v>
      </c>
      <c r="W115" s="23">
        <f>IF([2]AIX!I117=0,"",[2]AIX!I117)</f>
        <v>12282.22</v>
      </c>
      <c r="X115" s="17">
        <f t="shared" si="36"/>
        <v>-2.3473737940728823E-2</v>
      </c>
      <c r="AJ115" s="39"/>
      <c r="AL115" s="5">
        <v>46134</v>
      </c>
      <c r="AM115" s="23">
        <f>IF([1]AIX!J116=0,"",[1]AIX!J116)</f>
        <v>974</v>
      </c>
      <c r="AN115" s="22">
        <f t="shared" si="37"/>
        <v>974</v>
      </c>
      <c r="AO115" s="23">
        <f>IF([2]AIX!J117=0,"",[2]AIX!J117)</f>
        <v>701</v>
      </c>
      <c r="AP115" s="17">
        <f t="shared" si="38"/>
        <v>-8.9610389610389585E-2</v>
      </c>
      <c r="BB115" s="39"/>
      <c r="BD115" s="5">
        <v>46134</v>
      </c>
      <c r="BE115" s="42">
        <f t="shared" si="41"/>
        <v>16.202956878850102</v>
      </c>
      <c r="BF115" s="22">
        <f t="shared" si="39"/>
        <v>16.202956878850102</v>
      </c>
      <c r="BG115" s="42">
        <f t="shared" si="42"/>
        <v>17.92206847360913</v>
      </c>
      <c r="BH115" s="17">
        <f t="shared" si="40"/>
        <v>8.0150557779008258E-2</v>
      </c>
      <c r="BT115" s="39"/>
    </row>
    <row r="116" spans="2:72">
      <c r="B116" s="5">
        <v>46135</v>
      </c>
      <c r="C116" s="23">
        <f>IF([1]AIX!H117=0,"",[1]AIX!H117)</f>
        <v>12775.99</v>
      </c>
      <c r="D116" s="22">
        <f t="shared" si="33"/>
        <v>12775.99</v>
      </c>
      <c r="E116" s="23">
        <f>IF([2]AIX!H118=0,"",[2]AIX!H118)</f>
        <v>11488</v>
      </c>
      <c r="F116" s="17">
        <f t="shared" si="34"/>
        <v>-0.14738042878867608</v>
      </c>
      <c r="R116" s="39"/>
      <c r="T116" s="5">
        <v>46135</v>
      </c>
      <c r="U116" s="23">
        <f>IF([1]AIX!I117=0,"",[1]AIX!I117)</f>
        <v>12577.46</v>
      </c>
      <c r="V116" s="22">
        <f t="shared" si="35"/>
        <v>12577.46</v>
      </c>
      <c r="W116" s="23">
        <f>IF([2]AIX!I118=0,"",[2]AIX!I118)</f>
        <v>11299.75</v>
      </c>
      <c r="X116" s="17">
        <f t="shared" si="36"/>
        <v>-0.14556040756914124</v>
      </c>
      <c r="AJ116" s="39"/>
      <c r="AL116" s="5">
        <v>46135</v>
      </c>
      <c r="AM116" s="23">
        <f>IF([1]AIX!J117=0,"",[1]AIX!J117)</f>
        <v>770</v>
      </c>
      <c r="AN116" s="22">
        <f t="shared" si="37"/>
        <v>770</v>
      </c>
      <c r="AO116" s="23">
        <f>IF([2]AIX!J118=0,"",[2]AIX!J118)</f>
        <v>752</v>
      </c>
      <c r="AP116" s="17">
        <f t="shared" si="38"/>
        <v>-0.12252042007001163</v>
      </c>
      <c r="BB116" s="39"/>
      <c r="BD116" s="5">
        <v>46135</v>
      </c>
      <c r="BE116" s="42">
        <f t="shared" si="41"/>
        <v>16.592194805194804</v>
      </c>
      <c r="BF116" s="22">
        <f t="shared" si="39"/>
        <v>16.592194805194804</v>
      </c>
      <c r="BG116" s="42">
        <f t="shared" si="42"/>
        <v>15.276595744680851</v>
      </c>
      <c r="BH116" s="17">
        <f t="shared" si="40"/>
        <v>-2.8331153553052491E-2</v>
      </c>
      <c r="BT116" s="39"/>
    </row>
    <row r="117" spans="2:72">
      <c r="B117" s="5">
        <v>46136</v>
      </c>
      <c r="C117" s="23">
        <f>IF([1]AIX!H118=0,"",[1]AIX!H118)</f>
        <v>13473.77</v>
      </c>
      <c r="D117" s="22">
        <f t="shared" si="33"/>
        <v>13473.77</v>
      </c>
      <c r="E117" s="23">
        <f>IF([2]AIX!H119=0,"",[2]AIX!H119)</f>
        <v>15854.07</v>
      </c>
      <c r="F117" s="17">
        <f t="shared" si="34"/>
        <v>-0.12771679476126208</v>
      </c>
      <c r="R117" s="39"/>
      <c r="T117" s="5">
        <v>46136</v>
      </c>
      <c r="U117" s="23">
        <f>IF([1]AIX!I118=0,"",[1]AIX!I118)</f>
        <v>13224.75</v>
      </c>
      <c r="V117" s="22">
        <f t="shared" si="35"/>
        <v>13224.75</v>
      </c>
      <c r="W117" s="23">
        <f>IF([2]AIX!I119=0,"",[2]AIX!I119)</f>
        <v>15491.18</v>
      </c>
      <c r="X117" s="17">
        <f t="shared" si="36"/>
        <v>-0.13370804550007065</v>
      </c>
      <c r="AJ117" s="39"/>
      <c r="AL117" s="5">
        <v>46136</v>
      </c>
      <c r="AM117" s="23">
        <f>IF([1]AIX!J118=0,"",[1]AIX!J118)</f>
        <v>857</v>
      </c>
      <c r="AN117" s="22">
        <f t="shared" si="37"/>
        <v>857</v>
      </c>
      <c r="AO117" s="23">
        <f>IF([2]AIX!J119=0,"",[2]AIX!J119)</f>
        <v>925</v>
      </c>
      <c r="AP117" s="17">
        <f t="shared" si="38"/>
        <v>-0.19774501300954028</v>
      </c>
      <c r="BB117" s="39"/>
      <c r="BD117" s="5">
        <v>46136</v>
      </c>
      <c r="BE117" s="42">
        <f t="shared" si="41"/>
        <v>15.722018669778297</v>
      </c>
      <c r="BF117" s="22">
        <f t="shared" si="39"/>
        <v>15.722018669778297</v>
      </c>
      <c r="BG117" s="42">
        <f t="shared" si="42"/>
        <v>17.139535135135134</v>
      </c>
      <c r="BH117" s="17">
        <f t="shared" si="40"/>
        <v>8.728922771920522E-2</v>
      </c>
      <c r="BT117" s="39"/>
    </row>
    <row r="118" spans="2:72">
      <c r="B118" s="5">
        <v>46137</v>
      </c>
      <c r="C118" s="23">
        <f>IF([1]AIX!H119=0,"",[1]AIX!H119)</f>
        <v>18175.37</v>
      </c>
      <c r="D118" s="22">
        <f t="shared" si="33"/>
        <v>18175.37</v>
      </c>
      <c r="E118" s="23">
        <f>IF([2]AIX!H120=0,"",[2]AIX!H120)</f>
        <v>18998.21</v>
      </c>
      <c r="F118" s="17">
        <f t="shared" si="34"/>
        <v>0.1339682960341988</v>
      </c>
      <c r="R118" s="39"/>
      <c r="T118" s="5">
        <v>46137</v>
      </c>
      <c r="U118" s="23">
        <f>IF([1]AIX!I119=0,"",[1]AIX!I119)</f>
        <v>17882.169999999998</v>
      </c>
      <c r="V118" s="22">
        <f t="shared" si="35"/>
        <v>17882.169999999998</v>
      </c>
      <c r="W118" s="23">
        <f>IF([2]AIX!I120=0,"",[2]AIX!I120)</f>
        <v>18667.97</v>
      </c>
      <c r="X118" s="17">
        <f t="shared" si="36"/>
        <v>0.13038915774125281</v>
      </c>
      <c r="AJ118" s="39"/>
      <c r="AL118" s="5">
        <v>46137</v>
      </c>
      <c r="AM118" s="23">
        <f>IF([1]AIX!J119=0,"",[1]AIX!J119)</f>
        <v>1153</v>
      </c>
      <c r="AN118" s="22">
        <f t="shared" si="37"/>
        <v>1153</v>
      </c>
      <c r="AO118" s="23">
        <f>IF([2]AIX!J120=0,"",[2]AIX!J120)</f>
        <v>1132</v>
      </c>
      <c r="AP118" s="17">
        <f t="shared" si="38"/>
        <v>0.11968348170128595</v>
      </c>
      <c r="BB118" s="39"/>
      <c r="BD118" s="5">
        <v>46137</v>
      </c>
      <c r="BE118" s="42">
        <f t="shared" si="41"/>
        <v>15.763547267996531</v>
      </c>
      <c r="BF118" s="22">
        <f t="shared" si="39"/>
        <v>15.763547267996531</v>
      </c>
      <c r="BG118" s="42">
        <f t="shared" si="42"/>
        <v>16.78287102473498</v>
      </c>
      <c r="BH118" s="17">
        <f t="shared" si="40"/>
        <v>1.2757903966938988E-2</v>
      </c>
      <c r="BT118" s="39"/>
    </row>
    <row r="119" spans="2:72">
      <c r="B119" s="5">
        <v>46138</v>
      </c>
      <c r="C119" s="23">
        <f>IF([1]AIX!H120=0,"",[1]AIX!H120)</f>
        <v>16753.740000000002</v>
      </c>
      <c r="D119" s="22">
        <f t="shared" si="33"/>
        <v>16753.740000000002</v>
      </c>
      <c r="E119" s="24">
        <f>IF([2]AIX!H121=0,"",[2]AIX!H121)</f>
        <v>19202.650000000001</v>
      </c>
      <c r="F119" s="17">
        <f t="shared" si="34"/>
        <v>9.6637556480462017E-2</v>
      </c>
      <c r="R119" s="39"/>
      <c r="T119" s="5">
        <v>46138</v>
      </c>
      <c r="U119" s="23">
        <f>IF([1]AIX!I120=0,"",[1]AIX!I120)</f>
        <v>16514.64</v>
      </c>
      <c r="V119" s="22">
        <f t="shared" si="35"/>
        <v>16514.64</v>
      </c>
      <c r="W119" s="24">
        <f>IF([2]AIX!I121=0,"",[2]AIX!I121)</f>
        <v>18904.810000000001</v>
      </c>
      <c r="X119" s="17">
        <f t="shared" si="36"/>
        <v>0.10053668075266864</v>
      </c>
      <c r="AJ119" s="39"/>
      <c r="AL119" s="5">
        <v>46138</v>
      </c>
      <c r="AM119" s="23">
        <f>IF([1]AIX!J120=0,"",[1]AIX!J120)</f>
        <v>1011</v>
      </c>
      <c r="AN119" s="22">
        <f t="shared" si="37"/>
        <v>1011</v>
      </c>
      <c r="AO119" s="24">
        <f>IF([2]AIX!J121=0,"",[2]AIX!J121)</f>
        <v>1032</v>
      </c>
      <c r="AP119" s="17">
        <f t="shared" si="38"/>
        <v>6.0637204522096644E-2</v>
      </c>
      <c r="BB119" s="39"/>
      <c r="BD119" s="5">
        <v>46138</v>
      </c>
      <c r="BE119" s="42">
        <f t="shared" si="41"/>
        <v>16.571454005934719</v>
      </c>
      <c r="BF119" s="22">
        <f t="shared" si="39"/>
        <v>16.571454005934719</v>
      </c>
      <c r="BG119" s="43">
        <f t="shared" si="42"/>
        <v>18.607218992248065</v>
      </c>
      <c r="BH119" s="17">
        <f t="shared" si="40"/>
        <v>3.3942192301831264E-2</v>
      </c>
      <c r="BT119" s="39"/>
    </row>
    <row r="120" spans="2:72">
      <c r="B120" s="5">
        <v>46139</v>
      </c>
      <c r="C120" s="24">
        <f>IF([1]AIX!H121=0,"",[1]AIX!H121)</f>
        <v>17510.48</v>
      </c>
      <c r="D120" s="22">
        <f t="shared" si="33"/>
        <v>17510.48</v>
      </c>
      <c r="E120" s="21">
        <f>IF([2]AIX!H122=0,"",[2]AIX!H122)</f>
        <v>9606.15</v>
      </c>
      <c r="F120" s="17">
        <f t="shared" si="34"/>
        <v>-0.27687403080351103</v>
      </c>
      <c r="R120" s="39"/>
      <c r="T120" s="5">
        <v>46139</v>
      </c>
      <c r="U120" s="24">
        <f>IF([1]AIX!I121=0,"",[1]AIX!I121)</f>
        <v>17177.810000000001</v>
      </c>
      <c r="V120" s="22">
        <f t="shared" si="35"/>
        <v>17177.810000000001</v>
      </c>
      <c r="W120" s="21">
        <f>IF([2]AIX!I122=0,"",[2]AIX!I122)</f>
        <v>9423.06</v>
      </c>
      <c r="X120" s="17">
        <f t="shared" si="36"/>
        <v>-0.28031600822708969</v>
      </c>
      <c r="AJ120" s="39"/>
      <c r="AL120" s="5">
        <v>46139</v>
      </c>
      <c r="AM120" s="24">
        <f>IF([1]AIX!J121=0,"",[1]AIX!J121)</f>
        <v>973</v>
      </c>
      <c r="AN120" s="22">
        <f t="shared" si="37"/>
        <v>973</v>
      </c>
      <c r="AO120" s="21">
        <f>IF([2]AIX!J122=0,"",[2]AIX!J122)</f>
        <v>594</v>
      </c>
      <c r="AP120" s="17">
        <f t="shared" si="38"/>
        <v>-0.28519855595667865</v>
      </c>
      <c r="BB120" s="39"/>
      <c r="BD120" s="5">
        <v>46139</v>
      </c>
      <c r="BE120" s="43">
        <f t="shared" si="41"/>
        <v>17.996382322713256</v>
      </c>
      <c r="BF120" s="22">
        <f t="shared" si="39"/>
        <v>17.996382322713256</v>
      </c>
      <c r="BG120" s="41">
        <f t="shared" si="42"/>
        <v>16.171969696969697</v>
      </c>
      <c r="BH120" s="17">
        <f t="shared" si="40"/>
        <v>1.1645926603168988E-2</v>
      </c>
      <c r="BT120" s="39"/>
    </row>
    <row r="121" spans="2:72">
      <c r="B121" s="5">
        <v>46140</v>
      </c>
      <c r="C121" s="21">
        <f>IF([1]AIX!H122=0,"",[1]AIX!H122)</f>
        <v>13284.2</v>
      </c>
      <c r="D121" s="22">
        <f t="shared" si="33"/>
        <v>13284.2</v>
      </c>
      <c r="E121" s="23">
        <f>IF([2]AIX!H123=0,"",[2]AIX!H123)</f>
        <v>10127.81</v>
      </c>
      <c r="F121" s="17">
        <f t="shared" si="34"/>
        <v>-0.34572292577420682</v>
      </c>
      <c r="R121" s="39"/>
      <c r="T121" s="5">
        <v>46140</v>
      </c>
      <c r="U121" s="21">
        <f>IF([1]AIX!I122=0,"",[1]AIX!I122)</f>
        <v>13093.33</v>
      </c>
      <c r="V121" s="22">
        <f t="shared" si="35"/>
        <v>13093.33</v>
      </c>
      <c r="W121" s="23">
        <f>IF([2]AIX!I123=0,"",[2]AIX!I123)</f>
        <v>9816.36</v>
      </c>
      <c r="X121" s="17">
        <f t="shared" si="36"/>
        <v>-0.35609399003740239</v>
      </c>
      <c r="AJ121" s="39"/>
      <c r="AL121" s="5">
        <v>46140</v>
      </c>
      <c r="AM121" s="21">
        <f>IF([1]AIX!J122=0,"",[1]AIX!J122)</f>
        <v>831</v>
      </c>
      <c r="AN121" s="22">
        <f t="shared" si="37"/>
        <v>831</v>
      </c>
      <c r="AO121" s="23">
        <f>IF([2]AIX!J123=0,"",[2]AIX!J123)</f>
        <v>552</v>
      </c>
      <c r="AP121" s="17">
        <f t="shared" si="38"/>
        <v>-0.42198952879581153</v>
      </c>
      <c r="BB121" s="39"/>
      <c r="BD121" s="5">
        <v>46140</v>
      </c>
      <c r="BE121" s="41">
        <f t="shared" si="41"/>
        <v>15.985800240673887</v>
      </c>
      <c r="BF121" s="22">
        <f t="shared" si="39"/>
        <v>15.985800240673887</v>
      </c>
      <c r="BG121" s="42">
        <f t="shared" si="42"/>
        <v>18.34748188405797</v>
      </c>
      <c r="BH121" s="17">
        <f t="shared" si="40"/>
        <v>0.1319467497928124</v>
      </c>
      <c r="BT121" s="39"/>
    </row>
    <row r="122" spans="2:72">
      <c r="B122" s="5">
        <v>46141</v>
      </c>
      <c r="C122" s="23">
        <f>IF([1]AIX!H123=0,"",[1]AIX!H123)</f>
        <v>15479.39</v>
      </c>
      <c r="D122" s="22">
        <f t="shared" si="33"/>
        <v>15479.39</v>
      </c>
      <c r="E122" s="23">
        <f>IF([2]AIX!H124=0,"",[2]AIX!H124)</f>
        <v>13902.72</v>
      </c>
      <c r="F122" s="17">
        <f t="shared" si="34"/>
        <v>-0.29918847788817737</v>
      </c>
      <c r="R122" s="39"/>
      <c r="T122" s="5">
        <v>46141</v>
      </c>
      <c r="U122" s="23">
        <f>IF([1]AIX!I123=0,"",[1]AIX!I123)</f>
        <v>15245.02</v>
      </c>
      <c r="V122" s="22">
        <f t="shared" si="35"/>
        <v>15245.02</v>
      </c>
      <c r="W122" s="23">
        <f>IF([2]AIX!I124=0,"",[2]AIX!I124)</f>
        <v>13584.96</v>
      </c>
      <c r="X122" s="17">
        <f t="shared" si="36"/>
        <v>-0.30447746828029054</v>
      </c>
      <c r="AJ122" s="39"/>
      <c r="AL122" s="5">
        <v>46141</v>
      </c>
      <c r="AM122" s="23">
        <f>IF([1]AIX!J123=0,"",[1]AIX!J123)</f>
        <v>955</v>
      </c>
      <c r="AN122" s="22">
        <f t="shared" si="37"/>
        <v>955</v>
      </c>
      <c r="AO122" s="23">
        <f>IF([2]AIX!J124=0,"",[2]AIX!J124)</f>
        <v>786</v>
      </c>
      <c r="AP122" s="17">
        <f t="shared" si="38"/>
        <v>-0.34554537885095749</v>
      </c>
      <c r="BB122" s="39"/>
      <c r="BD122" s="5">
        <v>46141</v>
      </c>
      <c r="BE122" s="42">
        <f t="shared" si="41"/>
        <v>16.208785340314137</v>
      </c>
      <c r="BF122" s="22">
        <f t="shared" si="39"/>
        <v>16.208785340314137</v>
      </c>
      <c r="BG122" s="42">
        <f t="shared" si="42"/>
        <v>17.687938931297708</v>
      </c>
      <c r="BH122" s="17">
        <f t="shared" si="40"/>
        <v>7.083287284516393E-2</v>
      </c>
      <c r="BT122" s="39"/>
    </row>
    <row r="123" spans="2:72">
      <c r="B123" s="5">
        <v>46142</v>
      </c>
      <c r="C123" s="23">
        <f>IF([1]AIX!H124=0,"",[1]AIX!H124)</f>
        <v>19838.03</v>
      </c>
      <c r="D123" s="22">
        <f t="shared" si="33"/>
        <v>19838.03</v>
      </c>
      <c r="E123" s="23">
        <f>IF([2]AIX!H125=0,"",[2]AIX!H125)</f>
        <v>15344.66</v>
      </c>
      <c r="F123" s="17">
        <f t="shared" si="34"/>
        <v>-0.45112802932532858</v>
      </c>
      <c r="R123" s="39"/>
      <c r="T123" s="5">
        <v>46142</v>
      </c>
      <c r="U123" s="23">
        <f>IF([1]AIX!I124=0,"",[1]AIX!I124)</f>
        <v>19532.02</v>
      </c>
      <c r="V123" s="22">
        <f t="shared" si="35"/>
        <v>19532.02</v>
      </c>
      <c r="W123" s="23">
        <f>IF([2]AIX!I125=0,"",[2]AIX!I125)</f>
        <v>15062.95</v>
      </c>
      <c r="X123" s="17">
        <f t="shared" si="36"/>
        <v>-0.45335283845203578</v>
      </c>
      <c r="AJ123" s="39"/>
      <c r="AL123" s="5">
        <v>46142</v>
      </c>
      <c r="AM123" s="23">
        <f>IF([1]AIX!J124=0,"",[1]AIX!J124)</f>
        <v>1201</v>
      </c>
      <c r="AN123" s="22">
        <f t="shared" si="37"/>
        <v>1201</v>
      </c>
      <c r="AO123" s="23">
        <f>IF([2]AIX!J125=0,"",[2]AIX!J125)</f>
        <v>927</v>
      </c>
      <c r="AP123" s="17">
        <f t="shared" si="38"/>
        <v>-0.42242990654205603</v>
      </c>
      <c r="BB123" s="39"/>
      <c r="BD123" s="5">
        <v>46142</v>
      </c>
      <c r="BE123" s="42">
        <f t="shared" si="41"/>
        <v>16.517926727726895</v>
      </c>
      <c r="BF123" s="22">
        <f t="shared" si="39"/>
        <v>16.517926727726895</v>
      </c>
      <c r="BG123" s="42">
        <f t="shared" si="42"/>
        <v>16.553031283710894</v>
      </c>
      <c r="BH123" s="17">
        <f t="shared" si="40"/>
        <v>-4.9687688314080436E-2</v>
      </c>
      <c r="BT123" s="39"/>
    </row>
    <row r="124" spans="2:72">
      <c r="B124" s="5">
        <v>46143</v>
      </c>
      <c r="C124" s="23">
        <f>IF([1]AIX!H125=0,"",[1]AIX!H125)</f>
        <v>27956.720000000001</v>
      </c>
      <c r="D124" s="22">
        <f t="shared" si="33"/>
        <v>27956.720000000001</v>
      </c>
      <c r="E124" s="23">
        <f>IF([2]AIX!H126=0,"",[2]AIX!H126)</f>
        <v>27041.98</v>
      </c>
      <c r="F124" s="17">
        <f t="shared" si="34"/>
        <v>0.35928554266406509</v>
      </c>
      <c r="R124" s="39"/>
      <c r="T124" s="5">
        <v>46143</v>
      </c>
      <c r="U124" s="23">
        <f>IF([1]AIX!I125=0,"",[1]AIX!I125)</f>
        <v>27555.16</v>
      </c>
      <c r="V124" s="22">
        <f t="shared" si="35"/>
        <v>27555.16</v>
      </c>
      <c r="W124" s="23">
        <f>IF([2]AIX!I126=0,"",[2]AIX!I126)</f>
        <v>26489.91</v>
      </c>
      <c r="X124" s="17">
        <f t="shared" si="36"/>
        <v>0.35483222578363427</v>
      </c>
      <c r="AJ124" s="39"/>
      <c r="AL124" s="5">
        <v>46143</v>
      </c>
      <c r="AM124" s="23">
        <f>IF([1]AIX!J125=0,"",[1]AIX!J125)</f>
        <v>1605</v>
      </c>
      <c r="AN124" s="22">
        <f t="shared" si="37"/>
        <v>1605</v>
      </c>
      <c r="AO124" s="23">
        <f>IF([2]AIX!J126=0,"",[2]AIX!J126)</f>
        <v>1550</v>
      </c>
      <c r="AP124" s="17">
        <f t="shared" si="38"/>
        <v>0.31133671742808788</v>
      </c>
      <c r="BB124" s="39"/>
      <c r="BD124" s="5">
        <v>46143</v>
      </c>
      <c r="BE124" s="42">
        <f t="shared" si="41"/>
        <v>17.418517133956389</v>
      </c>
      <c r="BF124" s="22">
        <f t="shared" si="39"/>
        <v>17.418517133956389</v>
      </c>
      <c r="BG124" s="42">
        <f t="shared" si="42"/>
        <v>17.44643870967742</v>
      </c>
      <c r="BH124" s="17">
        <f t="shared" si="40"/>
        <v>3.6564846083177338E-2</v>
      </c>
      <c r="BT124" s="39"/>
    </row>
    <row r="125" spans="2:72">
      <c r="B125" s="5">
        <v>46144</v>
      </c>
      <c r="C125" s="23">
        <f>IF([1]AIX!H126=0,"",[1]AIX!H126)</f>
        <v>19894.259999999998</v>
      </c>
      <c r="D125" s="22">
        <f t="shared" si="33"/>
        <v>19894.259999999998</v>
      </c>
      <c r="E125" s="23">
        <f>IF([2]AIX!H127=0,"",[2]AIX!H127)</f>
        <v>17729.54</v>
      </c>
      <c r="F125" s="17">
        <f t="shared" si="34"/>
        <v>3.6563930268695977E-3</v>
      </c>
      <c r="R125" s="39"/>
      <c r="T125" s="5">
        <v>46144</v>
      </c>
      <c r="U125" s="23">
        <f>IF([1]AIX!I126=0,"",[1]AIX!I126)</f>
        <v>19552.169999999998</v>
      </c>
      <c r="V125" s="22">
        <f t="shared" si="35"/>
        <v>19552.169999999998</v>
      </c>
      <c r="W125" s="23">
        <f>IF([2]AIX!I127=0,"",[2]AIX!I127)</f>
        <v>17377.77</v>
      </c>
      <c r="X125" s="17">
        <f t="shared" si="36"/>
        <v>-3.82356127758543E-3</v>
      </c>
      <c r="AJ125" s="39"/>
      <c r="AL125" s="5">
        <v>46144</v>
      </c>
      <c r="AM125" s="23">
        <f>IF([1]AIX!J126=0,"",[1]AIX!J126)</f>
        <v>1182</v>
      </c>
      <c r="AN125" s="22">
        <f t="shared" si="37"/>
        <v>1182</v>
      </c>
      <c r="AO125" s="23">
        <f>IF([2]AIX!J127=0,"",[2]AIX!J127)</f>
        <v>1046</v>
      </c>
      <c r="AP125" s="17">
        <f t="shared" si="38"/>
        <v>1.3565891472868241E-2</v>
      </c>
      <c r="BB125" s="39"/>
      <c r="BD125" s="5">
        <v>46144</v>
      </c>
      <c r="BE125" s="42">
        <f t="shared" si="41"/>
        <v>16.831015228426395</v>
      </c>
      <c r="BF125" s="22">
        <f t="shared" si="39"/>
        <v>16.831015228426395</v>
      </c>
      <c r="BG125" s="42">
        <f t="shared" si="42"/>
        <v>16.949847036328872</v>
      </c>
      <c r="BH125" s="17">
        <f t="shared" si="40"/>
        <v>-9.7768665356315898E-3</v>
      </c>
      <c r="BT125" s="39"/>
    </row>
    <row r="126" spans="2:72">
      <c r="B126" s="5">
        <v>46145</v>
      </c>
      <c r="C126" s="23">
        <f>IF([1]AIX!H127=0,"",[1]AIX!H127)</f>
        <v>17664.95</v>
      </c>
      <c r="D126" s="22">
        <f t="shared" si="33"/>
        <v>17664.95</v>
      </c>
      <c r="E126" s="24">
        <f>IF([2]AIX!H128=0,"",[2]AIX!H128)</f>
        <v>17969.21</v>
      </c>
      <c r="F126" s="17">
        <f t="shared" si="34"/>
        <v>7.384005832576368E-2</v>
      </c>
      <c r="R126" s="39"/>
      <c r="T126" s="5">
        <v>46145</v>
      </c>
      <c r="U126" s="23">
        <f>IF([1]AIX!I127=0,"",[1]AIX!I127)</f>
        <v>17444.47</v>
      </c>
      <c r="V126" s="22">
        <f t="shared" si="35"/>
        <v>17444.47</v>
      </c>
      <c r="W126" s="24">
        <f>IF([2]AIX!I128=0,"",[2]AIX!I128)</f>
        <v>17544.05</v>
      </c>
      <c r="X126" s="17">
        <f t="shared" si="36"/>
        <v>6.8470466717580836E-2</v>
      </c>
      <c r="AJ126" s="39"/>
      <c r="AL126" s="5">
        <v>46145</v>
      </c>
      <c r="AM126" s="23">
        <f>IF([1]AIX!J127=0,"",[1]AIX!J127)</f>
        <v>1032</v>
      </c>
      <c r="AN126" s="22">
        <f t="shared" si="37"/>
        <v>1032</v>
      </c>
      <c r="AO126" s="24">
        <f>IF([2]AIX!J128=0,"",[2]AIX!J128)</f>
        <v>901</v>
      </c>
      <c r="AP126" s="17">
        <f t="shared" si="38"/>
        <v>6.1248527679623077E-2</v>
      </c>
      <c r="BB126" s="39"/>
      <c r="BD126" s="5">
        <v>46145</v>
      </c>
      <c r="BE126" s="42">
        <f t="shared" si="41"/>
        <v>17.117199612403102</v>
      </c>
      <c r="BF126" s="22">
        <f t="shared" si="39"/>
        <v>17.117199612403102</v>
      </c>
      <c r="BG126" s="43">
        <f t="shared" si="42"/>
        <v>19.943629300776912</v>
      </c>
      <c r="BH126" s="17">
        <f t="shared" si="40"/>
        <v>1.1864827434598713E-2</v>
      </c>
      <c r="BT126" s="39"/>
    </row>
    <row r="127" spans="2:72">
      <c r="B127" s="5">
        <v>46146</v>
      </c>
      <c r="C127" s="24">
        <f>IF([1]AIX!H128=0,"",[1]AIX!H128)</f>
        <v>16733.599999999999</v>
      </c>
      <c r="D127" s="22">
        <f t="shared" si="33"/>
        <v>16733.599999999999</v>
      </c>
      <c r="E127" s="21">
        <f>IF([2]AIX!H129=0,"",[2]AIX!H129)</f>
        <v>8688.85</v>
      </c>
      <c r="F127" s="17">
        <f t="shared" si="34"/>
        <v>-0.10455336651081015</v>
      </c>
      <c r="R127" s="39"/>
      <c r="T127" s="5">
        <v>46146</v>
      </c>
      <c r="U127" s="24">
        <f>IF([1]AIX!I128=0,"",[1]AIX!I128)</f>
        <v>16419.78</v>
      </c>
      <c r="V127" s="22">
        <f t="shared" si="35"/>
        <v>16419.78</v>
      </c>
      <c r="W127" s="21">
        <f>IF([2]AIX!I129=0,"",[2]AIX!I129)</f>
        <v>8492.15</v>
      </c>
      <c r="X127" s="17">
        <f t="shared" si="36"/>
        <v>-0.11205088364642446</v>
      </c>
      <c r="AJ127" s="39"/>
      <c r="AL127" s="5">
        <v>46146</v>
      </c>
      <c r="AM127" s="24">
        <f>IF([1]AIX!J128=0,"",[1]AIX!J128)</f>
        <v>849</v>
      </c>
      <c r="AN127" s="22">
        <f t="shared" si="37"/>
        <v>849</v>
      </c>
      <c r="AO127" s="21">
        <f>IF([2]AIX!J129=0,"",[2]AIX!J129)</f>
        <v>456</v>
      </c>
      <c r="AP127" s="17">
        <f t="shared" si="38"/>
        <v>-0.19718309859154926</v>
      </c>
      <c r="BB127" s="39"/>
      <c r="BD127" s="5">
        <v>46146</v>
      </c>
      <c r="BE127" s="43">
        <f t="shared" si="41"/>
        <v>19.709776207302706</v>
      </c>
      <c r="BF127" s="22">
        <f t="shared" si="39"/>
        <v>19.709776207302706</v>
      </c>
      <c r="BG127" s="41">
        <f t="shared" si="42"/>
        <v>19.054495614035087</v>
      </c>
      <c r="BH127" s="17">
        <f t="shared" si="40"/>
        <v>0.11538089434618382</v>
      </c>
      <c r="BT127" s="39"/>
    </row>
    <row r="128" spans="2:72">
      <c r="B128" s="5">
        <v>46147</v>
      </c>
      <c r="C128" s="21">
        <f>IF([1]AIX!H129=0,"",[1]AIX!H129)</f>
        <v>9703.3700000000008</v>
      </c>
      <c r="D128" s="22">
        <f t="shared" si="33"/>
        <v>9703.3700000000008</v>
      </c>
      <c r="E128" s="23">
        <f>IF([2]AIX!H130=0,"",[2]AIX!H130)</f>
        <v>11370.99</v>
      </c>
      <c r="F128" s="17">
        <f t="shared" si="34"/>
        <v>2.7186565268919605E-3</v>
      </c>
      <c r="R128" s="39"/>
      <c r="T128" s="5">
        <v>46147</v>
      </c>
      <c r="U128" s="21">
        <f>IF([1]AIX!I129=0,"",[1]AIX!I129)</f>
        <v>9563.7800000000007</v>
      </c>
      <c r="V128" s="22">
        <f t="shared" si="35"/>
        <v>9563.7800000000007</v>
      </c>
      <c r="W128" s="23">
        <f>IF([2]AIX!I130=0,"",[2]AIX!I130)</f>
        <v>10938.76</v>
      </c>
      <c r="X128" s="17">
        <f t="shared" si="36"/>
        <v>-2.0380017427391039E-2</v>
      </c>
      <c r="AJ128" s="39"/>
      <c r="AL128" s="5">
        <v>46147</v>
      </c>
      <c r="AM128" s="21">
        <f>IF([1]AIX!J129=0,"",[1]AIX!J129)</f>
        <v>568</v>
      </c>
      <c r="AN128" s="22">
        <f t="shared" si="37"/>
        <v>568</v>
      </c>
      <c r="AO128" s="23">
        <f>IF([2]AIX!J130=0,"",[2]AIX!J130)</f>
        <v>616</v>
      </c>
      <c r="AP128" s="17">
        <f t="shared" si="38"/>
        <v>-0.10072992700729932</v>
      </c>
      <c r="BB128" s="39"/>
      <c r="BD128" s="5">
        <v>46147</v>
      </c>
      <c r="BE128" s="41">
        <f t="shared" si="41"/>
        <v>17.083397887323944</v>
      </c>
      <c r="BF128" s="22">
        <f t="shared" si="39"/>
        <v>17.083397887323944</v>
      </c>
      <c r="BG128" s="42">
        <f t="shared" si="42"/>
        <v>18.459399350649349</v>
      </c>
      <c r="BH128" s="17">
        <f t="shared" si="40"/>
        <v>0.11503616837811848</v>
      </c>
      <c r="BT128" s="39"/>
    </row>
    <row r="129" spans="2:72">
      <c r="B129" s="5">
        <v>46148</v>
      </c>
      <c r="C129" s="23">
        <f>IF([1]AIX!H130=0,"",[1]AIX!H130)</f>
        <v>11340.16</v>
      </c>
      <c r="D129" s="22">
        <f t="shared" si="33"/>
        <v>11340.16</v>
      </c>
      <c r="E129" s="23">
        <f>IF([2]AIX!H131=0,"",[2]AIX!H131)</f>
        <v>12272.4</v>
      </c>
      <c r="F129" s="17">
        <f t="shared" si="34"/>
        <v>-5.3616375481196354E-2</v>
      </c>
      <c r="R129" s="39"/>
      <c r="T129" s="5">
        <v>46148</v>
      </c>
      <c r="U129" s="23">
        <f>IF([1]AIX!I130=0,"",[1]AIX!I130)</f>
        <v>11166.33</v>
      </c>
      <c r="V129" s="22">
        <f t="shared" si="35"/>
        <v>11166.33</v>
      </c>
      <c r="W129" s="23">
        <f>IF([2]AIX!I131=0,"",[2]AIX!I131)</f>
        <v>11945.03</v>
      </c>
      <c r="X129" s="17">
        <f t="shared" si="36"/>
        <v>-6.2858537105844436E-2</v>
      </c>
      <c r="AJ129" s="39"/>
      <c r="AL129" s="5">
        <v>46148</v>
      </c>
      <c r="AM129" s="23">
        <f>IF([1]AIX!J130=0,"",[1]AIX!J130)</f>
        <v>685</v>
      </c>
      <c r="AN129" s="22">
        <f t="shared" si="37"/>
        <v>685</v>
      </c>
      <c r="AO129" s="23">
        <f>IF([2]AIX!J131=0,"",[2]AIX!J131)</f>
        <v>737</v>
      </c>
      <c r="AP129" s="17">
        <f t="shared" si="38"/>
        <v>-6.3532401524777682E-2</v>
      </c>
      <c r="BB129" s="39"/>
      <c r="BD129" s="5">
        <v>46148</v>
      </c>
      <c r="BE129" s="42">
        <f t="shared" si="41"/>
        <v>16.554978102189782</v>
      </c>
      <c r="BF129" s="22">
        <f t="shared" si="39"/>
        <v>16.554978102189782</v>
      </c>
      <c r="BG129" s="42">
        <f t="shared" si="42"/>
        <v>16.651831750339213</v>
      </c>
      <c r="BH129" s="17">
        <f t="shared" si="40"/>
        <v>1.0588755083172918E-2</v>
      </c>
      <c r="BT129" s="39"/>
    </row>
    <row r="130" spans="2:72">
      <c r="B130" s="5">
        <v>46149</v>
      </c>
      <c r="C130" s="23">
        <f>IF([1]AIX!H131=0,"",[1]AIX!H131)</f>
        <v>12967.68</v>
      </c>
      <c r="D130" s="22">
        <f t="shared" si="33"/>
        <v>12967.68</v>
      </c>
      <c r="E130" s="23">
        <f>IF([2]AIX!H132=0,"",[2]AIX!H132)</f>
        <v>15414.94</v>
      </c>
      <c r="F130" s="17">
        <f t="shared" si="34"/>
        <v>-0.14979355594507027</v>
      </c>
      <c r="R130" s="39"/>
      <c r="T130" s="5">
        <v>46149</v>
      </c>
      <c r="U130" s="23">
        <f>IF([1]AIX!I131=0,"",[1]AIX!I131)</f>
        <v>12746.24</v>
      </c>
      <c r="V130" s="22">
        <f t="shared" si="35"/>
        <v>12746.24</v>
      </c>
      <c r="W130" s="23">
        <f>IF([2]AIX!I132=0,"",[2]AIX!I132)</f>
        <v>15093.09</v>
      </c>
      <c r="X130" s="17">
        <f t="shared" si="36"/>
        <v>-0.15242595774790257</v>
      </c>
      <c r="AJ130" s="39"/>
      <c r="AL130" s="5">
        <v>46149</v>
      </c>
      <c r="AM130" s="23">
        <f>IF([1]AIX!J131=0,"",[1]AIX!J131)</f>
        <v>787</v>
      </c>
      <c r="AN130" s="22">
        <f t="shared" si="37"/>
        <v>787</v>
      </c>
      <c r="AO130" s="23">
        <f>IF([2]AIX!J132=0,"",[2]AIX!J132)</f>
        <v>984</v>
      </c>
      <c r="AP130" s="17">
        <f t="shared" si="38"/>
        <v>-0.11191335740072206</v>
      </c>
      <c r="BB130" s="39"/>
      <c r="BD130" s="5">
        <v>46149</v>
      </c>
      <c r="BE130" s="42">
        <f t="shared" si="41"/>
        <v>16.477357052096568</v>
      </c>
      <c r="BF130" s="22">
        <f t="shared" si="39"/>
        <v>16.477357052096568</v>
      </c>
      <c r="BG130" s="42">
        <f t="shared" si="42"/>
        <v>15.665589430894309</v>
      </c>
      <c r="BH130" s="17">
        <f t="shared" si="40"/>
        <v>-4.2653719499123777E-2</v>
      </c>
      <c r="BT130" s="39"/>
    </row>
    <row r="131" spans="2:72">
      <c r="B131" s="5">
        <v>46150</v>
      </c>
      <c r="C131" s="23">
        <f>IF([1]AIX!H132=0,"",[1]AIX!H132)</f>
        <v>18130.82</v>
      </c>
      <c r="D131" s="22">
        <f t="shared" si="33"/>
        <v>18130.82</v>
      </c>
      <c r="E131" s="23">
        <f>IF([2]AIX!H133=0,"",[2]AIX!H133)</f>
        <v>18914.37</v>
      </c>
      <c r="F131" s="17">
        <f t="shared" si="34"/>
        <v>0.21453288530356618</v>
      </c>
      <c r="R131" s="39"/>
      <c r="T131" s="5">
        <v>46150</v>
      </c>
      <c r="U131" s="23">
        <f>IF([1]AIX!I132=0,"",[1]AIX!I132)</f>
        <v>17807.400000000001</v>
      </c>
      <c r="V131" s="22">
        <f t="shared" si="35"/>
        <v>17807.400000000001</v>
      </c>
      <c r="W131" s="23">
        <f>IF([2]AIX!I133=0,"",[2]AIX!I133)</f>
        <v>18518.89</v>
      </c>
      <c r="X131" s="17">
        <f t="shared" si="36"/>
        <v>0.20614768379060489</v>
      </c>
      <c r="AJ131" s="39"/>
      <c r="AL131" s="5">
        <v>46150</v>
      </c>
      <c r="AM131" s="23">
        <f>IF([1]AIX!J132=0,"",[1]AIX!J132)</f>
        <v>1108</v>
      </c>
      <c r="AN131" s="22">
        <f t="shared" si="37"/>
        <v>1108</v>
      </c>
      <c r="AO131" s="23">
        <f>IF([2]AIX!J133=0,"",[2]AIX!J133)</f>
        <v>1104</v>
      </c>
      <c r="AP131" s="17">
        <f t="shared" si="38"/>
        <v>0.16701902748414366</v>
      </c>
      <c r="BB131" s="39"/>
      <c r="BD131" s="5">
        <v>46150</v>
      </c>
      <c r="BE131" s="42">
        <f t="shared" si="41"/>
        <v>16.363555956678699</v>
      </c>
      <c r="BF131" s="22">
        <f t="shared" si="39"/>
        <v>16.363555956678699</v>
      </c>
      <c r="BG131" s="42">
        <f t="shared" si="42"/>
        <v>17.13258152173913</v>
      </c>
      <c r="BH131" s="17">
        <f t="shared" si="40"/>
        <v>4.0713867298164619E-2</v>
      </c>
      <c r="BT131" s="39"/>
    </row>
    <row r="132" spans="2:72">
      <c r="B132" s="5">
        <v>46151</v>
      </c>
      <c r="C132" s="23">
        <f>IF([1]AIX!H133=0,"",[1]AIX!H133)</f>
        <v>15573.37</v>
      </c>
      <c r="D132" s="22">
        <f t="shared" ref="D132:D167" si="43">IF(E131="","",C132)</f>
        <v>15573.37</v>
      </c>
      <c r="E132" s="23">
        <f>IF([2]AIX!H134=0,"",[2]AIX!H134)</f>
        <v>16521.22</v>
      </c>
      <c r="F132" s="17">
        <f t="shared" ref="F132:F195" si="44">IF(E132="","",(E132/C133)-1)</f>
        <v>-5.6083469882601822E-2</v>
      </c>
      <c r="R132" s="39"/>
      <c r="T132" s="5">
        <v>46151</v>
      </c>
      <c r="U132" s="23">
        <f>IF([1]AIX!I133=0,"",[1]AIX!I133)</f>
        <v>15353.75</v>
      </c>
      <c r="V132" s="22">
        <f t="shared" ref="V132:V167" si="45">IF(W131="","",U132)</f>
        <v>15353.75</v>
      </c>
      <c r="W132" s="23">
        <f>IF([2]AIX!I134=0,"",[2]AIX!I134)</f>
        <v>16225.97</v>
      </c>
      <c r="X132" s="17">
        <f t="shared" ref="X132:X195" si="46">IF(W132="","",(W132/U133)-1)</f>
        <v>-5.951889659905274E-2</v>
      </c>
      <c r="AJ132" s="39"/>
      <c r="AL132" s="5">
        <v>46151</v>
      </c>
      <c r="AM132" s="23">
        <f>IF([1]AIX!J133=0,"",[1]AIX!J133)</f>
        <v>946</v>
      </c>
      <c r="AN132" s="22">
        <f t="shared" ref="AN132:AN167" si="47">IF(AO131="","",AM132)</f>
        <v>946</v>
      </c>
      <c r="AO132" s="23">
        <f>IF([2]AIX!J134=0,"",[2]AIX!J134)</f>
        <v>1021</v>
      </c>
      <c r="AP132" s="17">
        <f t="shared" ref="AP132:AP195" si="48">IF(AO132="","",(AO132/AM133)-1)</f>
        <v>-0.12360515021459229</v>
      </c>
      <c r="BB132" s="39"/>
      <c r="BD132" s="5">
        <v>46151</v>
      </c>
      <c r="BE132" s="42">
        <f t="shared" si="41"/>
        <v>16.462336152219873</v>
      </c>
      <c r="BF132" s="22">
        <f t="shared" ref="BF132:BF167" si="49">IF(BG131="","",BE132)</f>
        <v>16.462336152219873</v>
      </c>
      <c r="BG132" s="42">
        <f t="shared" si="42"/>
        <v>16.181410381978452</v>
      </c>
      <c r="BH132" s="17">
        <f t="shared" ref="BH132:BH195" si="50">IF(BG132="","",(BG132/BE133)-1)</f>
        <v>7.7044816441497188E-2</v>
      </c>
      <c r="BT132" s="39"/>
    </row>
    <row r="133" spans="2:72">
      <c r="B133" s="5">
        <v>46152</v>
      </c>
      <c r="C133" s="23">
        <f>IF([1]AIX!H134=0,"",[1]AIX!H134)</f>
        <v>17502.84</v>
      </c>
      <c r="D133" s="22">
        <f t="shared" si="43"/>
        <v>17502.84</v>
      </c>
      <c r="E133" s="24">
        <f>IF([2]AIX!H135=0,"",[2]AIX!H135)</f>
        <v>17461.54</v>
      </c>
      <c r="F133" s="17">
        <f t="shared" si="44"/>
        <v>-7.6395849543025474E-2</v>
      </c>
      <c r="R133" s="39"/>
      <c r="T133" s="5">
        <v>46152</v>
      </c>
      <c r="U133" s="23">
        <f>IF([1]AIX!I134=0,"",[1]AIX!I134)</f>
        <v>17252.84</v>
      </c>
      <c r="V133" s="22">
        <f t="shared" si="45"/>
        <v>17252.84</v>
      </c>
      <c r="W133" s="24">
        <f>IF([2]AIX!I135=0,"",[2]AIX!I135)</f>
        <v>17026.2</v>
      </c>
      <c r="X133" s="17">
        <f t="shared" si="46"/>
        <v>-8.7350361469549109E-2</v>
      </c>
      <c r="AJ133" s="39"/>
      <c r="AL133" s="5">
        <v>46152</v>
      </c>
      <c r="AM133" s="23">
        <f>IF([1]AIX!J134=0,"",[1]AIX!J134)</f>
        <v>1165</v>
      </c>
      <c r="AN133" s="22">
        <f t="shared" si="47"/>
        <v>1165</v>
      </c>
      <c r="AO133" s="24">
        <f>IF([2]AIX!J135=0,"",[2]AIX!J135)</f>
        <v>882</v>
      </c>
      <c r="AP133" s="17">
        <f t="shared" si="48"/>
        <v>-0.14368932038834947</v>
      </c>
      <c r="BB133" s="39"/>
      <c r="BD133" s="5">
        <v>46152</v>
      </c>
      <c r="BE133" s="42">
        <f t="shared" ref="BE133:BE196" si="51">IFERROR(C133/AM133,"")</f>
        <v>15.023896995708155</v>
      </c>
      <c r="BF133" s="22">
        <f t="shared" si="49"/>
        <v>15.023896995708155</v>
      </c>
      <c r="BG133" s="43">
        <f t="shared" ref="BG133:BG196" si="52">IFERROR(E133/AO133,"")</f>
        <v>19.797664399092973</v>
      </c>
      <c r="BH133" s="17">
        <f t="shared" si="50"/>
        <v>7.8585345771750248E-2</v>
      </c>
      <c r="BT133" s="39"/>
    </row>
    <row r="134" spans="2:72">
      <c r="B134" s="5">
        <v>46153</v>
      </c>
      <c r="C134" s="24">
        <f>IF([1]AIX!H135=0,"",[1]AIX!H135)</f>
        <v>18905.87</v>
      </c>
      <c r="D134" s="22">
        <f t="shared" si="43"/>
        <v>18905.87</v>
      </c>
      <c r="E134" s="21">
        <f>IF([2]AIX!H136=0,"",[2]AIX!H136)</f>
        <v>9063.11</v>
      </c>
      <c r="F134" s="17">
        <f t="shared" si="44"/>
        <v>2.3519314274098369E-2</v>
      </c>
      <c r="R134" s="39"/>
      <c r="T134" s="5">
        <v>46153</v>
      </c>
      <c r="U134" s="24">
        <f>IF([1]AIX!I135=0,"",[1]AIX!I135)</f>
        <v>18655.79</v>
      </c>
      <c r="V134" s="22">
        <f t="shared" si="45"/>
        <v>18655.79</v>
      </c>
      <c r="W134" s="21">
        <f>IF([2]AIX!I136=0,"",[2]AIX!I136)</f>
        <v>8883.98</v>
      </c>
      <c r="X134" s="17">
        <f t="shared" si="46"/>
        <v>1.4656821595198544E-2</v>
      </c>
      <c r="AJ134" s="39"/>
      <c r="AL134" s="5">
        <v>46153</v>
      </c>
      <c r="AM134" s="24">
        <f>IF([1]AIX!J135=0,"",[1]AIX!J135)</f>
        <v>1030</v>
      </c>
      <c r="AN134" s="22">
        <f t="shared" si="47"/>
        <v>1030</v>
      </c>
      <c r="AO134" s="21">
        <f>IF([2]AIX!J136=0,"",[2]AIX!J136)</f>
        <v>500</v>
      </c>
      <c r="AP134" s="17">
        <f t="shared" si="48"/>
        <v>-0.12126537785588754</v>
      </c>
      <c r="BB134" s="39"/>
      <c r="BD134" s="5">
        <v>46153</v>
      </c>
      <c r="BE134" s="43">
        <f t="shared" si="51"/>
        <v>18.35521359223301</v>
      </c>
      <c r="BF134" s="22">
        <f t="shared" si="49"/>
        <v>18.35521359223301</v>
      </c>
      <c r="BG134" s="41">
        <f t="shared" si="52"/>
        <v>18.12622</v>
      </c>
      <c r="BH134" s="17">
        <f t="shared" si="50"/>
        <v>0.16476497964392389</v>
      </c>
      <c r="BT134" s="39"/>
    </row>
    <row r="135" spans="2:72">
      <c r="B135" s="5">
        <v>46154</v>
      </c>
      <c r="C135" s="21">
        <f>IF([1]AIX!H136=0,"",[1]AIX!H136)</f>
        <v>8854.85</v>
      </c>
      <c r="D135" s="22">
        <f t="shared" si="43"/>
        <v>8854.85</v>
      </c>
      <c r="E135" s="23">
        <f>IF([2]AIX!H137=0,"",[2]AIX!H137)</f>
        <v>10799.43</v>
      </c>
      <c r="F135" s="17">
        <f t="shared" si="44"/>
        <v>5.1245061077641596E-2</v>
      </c>
      <c r="R135" s="39"/>
      <c r="T135" s="5">
        <v>46154</v>
      </c>
      <c r="U135" s="21">
        <f>IF([1]AIX!I136=0,"",[1]AIX!I136)</f>
        <v>8755.65</v>
      </c>
      <c r="V135" s="22">
        <f t="shared" si="45"/>
        <v>8755.65</v>
      </c>
      <c r="W135" s="23">
        <f>IF([2]AIX!I137=0,"",[2]AIX!I137)</f>
        <v>10598.8</v>
      </c>
      <c r="X135" s="17">
        <f t="shared" si="46"/>
        <v>4.18323384018644E-2</v>
      </c>
      <c r="AJ135" s="39"/>
      <c r="AL135" s="5">
        <v>46154</v>
      </c>
      <c r="AM135" s="21">
        <f>IF([1]AIX!J136=0,"",[1]AIX!J136)</f>
        <v>569</v>
      </c>
      <c r="AN135" s="22">
        <f t="shared" si="47"/>
        <v>569</v>
      </c>
      <c r="AO135" s="23">
        <f>IF([2]AIX!J137=0,"",[2]AIX!J137)</f>
        <v>616</v>
      </c>
      <c r="AP135" s="17">
        <f t="shared" si="48"/>
        <v>-8.4695393759286808E-2</v>
      </c>
      <c r="BB135" s="39"/>
      <c r="BD135" s="5">
        <v>46154</v>
      </c>
      <c r="BE135" s="41">
        <f t="shared" si="51"/>
        <v>15.56212653778559</v>
      </c>
      <c r="BF135" s="22">
        <f t="shared" si="49"/>
        <v>15.56212653778559</v>
      </c>
      <c r="BG135" s="42">
        <f t="shared" si="52"/>
        <v>17.531542207792207</v>
      </c>
      <c r="BH135" s="17">
        <f t="shared" si="50"/>
        <v>0.1485193605604751</v>
      </c>
      <c r="BT135" s="39"/>
    </row>
    <row r="136" spans="2:72">
      <c r="B136" s="5">
        <v>46155</v>
      </c>
      <c r="C136" s="23">
        <f>IF([1]AIX!H137=0,"",[1]AIX!H137)</f>
        <v>10272.99</v>
      </c>
      <c r="D136" s="22">
        <f t="shared" si="43"/>
        <v>10272.99</v>
      </c>
      <c r="E136" s="23">
        <f>IF([2]AIX!H138=0,"",[2]AIX!H138)</f>
        <v>13251.09</v>
      </c>
      <c r="F136" s="17">
        <f t="shared" si="44"/>
        <v>-4.3038769990719983E-2</v>
      </c>
      <c r="R136" s="39"/>
      <c r="T136" s="5">
        <v>46155</v>
      </c>
      <c r="U136" s="23">
        <f>IF([1]AIX!I137=0,"",[1]AIX!I137)</f>
        <v>10173.23</v>
      </c>
      <c r="V136" s="22">
        <f t="shared" si="45"/>
        <v>10173.23</v>
      </c>
      <c r="W136" s="23">
        <f>IF([2]AIX!I138=0,"",[2]AIX!I138)</f>
        <v>12987.13</v>
      </c>
      <c r="X136" s="17">
        <f t="shared" si="46"/>
        <v>-4.7745686779144036E-2</v>
      </c>
      <c r="AJ136" s="39"/>
      <c r="AL136" s="5">
        <v>46155</v>
      </c>
      <c r="AM136" s="23">
        <f>IF([1]AIX!J137=0,"",[1]AIX!J137)</f>
        <v>673</v>
      </c>
      <c r="AN136" s="22">
        <f t="shared" si="47"/>
        <v>673</v>
      </c>
      <c r="AO136" s="23">
        <f>IF([2]AIX!J138=0,"",[2]AIX!J138)</f>
        <v>840</v>
      </c>
      <c r="AP136" s="17">
        <f t="shared" si="48"/>
        <v>-9.3851132686084138E-2</v>
      </c>
      <c r="BB136" s="39"/>
      <c r="BD136" s="5">
        <v>46155</v>
      </c>
      <c r="BE136" s="42">
        <f t="shared" si="51"/>
        <v>15.264472511144131</v>
      </c>
      <c r="BF136" s="22">
        <f t="shared" si="49"/>
        <v>15.264472511144131</v>
      </c>
      <c r="BG136" s="42">
        <f t="shared" si="52"/>
        <v>15.775107142857143</v>
      </c>
      <c r="BH136" s="17">
        <f t="shared" si="50"/>
        <v>5.6075071688812539E-2</v>
      </c>
      <c r="BT136" s="39"/>
    </row>
    <row r="137" spans="2:72">
      <c r="B137" s="5">
        <v>46156</v>
      </c>
      <c r="C137" s="23">
        <f>IF([1]AIX!H138=0,"",[1]AIX!H138)</f>
        <v>13847.05</v>
      </c>
      <c r="D137" s="22">
        <f t="shared" si="43"/>
        <v>13847.05</v>
      </c>
      <c r="E137" s="23">
        <f>IF([2]AIX!H139=0,"",[2]AIX!H139)</f>
        <v>15303.99</v>
      </c>
      <c r="F137" s="17">
        <f t="shared" si="44"/>
        <v>0.19919087473446417</v>
      </c>
      <c r="R137" s="39"/>
      <c r="T137" s="5">
        <v>46156</v>
      </c>
      <c r="U137" s="23">
        <f>IF([1]AIX!I138=0,"",[1]AIX!I138)</f>
        <v>13638.3</v>
      </c>
      <c r="V137" s="22">
        <f t="shared" si="45"/>
        <v>13638.3</v>
      </c>
      <c r="W137" s="23">
        <f>IF([2]AIX!I139=0,"",[2]AIX!I139)</f>
        <v>14864.25</v>
      </c>
      <c r="X137" s="17">
        <f t="shared" si="46"/>
        <v>0.1789332673446371</v>
      </c>
      <c r="AJ137" s="39"/>
      <c r="AL137" s="5">
        <v>46156</v>
      </c>
      <c r="AM137" s="23">
        <f>IF([1]AIX!J138=0,"",[1]AIX!J138)</f>
        <v>927</v>
      </c>
      <c r="AN137" s="22">
        <f t="shared" si="47"/>
        <v>927</v>
      </c>
      <c r="AO137" s="23">
        <f>IF([2]AIX!J139=0,"",[2]AIX!J139)</f>
        <v>861</v>
      </c>
      <c r="AP137" s="17">
        <f t="shared" si="48"/>
        <v>-6.9204152249134898E-3</v>
      </c>
      <c r="BB137" s="39"/>
      <c r="BD137" s="5">
        <v>46156</v>
      </c>
      <c r="BE137" s="42">
        <f t="shared" si="51"/>
        <v>14.937486515641854</v>
      </c>
      <c r="BF137" s="22">
        <f t="shared" si="49"/>
        <v>14.937486515641854</v>
      </c>
      <c r="BG137" s="42">
        <f t="shared" si="52"/>
        <v>17.774668989547038</v>
      </c>
      <c r="BH137" s="17">
        <f t="shared" si="50"/>
        <v>0.20754760556885055</v>
      </c>
      <c r="BT137" s="39"/>
    </row>
    <row r="138" spans="2:72">
      <c r="B138" s="5">
        <v>46157</v>
      </c>
      <c r="C138" s="23">
        <f>IF([1]AIX!H139=0,"",[1]AIX!H139)</f>
        <v>12761.93</v>
      </c>
      <c r="D138" s="22">
        <f t="shared" si="43"/>
        <v>12761.93</v>
      </c>
      <c r="E138" s="23">
        <f>IF([2]AIX!H140=0,"",[2]AIX!H140)</f>
        <v>15140.02</v>
      </c>
      <c r="F138" s="17">
        <f t="shared" si="44"/>
        <v>-9.3353342611378287E-2</v>
      </c>
      <c r="R138" s="39"/>
      <c r="T138" s="5">
        <v>46157</v>
      </c>
      <c r="U138" s="23">
        <f>IF([1]AIX!I139=0,"",[1]AIX!I139)</f>
        <v>12608.22</v>
      </c>
      <c r="V138" s="22">
        <f t="shared" si="45"/>
        <v>12608.22</v>
      </c>
      <c r="W138" s="23">
        <f>IF([2]AIX!I140=0,"",[2]AIX!I140)</f>
        <v>14855.02</v>
      </c>
      <c r="X138" s="17">
        <f t="shared" si="46"/>
        <v>-9.6776429514302764E-2</v>
      </c>
      <c r="AJ138" s="39"/>
      <c r="AL138" s="5">
        <v>46157</v>
      </c>
      <c r="AM138" s="23">
        <f>IF([1]AIX!J139=0,"",[1]AIX!J139)</f>
        <v>867</v>
      </c>
      <c r="AN138" s="22">
        <f t="shared" si="47"/>
        <v>867</v>
      </c>
      <c r="AO138" s="23">
        <f>IF([2]AIX!J140=0,"",[2]AIX!J140)</f>
        <v>849</v>
      </c>
      <c r="AP138" s="17">
        <f t="shared" si="48"/>
        <v>-0.20579981290926097</v>
      </c>
      <c r="BB138" s="39"/>
      <c r="BD138" s="5">
        <v>46157</v>
      </c>
      <c r="BE138" s="42">
        <f t="shared" si="51"/>
        <v>14.719642445213379</v>
      </c>
      <c r="BF138" s="22">
        <f t="shared" si="49"/>
        <v>14.719642445213379</v>
      </c>
      <c r="BG138" s="42">
        <f t="shared" si="52"/>
        <v>17.832767962308598</v>
      </c>
      <c r="BH138" s="17">
        <f t="shared" si="50"/>
        <v>0.14158454269544918</v>
      </c>
      <c r="BT138" s="39"/>
    </row>
    <row r="139" spans="2:72">
      <c r="B139" s="5">
        <v>46158</v>
      </c>
      <c r="C139" s="23">
        <f>IF([1]AIX!H140=0,"",[1]AIX!H140)</f>
        <v>16698.919999999998</v>
      </c>
      <c r="D139" s="22">
        <f t="shared" si="43"/>
        <v>16698.919999999998</v>
      </c>
      <c r="E139" s="23">
        <f>IF([2]AIX!H141=0,"",[2]AIX!H141)</f>
        <v>14934.98</v>
      </c>
      <c r="F139" s="17">
        <f t="shared" si="44"/>
        <v>-0.23610968323699655</v>
      </c>
      <c r="R139" s="39"/>
      <c r="T139" s="5">
        <v>46158</v>
      </c>
      <c r="U139" s="23">
        <f>IF([1]AIX!I140=0,"",[1]AIX!I140)</f>
        <v>16446.669999999998</v>
      </c>
      <c r="V139" s="22">
        <f t="shared" si="45"/>
        <v>16446.669999999998</v>
      </c>
      <c r="W139" s="23">
        <f>IF([2]AIX!I141=0,"",[2]AIX!I141)</f>
        <v>14517.25</v>
      </c>
      <c r="X139" s="17">
        <f t="shared" si="46"/>
        <v>-0.24773955250679203</v>
      </c>
      <c r="AJ139" s="39"/>
      <c r="AL139" s="5">
        <v>46158</v>
      </c>
      <c r="AM139" s="23">
        <f>IF([1]AIX!J140=0,"",[1]AIX!J140)</f>
        <v>1069</v>
      </c>
      <c r="AN139" s="22">
        <f t="shared" si="47"/>
        <v>1069</v>
      </c>
      <c r="AO139" s="23">
        <f>IF([2]AIX!J141=0,"",[2]AIX!J141)</f>
        <v>876</v>
      </c>
      <c r="AP139" s="17">
        <f t="shared" si="48"/>
        <v>-0.23826086956521741</v>
      </c>
      <c r="BB139" s="39"/>
      <c r="BD139" s="5">
        <v>46158</v>
      </c>
      <c r="BE139" s="42">
        <f t="shared" si="51"/>
        <v>15.621066417212347</v>
      </c>
      <c r="BF139" s="22">
        <f t="shared" si="49"/>
        <v>15.621066417212347</v>
      </c>
      <c r="BG139" s="42">
        <f t="shared" si="52"/>
        <v>17.04906392694064</v>
      </c>
      <c r="BH139" s="17">
        <f t="shared" si="50"/>
        <v>2.8240459788289041E-3</v>
      </c>
      <c r="BT139" s="39"/>
    </row>
    <row r="140" spans="2:72">
      <c r="B140" s="5">
        <v>46159</v>
      </c>
      <c r="C140" s="23">
        <f>IF([1]AIX!H141=0,"",[1]AIX!H141)</f>
        <v>19551.21</v>
      </c>
      <c r="D140" s="22">
        <f t="shared" si="43"/>
        <v>19551.21</v>
      </c>
      <c r="E140" s="24">
        <f>IF([2]AIX!H142=0,"",[2]AIX!H142)</f>
        <v>15971.45</v>
      </c>
      <c r="F140" s="17">
        <f t="shared" si="44"/>
        <v>-0.25067712089088601</v>
      </c>
      <c r="R140" s="39"/>
      <c r="T140" s="5">
        <v>46159</v>
      </c>
      <c r="U140" s="23">
        <f>IF([1]AIX!I141=0,"",[1]AIX!I141)</f>
        <v>19298.169999999998</v>
      </c>
      <c r="V140" s="22">
        <f t="shared" si="45"/>
        <v>19298.169999999998</v>
      </c>
      <c r="W140" s="24">
        <f>IF([2]AIX!I142=0,"",[2]AIX!I142)</f>
        <v>15636.03</v>
      </c>
      <c r="X140" s="17">
        <f t="shared" si="46"/>
        <v>-0.25643591147058109</v>
      </c>
      <c r="AJ140" s="39"/>
      <c r="AL140" s="5">
        <v>46159</v>
      </c>
      <c r="AM140" s="23">
        <f>IF([1]AIX!J141=0,"",[1]AIX!J141)</f>
        <v>1150</v>
      </c>
      <c r="AN140" s="22">
        <f t="shared" si="47"/>
        <v>1150</v>
      </c>
      <c r="AO140" s="24">
        <f>IF([2]AIX!J142=0,"",[2]AIX!J142)</f>
        <v>858</v>
      </c>
      <c r="AP140" s="17">
        <f t="shared" si="48"/>
        <v>-0.33796296296296291</v>
      </c>
      <c r="BB140" s="39"/>
      <c r="BD140" s="5">
        <v>46159</v>
      </c>
      <c r="BE140" s="42">
        <f t="shared" si="51"/>
        <v>17.001052173913042</v>
      </c>
      <c r="BF140" s="22">
        <f t="shared" si="49"/>
        <v>17.001052173913042</v>
      </c>
      <c r="BG140" s="43">
        <f t="shared" si="52"/>
        <v>18.61474358974359</v>
      </c>
      <c r="BH140" s="17">
        <f t="shared" si="50"/>
        <v>0.13184434886411633</v>
      </c>
      <c r="BT140" s="39"/>
    </row>
    <row r="141" spans="2:72">
      <c r="B141" s="5">
        <v>46160</v>
      </c>
      <c r="C141" s="24">
        <f>IF([1]AIX!H142=0,"",[1]AIX!H142)</f>
        <v>21314.51</v>
      </c>
      <c r="D141" s="22">
        <f t="shared" si="43"/>
        <v>21314.51</v>
      </c>
      <c r="E141" s="21">
        <f>IF([2]AIX!H143=0,"",[2]AIX!H143)</f>
        <v>7823.24</v>
      </c>
      <c r="F141" s="17">
        <f t="shared" si="44"/>
        <v>-7.3678377453528454E-2</v>
      </c>
      <c r="R141" s="39"/>
      <c r="T141" s="5">
        <v>46160</v>
      </c>
      <c r="U141" s="24">
        <f>IF([1]AIX!I142=0,"",[1]AIX!I142)</f>
        <v>21028.49</v>
      </c>
      <c r="V141" s="22">
        <f t="shared" si="45"/>
        <v>21028.49</v>
      </c>
      <c r="W141" s="21">
        <f>IF([2]AIX!I143=0,"",[2]AIX!I143)</f>
        <v>7696.42</v>
      </c>
      <c r="X141" s="17">
        <f t="shared" si="46"/>
        <v>-7.9702545865882546E-2</v>
      </c>
      <c r="AJ141" s="39"/>
      <c r="AL141" s="5">
        <v>46160</v>
      </c>
      <c r="AM141" s="24">
        <f>IF([1]AIX!J142=0,"",[1]AIX!J142)</f>
        <v>1296</v>
      </c>
      <c r="AN141" s="22">
        <f t="shared" si="47"/>
        <v>1296</v>
      </c>
      <c r="AO141" s="21">
        <f>IF([2]AIX!J143=0,"",[2]AIX!J143)</f>
        <v>465</v>
      </c>
      <c r="AP141" s="17">
        <f t="shared" si="48"/>
        <v>-0.15913200723327303</v>
      </c>
      <c r="BB141" s="39"/>
      <c r="BD141" s="5">
        <v>46160</v>
      </c>
      <c r="BE141" s="43">
        <f t="shared" si="51"/>
        <v>16.446381172839505</v>
      </c>
      <c r="BF141" s="22">
        <f t="shared" si="49"/>
        <v>16.446381172839505</v>
      </c>
      <c r="BG141" s="41">
        <f t="shared" si="52"/>
        <v>16.824172043010751</v>
      </c>
      <c r="BH141" s="17">
        <f t="shared" si="50"/>
        <v>0.10162549950150268</v>
      </c>
      <c r="BT141" s="39"/>
    </row>
    <row r="142" spans="2:72">
      <c r="B142" s="5">
        <v>46161</v>
      </c>
      <c r="C142" s="21">
        <f>IF([1]AIX!H143=0,"",[1]AIX!H143)</f>
        <v>8445.49</v>
      </c>
      <c r="D142" s="22">
        <f t="shared" si="43"/>
        <v>8445.49</v>
      </c>
      <c r="E142" s="23">
        <f>IF([2]AIX!H144=0,"",[2]AIX!H144)</f>
        <v>8579.65</v>
      </c>
      <c r="F142" s="17">
        <f t="shared" si="44"/>
        <v>-0.17032204035609921</v>
      </c>
      <c r="R142" s="39"/>
      <c r="T142" s="5">
        <v>46161</v>
      </c>
      <c r="U142" s="21">
        <f>IF([1]AIX!I143=0,"",[1]AIX!I143)</f>
        <v>8362.9699999999993</v>
      </c>
      <c r="V142" s="22">
        <f t="shared" si="45"/>
        <v>8362.9699999999993</v>
      </c>
      <c r="W142" s="23">
        <f>IF([2]AIX!I144=0,"",[2]AIX!I144)</f>
        <v>8430.4599999999991</v>
      </c>
      <c r="X142" s="17">
        <f t="shared" si="46"/>
        <v>-0.17212887767226737</v>
      </c>
      <c r="AJ142" s="39"/>
      <c r="AL142" s="5">
        <v>46161</v>
      </c>
      <c r="AM142" s="21">
        <f>IF([1]AIX!J143=0,"",[1]AIX!J143)</f>
        <v>553</v>
      </c>
      <c r="AN142" s="22">
        <f t="shared" si="47"/>
        <v>553</v>
      </c>
      <c r="AO142" s="23">
        <f>IF([2]AIX!J144=0,"",[2]AIX!J144)</f>
        <v>533</v>
      </c>
      <c r="AP142" s="17">
        <f t="shared" si="48"/>
        <v>-0.15262321144674085</v>
      </c>
      <c r="BB142" s="39"/>
      <c r="BD142" s="5">
        <v>46161</v>
      </c>
      <c r="BE142" s="41">
        <f t="shared" si="51"/>
        <v>15.272133815551536</v>
      </c>
      <c r="BF142" s="22">
        <f t="shared" si="49"/>
        <v>15.272133815551536</v>
      </c>
      <c r="BG142" s="42">
        <f t="shared" si="52"/>
        <v>16.096904315196998</v>
      </c>
      <c r="BH142" s="17">
        <f t="shared" si="50"/>
        <v>-2.0886610476522405E-2</v>
      </c>
      <c r="BT142" s="39"/>
    </row>
    <row r="143" spans="2:72">
      <c r="B143" s="5">
        <v>46162</v>
      </c>
      <c r="C143" s="23">
        <f>IF([1]AIX!H144=0,"",[1]AIX!H144)</f>
        <v>10340.94</v>
      </c>
      <c r="D143" s="22">
        <f t="shared" si="43"/>
        <v>10340.94</v>
      </c>
      <c r="E143" s="23">
        <f>IF([2]AIX!H145=0,"",[2]AIX!H145)</f>
        <v>12994.34</v>
      </c>
      <c r="F143" s="17">
        <f t="shared" si="44"/>
        <v>6.5446062896897805E-2</v>
      </c>
      <c r="R143" s="39"/>
      <c r="T143" s="5">
        <v>46162</v>
      </c>
      <c r="U143" s="23">
        <f>IF([1]AIX!I144=0,"",[1]AIX!I144)</f>
        <v>10183.299999999999</v>
      </c>
      <c r="V143" s="22">
        <f t="shared" si="45"/>
        <v>10183.299999999999</v>
      </c>
      <c r="W143" s="23">
        <f>IF([2]AIX!I145=0,"",[2]AIX!I145)</f>
        <v>12728.67</v>
      </c>
      <c r="X143" s="17">
        <f t="shared" si="46"/>
        <v>6.198006138936174E-2</v>
      </c>
      <c r="AJ143" s="39"/>
      <c r="AL143" s="5">
        <v>46162</v>
      </c>
      <c r="AM143" s="23">
        <f>IF([1]AIX!J144=0,"",[1]AIX!J144)</f>
        <v>629</v>
      </c>
      <c r="AN143" s="22">
        <f t="shared" si="47"/>
        <v>629</v>
      </c>
      <c r="AO143" s="23">
        <f>IF([2]AIX!J145=0,"",[2]AIX!J145)</f>
        <v>783</v>
      </c>
      <c r="AP143" s="17">
        <f t="shared" si="48"/>
        <v>1.2787723785165905E-3</v>
      </c>
      <c r="BB143" s="39"/>
      <c r="BD143" s="5">
        <v>46162</v>
      </c>
      <c r="BE143" s="42">
        <f t="shared" si="51"/>
        <v>16.440286168521464</v>
      </c>
      <c r="BF143" s="22">
        <f t="shared" si="49"/>
        <v>16.440286168521464</v>
      </c>
      <c r="BG143" s="42">
        <f t="shared" si="52"/>
        <v>16.595581098339718</v>
      </c>
      <c r="BH143" s="17">
        <f t="shared" si="50"/>
        <v>6.4085339955777698E-2</v>
      </c>
      <c r="BT143" s="39"/>
    </row>
    <row r="144" spans="2:72">
      <c r="B144" s="5">
        <v>46163</v>
      </c>
      <c r="C144" s="23">
        <f>IF([1]AIX!H145=0,"",[1]AIX!H145)</f>
        <v>12196.15</v>
      </c>
      <c r="D144" s="22">
        <f t="shared" si="43"/>
        <v>12196.15</v>
      </c>
      <c r="E144" s="23">
        <f>IF([2]AIX!H146=0,"",[2]AIX!H146)</f>
        <v>12275.31</v>
      </c>
      <c r="F144" s="17">
        <f t="shared" si="44"/>
        <v>0.13577828687323268</v>
      </c>
      <c r="R144" s="39"/>
      <c r="T144" s="5">
        <v>46163</v>
      </c>
      <c r="U144" s="23">
        <f>IF([1]AIX!I145=0,"",[1]AIX!I145)</f>
        <v>11985.79</v>
      </c>
      <c r="V144" s="22">
        <f t="shared" si="45"/>
        <v>11985.79</v>
      </c>
      <c r="W144" s="23">
        <f>IF([2]AIX!I146=0,"",[2]AIX!I146)</f>
        <v>12091.71</v>
      </c>
      <c r="X144" s="17">
        <f t="shared" si="46"/>
        <v>0.13864342618227021</v>
      </c>
      <c r="AJ144" s="39"/>
      <c r="AL144" s="5">
        <v>46163</v>
      </c>
      <c r="AM144" s="23">
        <f>IF([1]AIX!J145=0,"",[1]AIX!J145)</f>
        <v>782</v>
      </c>
      <c r="AN144" s="22">
        <f t="shared" si="47"/>
        <v>782</v>
      </c>
      <c r="AO144" s="23">
        <f>IF([2]AIX!J146=0,"",[2]AIX!J146)</f>
        <v>844</v>
      </c>
      <c r="AP144" s="17">
        <f t="shared" si="48"/>
        <v>0.21965317919075145</v>
      </c>
      <c r="BB144" s="39"/>
      <c r="BD144" s="5">
        <v>46163</v>
      </c>
      <c r="BE144" s="42">
        <f t="shared" si="51"/>
        <v>15.596099744245524</v>
      </c>
      <c r="BF144" s="22">
        <f t="shared" si="49"/>
        <v>15.596099744245524</v>
      </c>
      <c r="BG144" s="42">
        <f t="shared" si="52"/>
        <v>14.54420616113744</v>
      </c>
      <c r="BH144" s="17">
        <f t="shared" si="50"/>
        <v>-6.8769461473605409E-2</v>
      </c>
      <c r="BT144" s="39"/>
    </row>
    <row r="145" spans="2:72">
      <c r="B145" s="5">
        <v>46164</v>
      </c>
      <c r="C145" s="23">
        <f>IF([1]AIX!H146=0,"",[1]AIX!H146)</f>
        <v>10807.84</v>
      </c>
      <c r="D145" s="22">
        <f t="shared" si="43"/>
        <v>10807.84</v>
      </c>
      <c r="E145" s="23">
        <f>IF([2]AIX!H147=0,"",[2]AIX!H147)</f>
        <v>16842.71</v>
      </c>
      <c r="F145" s="17">
        <f t="shared" si="44"/>
        <v>9.7587455629476461E-2</v>
      </c>
      <c r="R145" s="39"/>
      <c r="T145" s="5">
        <v>46164</v>
      </c>
      <c r="U145" s="23">
        <f>IF([1]AIX!I146=0,"",[1]AIX!I146)</f>
        <v>10619.4</v>
      </c>
      <c r="V145" s="22">
        <f t="shared" si="45"/>
        <v>10619.4</v>
      </c>
      <c r="W145" s="23">
        <f>IF([2]AIX!I147=0,"",[2]AIX!I147)</f>
        <v>16568.25</v>
      </c>
      <c r="X145" s="17">
        <f t="shared" si="46"/>
        <v>9.3834072205955632E-2</v>
      </c>
      <c r="AJ145" s="39"/>
      <c r="AL145" s="5">
        <v>46164</v>
      </c>
      <c r="AM145" s="23">
        <f>IF([1]AIX!J146=0,"",[1]AIX!J146)</f>
        <v>692</v>
      </c>
      <c r="AN145" s="22">
        <f t="shared" si="47"/>
        <v>692</v>
      </c>
      <c r="AO145" s="23">
        <f>IF([2]AIX!J147=0,"",[2]AIX!J147)</f>
        <v>1014</v>
      </c>
      <c r="AP145" s="17">
        <f t="shared" si="48"/>
        <v>5.5150884495317465E-2</v>
      </c>
      <c r="BB145" s="39"/>
      <c r="BD145" s="5">
        <v>46164</v>
      </c>
      <c r="BE145" s="42">
        <f t="shared" si="51"/>
        <v>15.618265895953757</v>
      </c>
      <c r="BF145" s="22">
        <f t="shared" si="49"/>
        <v>15.618265895953757</v>
      </c>
      <c r="BG145" s="42">
        <f t="shared" si="52"/>
        <v>16.61016765285996</v>
      </c>
      <c r="BH145" s="17">
        <f t="shared" si="50"/>
        <v>4.0218486055154878E-2</v>
      </c>
      <c r="BT145" s="39"/>
    </row>
    <row r="146" spans="2:72">
      <c r="B146" s="5">
        <v>46165</v>
      </c>
      <c r="C146" s="23">
        <f>IF([1]AIX!H147=0,"",[1]AIX!H147)</f>
        <v>15345.21</v>
      </c>
      <c r="D146" s="22">
        <f t="shared" si="43"/>
        <v>15345.21</v>
      </c>
      <c r="E146" s="23">
        <f>IF([2]AIX!H148=0,"",[2]AIX!H148)</f>
        <v>19248.150000000001</v>
      </c>
      <c r="F146" s="17">
        <f t="shared" si="44"/>
        <v>3.9939683103975332E-2</v>
      </c>
      <c r="R146" s="39"/>
      <c r="T146" s="5">
        <v>46165</v>
      </c>
      <c r="U146" s="23">
        <f>IF([1]AIX!I147=0,"",[1]AIX!I147)</f>
        <v>15146.95</v>
      </c>
      <c r="V146" s="22">
        <f t="shared" si="45"/>
        <v>15146.95</v>
      </c>
      <c r="W146" s="23">
        <f>IF([2]AIX!I148=0,"",[2]AIX!I148)</f>
        <v>18878.3</v>
      </c>
      <c r="X146" s="17">
        <f t="shared" si="46"/>
        <v>3.525049230922761E-2</v>
      </c>
      <c r="AJ146" s="39"/>
      <c r="AL146" s="5">
        <v>46165</v>
      </c>
      <c r="AM146" s="23">
        <f>IF([1]AIX!J147=0,"",[1]AIX!J147)</f>
        <v>961</v>
      </c>
      <c r="AN146" s="22">
        <f t="shared" si="47"/>
        <v>961</v>
      </c>
      <c r="AO146" s="23">
        <f>IF([2]AIX!J148=0,"",[2]AIX!J148)</f>
        <v>1237</v>
      </c>
      <c r="AP146" s="17">
        <f t="shared" si="48"/>
        <v>0.10151380231522711</v>
      </c>
      <c r="BB146" s="39"/>
      <c r="BD146" s="5">
        <v>46165</v>
      </c>
      <c r="BE146" s="42">
        <f t="shared" si="51"/>
        <v>15.967960457856398</v>
      </c>
      <c r="BF146" s="22">
        <f t="shared" si="49"/>
        <v>15.967960457856398</v>
      </c>
      <c r="BG146" s="42">
        <f t="shared" si="52"/>
        <v>15.560347615198062</v>
      </c>
      <c r="BH146" s="17">
        <f t="shared" si="50"/>
        <v>-5.5899543956536402E-2</v>
      </c>
      <c r="BT146" s="39"/>
    </row>
    <row r="147" spans="2:72">
      <c r="B147" s="5">
        <v>46166</v>
      </c>
      <c r="C147" s="23">
        <f>IF([1]AIX!H148=0,"",[1]AIX!H148)</f>
        <v>18508.91</v>
      </c>
      <c r="D147" s="22">
        <f t="shared" si="43"/>
        <v>18508.91</v>
      </c>
      <c r="E147" s="24">
        <f>IF([2]AIX!H149=0,"",[2]AIX!H149)</f>
        <v>22670.080000000002</v>
      </c>
      <c r="F147" s="17">
        <f t="shared" si="44"/>
        <v>0.31551771561473996</v>
      </c>
      <c r="R147" s="39"/>
      <c r="T147" s="5">
        <v>46166</v>
      </c>
      <c r="U147" s="23">
        <f>IF([1]AIX!I148=0,"",[1]AIX!I148)</f>
        <v>18235.490000000002</v>
      </c>
      <c r="V147" s="22">
        <f t="shared" si="45"/>
        <v>18235.490000000002</v>
      </c>
      <c r="W147" s="24">
        <f>IF([2]AIX!I149=0,"",[2]AIX!I149)</f>
        <v>22321.79</v>
      </c>
      <c r="X147" s="17">
        <f t="shared" si="46"/>
        <v>0.31899825624922817</v>
      </c>
      <c r="AJ147" s="39"/>
      <c r="AL147" s="5">
        <v>46166</v>
      </c>
      <c r="AM147" s="23">
        <f>IF([1]AIX!J148=0,"",[1]AIX!J148)</f>
        <v>1123</v>
      </c>
      <c r="AN147" s="22">
        <f t="shared" si="47"/>
        <v>1123</v>
      </c>
      <c r="AO147" s="24">
        <f>IF([2]AIX!J149=0,"",[2]AIX!J149)</f>
        <v>1361</v>
      </c>
      <c r="AP147" s="17">
        <f t="shared" si="48"/>
        <v>0.46817691477885659</v>
      </c>
      <c r="BB147" s="39"/>
      <c r="BD147" s="5">
        <v>46166</v>
      </c>
      <c r="BE147" s="42">
        <f t="shared" si="51"/>
        <v>16.481665182546749</v>
      </c>
      <c r="BF147" s="22">
        <f t="shared" si="49"/>
        <v>16.481665182546749</v>
      </c>
      <c r="BG147" s="43">
        <f t="shared" si="52"/>
        <v>16.65692872887583</v>
      </c>
      <c r="BH147" s="17">
        <f t="shared" si="50"/>
        <v>-0.10397874917350192</v>
      </c>
      <c r="BT147" s="39"/>
    </row>
    <row r="148" spans="2:72">
      <c r="B148" s="5">
        <v>46167</v>
      </c>
      <c r="C148" s="24">
        <f>IF([1]AIX!H149=0,"",[1]AIX!H149)</f>
        <v>17232.82</v>
      </c>
      <c r="D148" s="22">
        <f t="shared" si="43"/>
        <v>17232.82</v>
      </c>
      <c r="E148" s="21">
        <f>IF([2]AIX!H150=0,"",[2]AIX!H150)</f>
        <v>20729.349999999999</v>
      </c>
      <c r="F148" s="17">
        <f t="shared" si="44"/>
        <v>0.9635309808111634</v>
      </c>
      <c r="R148" s="39"/>
      <c r="T148" s="5">
        <v>46167</v>
      </c>
      <c r="U148" s="24">
        <f>IF([1]AIX!I149=0,"",[1]AIX!I149)</f>
        <v>16923.29</v>
      </c>
      <c r="V148" s="22">
        <f t="shared" si="45"/>
        <v>16923.29</v>
      </c>
      <c r="W148" s="21">
        <f>IF([2]AIX!I150=0,"",[2]AIX!I150)</f>
        <v>20314.330000000002</v>
      </c>
      <c r="X148" s="17">
        <f t="shared" si="46"/>
        <v>0.94048443501526946</v>
      </c>
      <c r="AJ148" s="39"/>
      <c r="AL148" s="5">
        <v>46167</v>
      </c>
      <c r="AM148" s="24">
        <f>IF([1]AIX!J149=0,"",[1]AIX!J149)</f>
        <v>927</v>
      </c>
      <c r="AN148" s="22">
        <f t="shared" si="47"/>
        <v>927</v>
      </c>
      <c r="AO148" s="21">
        <f>IF([2]AIX!J150=0,"",[2]AIX!J150)</f>
        <v>1314</v>
      </c>
      <c r="AP148" s="17">
        <f t="shared" si="48"/>
        <v>1.0435458786936236</v>
      </c>
      <c r="BB148" s="39"/>
      <c r="BD148" s="5">
        <v>46167</v>
      </c>
      <c r="BE148" s="43">
        <f t="shared" si="51"/>
        <v>18.589881337648329</v>
      </c>
      <c r="BF148" s="22">
        <f t="shared" si="49"/>
        <v>18.589881337648329</v>
      </c>
      <c r="BG148" s="41">
        <f t="shared" si="52"/>
        <v>15.775761035007609</v>
      </c>
      <c r="BH148" s="17">
        <f t="shared" si="50"/>
        <v>-3.9154931003365312E-2</v>
      </c>
      <c r="BT148" s="39"/>
    </row>
    <row r="149" spans="2:72">
      <c r="B149" s="5">
        <v>46168</v>
      </c>
      <c r="C149" s="21">
        <f>IF([1]AIX!H150=0,"",[1]AIX!H150)</f>
        <v>10557.18</v>
      </c>
      <c r="D149" s="22">
        <f t="shared" si="43"/>
        <v>10557.18</v>
      </c>
      <c r="E149" s="23">
        <f>IF([2]AIX!H151=0,"",[2]AIX!H151)</f>
        <v>11935.64</v>
      </c>
      <c r="F149" s="17">
        <f t="shared" si="44"/>
        <v>-2.1389707883888276E-2</v>
      </c>
      <c r="R149" s="39"/>
      <c r="T149" s="5">
        <v>46168</v>
      </c>
      <c r="U149" s="21">
        <f>IF([1]AIX!I150=0,"",[1]AIX!I150)</f>
        <v>10468.69</v>
      </c>
      <c r="V149" s="22">
        <f t="shared" si="45"/>
        <v>10468.69</v>
      </c>
      <c r="W149" s="23">
        <f>IF([2]AIX!I151=0,"",[2]AIX!I151)</f>
        <v>11753.4</v>
      </c>
      <c r="X149" s="17">
        <f t="shared" si="46"/>
        <v>-2.6529542286505059E-2</v>
      </c>
      <c r="AJ149" s="39"/>
      <c r="AL149" s="5">
        <v>46168</v>
      </c>
      <c r="AM149" s="21">
        <f>IF([1]AIX!J150=0,"",[1]AIX!J150)</f>
        <v>643</v>
      </c>
      <c r="AN149" s="22">
        <f t="shared" si="47"/>
        <v>643</v>
      </c>
      <c r="AO149" s="23">
        <f>IF([2]AIX!J151=0,"",[2]AIX!J151)</f>
        <v>762</v>
      </c>
      <c r="AP149" s="17">
        <f t="shared" si="48"/>
        <v>2.695417789757415E-2</v>
      </c>
      <c r="BB149" s="39"/>
      <c r="BD149" s="5">
        <v>46168</v>
      </c>
      <c r="BE149" s="41">
        <f t="shared" si="51"/>
        <v>16.418631415241059</v>
      </c>
      <c r="BF149" s="22">
        <f t="shared" si="49"/>
        <v>16.418631415241059</v>
      </c>
      <c r="BG149" s="42">
        <f t="shared" si="52"/>
        <v>15.663569553805774</v>
      </c>
      <c r="BH149" s="17">
        <f t="shared" si="50"/>
        <v>-4.7075017388248153E-2</v>
      </c>
      <c r="BT149" s="39"/>
    </row>
    <row r="150" spans="2:72">
      <c r="B150" s="5">
        <v>46169</v>
      </c>
      <c r="C150" s="23">
        <f>IF([1]AIX!H151=0,"",[1]AIX!H151)</f>
        <v>12196.52</v>
      </c>
      <c r="D150" s="22">
        <f t="shared" si="43"/>
        <v>12196.52</v>
      </c>
      <c r="E150" s="23">
        <f>IF([2]AIX!H152=0,"",[2]AIX!H152)</f>
        <v>14744.1</v>
      </c>
      <c r="F150" s="17">
        <f t="shared" si="44"/>
        <v>-0.14771672987647633</v>
      </c>
      <c r="R150" s="39"/>
      <c r="T150" s="5">
        <v>46169</v>
      </c>
      <c r="U150" s="23">
        <f>IF([1]AIX!I151=0,"",[1]AIX!I151)</f>
        <v>12073.71</v>
      </c>
      <c r="V150" s="22">
        <f t="shared" si="45"/>
        <v>12073.71</v>
      </c>
      <c r="W150" s="23">
        <f>IF([2]AIX!I152=0,"",[2]AIX!I152)</f>
        <v>14462.82</v>
      </c>
      <c r="X150" s="17">
        <f t="shared" si="46"/>
        <v>-0.15088716751033004</v>
      </c>
      <c r="AJ150" s="39"/>
      <c r="AL150" s="5">
        <v>46169</v>
      </c>
      <c r="AM150" s="23">
        <f>IF([1]AIX!J151=0,"",[1]AIX!J151)</f>
        <v>742</v>
      </c>
      <c r="AN150" s="22">
        <f t="shared" si="47"/>
        <v>742</v>
      </c>
      <c r="AO150" s="23">
        <f>IF([2]AIX!J152=0,"",[2]AIX!J152)</f>
        <v>976</v>
      </c>
      <c r="AP150" s="17">
        <f t="shared" si="48"/>
        <v>-5.0968399592252744E-3</v>
      </c>
      <c r="BB150" s="39"/>
      <c r="BD150" s="5">
        <v>46169</v>
      </c>
      <c r="BE150" s="42">
        <f t="shared" si="51"/>
        <v>16.437358490566037</v>
      </c>
      <c r="BF150" s="22">
        <f t="shared" si="49"/>
        <v>16.437358490566037</v>
      </c>
      <c r="BG150" s="42">
        <f t="shared" si="52"/>
        <v>15.106659836065575</v>
      </c>
      <c r="BH150" s="17">
        <f t="shared" si="50"/>
        <v>-0.14335052459920417</v>
      </c>
      <c r="BT150" s="39"/>
    </row>
    <row r="151" spans="2:72">
      <c r="B151" s="5">
        <v>46170</v>
      </c>
      <c r="C151" s="23">
        <f>IF([1]AIX!H152=0,"",[1]AIX!H152)</f>
        <v>17299.53</v>
      </c>
      <c r="D151" s="22">
        <f t="shared" si="43"/>
        <v>17299.53</v>
      </c>
      <c r="E151" s="23">
        <f>IF([2]AIX!H153=0,"",[2]AIX!H153)</f>
        <v>12957.11</v>
      </c>
      <c r="F151" s="17">
        <f t="shared" si="44"/>
        <v>-0.42646718381710136</v>
      </c>
      <c r="R151" s="39"/>
      <c r="T151" s="5">
        <v>46170</v>
      </c>
      <c r="U151" s="23">
        <f>IF([1]AIX!I152=0,"",[1]AIX!I152)</f>
        <v>17032.86</v>
      </c>
      <c r="V151" s="22">
        <f t="shared" si="45"/>
        <v>17032.86</v>
      </c>
      <c r="W151" s="23">
        <f>IF([2]AIX!I153=0,"",[2]AIX!I153)</f>
        <v>12684.9</v>
      </c>
      <c r="X151" s="17">
        <f t="shared" si="46"/>
        <v>-0.42966682118463873</v>
      </c>
      <c r="AJ151" s="39"/>
      <c r="AL151" s="5">
        <v>46170</v>
      </c>
      <c r="AM151" s="23">
        <f>IF([1]AIX!J152=0,"",[1]AIX!J152)</f>
        <v>981</v>
      </c>
      <c r="AN151" s="22">
        <f t="shared" si="47"/>
        <v>981</v>
      </c>
      <c r="AO151" s="23">
        <f>IF([2]AIX!J153=0,"",[2]AIX!J153)</f>
        <v>871</v>
      </c>
      <c r="AP151" s="17">
        <f t="shared" si="48"/>
        <v>-0.3642335766423358</v>
      </c>
      <c r="BB151" s="39"/>
      <c r="BD151" s="5">
        <v>46170</v>
      </c>
      <c r="BE151" s="42">
        <f t="shared" si="51"/>
        <v>17.634587155963303</v>
      </c>
      <c r="BF151" s="22">
        <f t="shared" si="49"/>
        <v>17.634587155963303</v>
      </c>
      <c r="BG151" s="42">
        <f t="shared" si="52"/>
        <v>14.876130884041332</v>
      </c>
      <c r="BH151" s="17">
        <f t="shared" si="50"/>
        <v>-9.7887533673282179E-2</v>
      </c>
      <c r="BT151" s="39"/>
    </row>
    <row r="152" spans="2:72">
      <c r="B152" s="5">
        <v>46171</v>
      </c>
      <c r="C152" s="23">
        <f>IF([1]AIX!H153=0,"",[1]AIX!H153)</f>
        <v>22591.75</v>
      </c>
      <c r="D152" s="22">
        <f t="shared" si="43"/>
        <v>22591.75</v>
      </c>
      <c r="E152" s="23">
        <f>IF([2]AIX!H154=0,"",[2]AIX!H154)</f>
        <v>18144.759999999998</v>
      </c>
      <c r="F152" s="17">
        <f t="shared" si="44"/>
        <v>-0.22327142966607305</v>
      </c>
      <c r="R152" s="39"/>
      <c r="T152" s="5">
        <v>46171</v>
      </c>
      <c r="U152" s="23">
        <f>IF([1]AIX!I153=0,"",[1]AIX!I153)</f>
        <v>22241.21</v>
      </c>
      <c r="V152" s="22">
        <f t="shared" si="45"/>
        <v>22241.21</v>
      </c>
      <c r="W152" s="23">
        <f>IF([2]AIX!I154=0,"",[2]AIX!I154)</f>
        <v>17821.3</v>
      </c>
      <c r="X152" s="17">
        <f t="shared" si="46"/>
        <v>-0.22683695258886605</v>
      </c>
      <c r="AJ152" s="39"/>
      <c r="AL152" s="5">
        <v>46171</v>
      </c>
      <c r="AM152" s="23">
        <f>IF([1]AIX!J153=0,"",[1]AIX!J153)</f>
        <v>1370</v>
      </c>
      <c r="AN152" s="22">
        <f t="shared" si="47"/>
        <v>1370</v>
      </c>
      <c r="AO152" s="23">
        <f>IF([2]AIX!J154=0,"",[2]AIX!J154)</f>
        <v>1140</v>
      </c>
      <c r="AP152" s="17">
        <f t="shared" si="48"/>
        <v>-0.19377652050919381</v>
      </c>
      <c r="BB152" s="39"/>
      <c r="BD152" s="5">
        <v>46171</v>
      </c>
      <c r="BE152" s="42">
        <f t="shared" si="51"/>
        <v>16.490328467153283</v>
      </c>
      <c r="BF152" s="22">
        <f t="shared" si="49"/>
        <v>16.490328467153283</v>
      </c>
      <c r="BG152" s="42">
        <f t="shared" si="52"/>
        <v>15.916456140350876</v>
      </c>
      <c r="BH152" s="17">
        <f t="shared" si="50"/>
        <v>-3.6584036445462487E-2</v>
      </c>
      <c r="BT152" s="39"/>
    </row>
    <row r="153" spans="2:72">
      <c r="B153" s="5">
        <v>46172</v>
      </c>
      <c r="C153" s="23">
        <f>IF([1]AIX!H154=0,"",[1]AIX!H154)</f>
        <v>23360.49</v>
      </c>
      <c r="D153" s="22">
        <f t="shared" si="43"/>
        <v>23360.49</v>
      </c>
      <c r="E153" s="23">
        <f>IF([2]AIX!H155=0,"",[2]AIX!H155)</f>
        <v>17904.37</v>
      </c>
      <c r="F153" s="17">
        <f t="shared" si="44"/>
        <v>-6.1951126484139363E-2</v>
      </c>
      <c r="R153" s="39"/>
      <c r="T153" s="5">
        <v>46172</v>
      </c>
      <c r="U153" s="23">
        <f>IF([1]AIX!I154=0,"",[1]AIX!I154)</f>
        <v>23049.86</v>
      </c>
      <c r="V153" s="22">
        <f t="shared" si="45"/>
        <v>23049.86</v>
      </c>
      <c r="W153" s="23">
        <f>IF([2]AIX!I155=0,"",[2]AIX!I155)</f>
        <v>17555.099999999999</v>
      </c>
      <c r="X153" s="17">
        <f t="shared" si="46"/>
        <v>-6.9990559570592858E-2</v>
      </c>
      <c r="AJ153" s="39"/>
      <c r="AL153" s="5">
        <v>46172</v>
      </c>
      <c r="AM153" s="23">
        <f>IF([1]AIX!J154=0,"",[1]AIX!J154)</f>
        <v>1414</v>
      </c>
      <c r="AN153" s="22">
        <f t="shared" si="47"/>
        <v>1414</v>
      </c>
      <c r="AO153" s="23">
        <f>IF([2]AIX!J155=0,"",[2]AIX!J155)</f>
        <v>1103</v>
      </c>
      <c r="AP153" s="17">
        <f t="shared" si="48"/>
        <v>-4.1702867072111238E-2</v>
      </c>
      <c r="BB153" s="39"/>
      <c r="BD153" s="5">
        <v>46172</v>
      </c>
      <c r="BE153" s="42">
        <f t="shared" si="51"/>
        <v>16.520855728429986</v>
      </c>
      <c r="BF153" s="22">
        <f t="shared" si="49"/>
        <v>16.520855728429986</v>
      </c>
      <c r="BG153" s="42">
        <f t="shared" si="52"/>
        <v>16.23242973708069</v>
      </c>
      <c r="BH153" s="17">
        <f t="shared" si="50"/>
        <v>-2.1129416666585965E-2</v>
      </c>
      <c r="BT153" s="39"/>
    </row>
    <row r="154" spans="2:72">
      <c r="B154" s="5">
        <v>46173</v>
      </c>
      <c r="C154" s="23">
        <f>IF([1]AIX!H155=0,"",[1]AIX!H155)</f>
        <v>19086.82</v>
      </c>
      <c r="D154" s="22">
        <f t="shared" si="43"/>
        <v>19086.82</v>
      </c>
      <c r="E154" s="24">
        <f>IF([2]AIX!H156=0,"",[2]AIX!H156)</f>
        <v>17145.009999999998</v>
      </c>
      <c r="F154" s="17">
        <f t="shared" si="44"/>
        <v>-0.26617139863498118</v>
      </c>
      <c r="R154" s="39"/>
      <c r="T154" s="5">
        <v>46173</v>
      </c>
      <c r="U154" s="23">
        <f>IF([1]AIX!I155=0,"",[1]AIX!I155)</f>
        <v>18876.259999999998</v>
      </c>
      <c r="V154" s="22">
        <f t="shared" si="45"/>
        <v>18876.259999999998</v>
      </c>
      <c r="W154" s="24">
        <f>IF([2]AIX!I156=0,"",[2]AIX!I156)</f>
        <v>16845.2</v>
      </c>
      <c r="X154" s="17">
        <f t="shared" si="46"/>
        <v>-0.26941914632564912</v>
      </c>
      <c r="AJ154" s="39"/>
      <c r="AL154" s="5">
        <v>46173</v>
      </c>
      <c r="AM154" s="23">
        <f>IF([1]AIX!J155=0,"",[1]AIX!J155)</f>
        <v>1151</v>
      </c>
      <c r="AN154" s="22">
        <f t="shared" si="47"/>
        <v>1151</v>
      </c>
      <c r="AO154" s="24">
        <f>IF([2]AIX!J156=0,"",[2]AIX!J156)</f>
        <v>909</v>
      </c>
      <c r="AP154" s="17">
        <f t="shared" si="48"/>
        <v>-0.26693548387096777</v>
      </c>
      <c r="BB154" s="39"/>
      <c r="BD154" s="5">
        <v>46173</v>
      </c>
      <c r="BE154" s="42">
        <f t="shared" si="51"/>
        <v>16.582814943527367</v>
      </c>
      <c r="BF154" s="22">
        <f t="shared" si="49"/>
        <v>16.582814943527367</v>
      </c>
      <c r="BG154" s="43">
        <f t="shared" si="52"/>
        <v>18.861397139713969</v>
      </c>
      <c r="BH154" s="17">
        <f t="shared" si="50"/>
        <v>1.0423164935349227E-3</v>
      </c>
      <c r="BT154" s="39"/>
    </row>
    <row r="155" spans="2:72">
      <c r="B155" s="5">
        <v>46174</v>
      </c>
      <c r="C155" s="24">
        <f>IF([1]AIX!H156=0,"",[1]AIX!H156)</f>
        <v>23363.78</v>
      </c>
      <c r="D155" s="22">
        <f t="shared" si="43"/>
        <v>23363.78</v>
      </c>
      <c r="E155" s="21">
        <f>IF([2]AIX!H157=0,"",[2]AIX!H157)</f>
        <v>11402.66</v>
      </c>
      <c r="F155" s="17">
        <f t="shared" si="44"/>
        <v>0.1531967956698459</v>
      </c>
      <c r="R155" s="39"/>
      <c r="T155" s="5">
        <v>46174</v>
      </c>
      <c r="U155" s="24">
        <f>IF([1]AIX!I156=0,"",[1]AIX!I156)</f>
        <v>23057.27</v>
      </c>
      <c r="V155" s="22">
        <f t="shared" si="45"/>
        <v>23057.27</v>
      </c>
      <c r="W155" s="21">
        <f>IF([2]AIX!I157=0,"",[2]AIX!I157)</f>
        <v>11206.21</v>
      </c>
      <c r="X155" s="17">
        <f t="shared" si="46"/>
        <v>0.15232728525375694</v>
      </c>
      <c r="AJ155" s="39"/>
      <c r="AL155" s="5">
        <v>46174</v>
      </c>
      <c r="AM155" s="24">
        <f>IF([1]AIX!J156=0,"",[1]AIX!J156)</f>
        <v>1240</v>
      </c>
      <c r="AN155" s="22">
        <f t="shared" si="47"/>
        <v>1240</v>
      </c>
      <c r="AO155" s="21">
        <f>IF([2]AIX!J157=0,"",[2]AIX!J157)</f>
        <v>720</v>
      </c>
      <c r="AP155" s="17">
        <f t="shared" si="48"/>
        <v>0.27433628318584069</v>
      </c>
      <c r="BB155" s="39"/>
      <c r="BD155" s="5">
        <v>46174</v>
      </c>
      <c r="BE155" s="43">
        <f t="shared" si="51"/>
        <v>18.841758064516128</v>
      </c>
      <c r="BF155" s="22">
        <f t="shared" si="49"/>
        <v>18.841758064516128</v>
      </c>
      <c r="BG155" s="41">
        <f t="shared" si="52"/>
        <v>15.837027777777777</v>
      </c>
      <c r="BH155" s="17">
        <f t="shared" si="50"/>
        <v>-9.5060847842412644E-2</v>
      </c>
      <c r="BT155" s="39"/>
    </row>
    <row r="156" spans="2:72">
      <c r="B156" s="5">
        <v>46175</v>
      </c>
      <c r="C156" s="21">
        <f>IF([1]AIX!H157=0,"",[1]AIX!H157)</f>
        <v>9887.8700000000008</v>
      </c>
      <c r="D156" s="22">
        <f t="shared" si="43"/>
        <v>9887.8700000000008</v>
      </c>
      <c r="E156" s="23">
        <f>IF([2]AIX!H158=0,"",[2]AIX!H158)</f>
        <v>10690.18</v>
      </c>
      <c r="F156" s="17">
        <f t="shared" si="44"/>
        <v>-0.10511274217635591</v>
      </c>
      <c r="R156" s="39"/>
      <c r="T156" s="5">
        <v>46175</v>
      </c>
      <c r="U156" s="21">
        <f>IF([1]AIX!I157=0,"",[1]AIX!I157)</f>
        <v>9724.85</v>
      </c>
      <c r="V156" s="22">
        <f t="shared" si="45"/>
        <v>9724.85</v>
      </c>
      <c r="W156" s="23">
        <f>IF([2]AIX!I158=0,"",[2]AIX!I158)</f>
        <v>10454.75</v>
      </c>
      <c r="X156" s="17">
        <f t="shared" si="46"/>
        <v>-0.11357304315828209</v>
      </c>
      <c r="AJ156" s="39"/>
      <c r="AL156" s="5">
        <v>46175</v>
      </c>
      <c r="AM156" s="21">
        <f>IF([1]AIX!J157=0,"",[1]AIX!J157)</f>
        <v>565</v>
      </c>
      <c r="AN156" s="22">
        <f t="shared" si="47"/>
        <v>565</v>
      </c>
      <c r="AO156" s="23">
        <f>IF([2]AIX!J158=0,"",[2]AIX!J158)</f>
        <v>593</v>
      </c>
      <c r="AP156" s="17">
        <f t="shared" si="48"/>
        <v>-0.18206896551724139</v>
      </c>
      <c r="BB156" s="39"/>
      <c r="BD156" s="5">
        <v>46175</v>
      </c>
      <c r="BE156" s="41">
        <f t="shared" si="51"/>
        <v>17.500654867256639</v>
      </c>
      <c r="BF156" s="22">
        <f t="shared" si="49"/>
        <v>17.500654867256639</v>
      </c>
      <c r="BG156" s="42">
        <f t="shared" si="52"/>
        <v>18.027284991568298</v>
      </c>
      <c r="BH156" s="17">
        <f t="shared" si="50"/>
        <v>9.4086445062633972E-2</v>
      </c>
      <c r="BT156" s="39"/>
    </row>
    <row r="157" spans="2:72">
      <c r="B157" s="5">
        <v>46176</v>
      </c>
      <c r="C157" s="23">
        <f>IF([1]AIX!H158=0,"",[1]AIX!H158)</f>
        <v>11945.84</v>
      </c>
      <c r="D157" s="22">
        <f t="shared" si="43"/>
        <v>11945.84</v>
      </c>
      <c r="E157" s="23">
        <f>IF([2]AIX!H159=0,"",[2]AIX!H159)</f>
        <v>13243.09</v>
      </c>
      <c r="F157" s="17">
        <f t="shared" si="44"/>
        <v>0.12388539383246311</v>
      </c>
      <c r="R157" s="39"/>
      <c r="T157" s="5">
        <v>46176</v>
      </c>
      <c r="U157" s="23">
        <f>IF([1]AIX!I158=0,"",[1]AIX!I158)</f>
        <v>11794.26</v>
      </c>
      <c r="V157" s="22">
        <f t="shared" si="45"/>
        <v>11794.26</v>
      </c>
      <c r="W157" s="23">
        <f>IF([2]AIX!I159=0,"",[2]AIX!I159)</f>
        <v>12967.28</v>
      </c>
      <c r="X157" s="17">
        <f t="shared" si="46"/>
        <v>0.12148866686962068</v>
      </c>
      <c r="AJ157" s="39"/>
      <c r="AL157" s="5">
        <v>46176</v>
      </c>
      <c r="AM157" s="23">
        <f>IF([1]AIX!J158=0,"",[1]AIX!J158)</f>
        <v>725</v>
      </c>
      <c r="AN157" s="22">
        <f t="shared" si="47"/>
        <v>725</v>
      </c>
      <c r="AO157" s="23">
        <f>IF([2]AIX!J159=0,"",[2]AIX!J159)</f>
        <v>815</v>
      </c>
      <c r="AP157" s="17">
        <f t="shared" si="48"/>
        <v>0.17604617604617601</v>
      </c>
      <c r="BB157" s="39"/>
      <c r="BD157" s="5">
        <v>46176</v>
      </c>
      <c r="BE157" s="42">
        <f t="shared" si="51"/>
        <v>16.477020689655173</v>
      </c>
      <c r="BF157" s="22">
        <f t="shared" si="49"/>
        <v>16.477020689655173</v>
      </c>
      <c r="BG157" s="42">
        <f t="shared" si="52"/>
        <v>16.24919018404908</v>
      </c>
      <c r="BH157" s="17">
        <f t="shared" si="50"/>
        <v>-4.4352665121598855E-2</v>
      </c>
      <c r="BT157" s="39"/>
    </row>
    <row r="158" spans="2:72">
      <c r="B158" s="5">
        <v>46177</v>
      </c>
      <c r="C158" s="23">
        <f>IF([1]AIX!H159=0,"",[1]AIX!H159)</f>
        <v>11783.31</v>
      </c>
      <c r="D158" s="22">
        <f t="shared" si="43"/>
        <v>11783.31</v>
      </c>
      <c r="E158" s="23">
        <f>IF([2]AIX!H160=0,"",[2]AIX!H160)</f>
        <v>11100.26</v>
      </c>
      <c r="F158" s="17">
        <f t="shared" si="44"/>
        <v>-0.1306500549009042</v>
      </c>
      <c r="R158" s="39"/>
      <c r="T158" s="5">
        <v>46177</v>
      </c>
      <c r="U158" s="23">
        <f>IF([1]AIX!I159=0,"",[1]AIX!I159)</f>
        <v>11562.56</v>
      </c>
      <c r="V158" s="22">
        <f t="shared" si="45"/>
        <v>11562.56</v>
      </c>
      <c r="W158" s="23">
        <f>IF([2]AIX!I160=0,"",[2]AIX!I160)</f>
        <v>10861.64</v>
      </c>
      <c r="X158" s="17">
        <f t="shared" si="46"/>
        <v>-0.13486156689075091</v>
      </c>
      <c r="AJ158" s="39"/>
      <c r="AL158" s="5">
        <v>46177</v>
      </c>
      <c r="AM158" s="23">
        <f>IF([1]AIX!J159=0,"",[1]AIX!J159)</f>
        <v>693</v>
      </c>
      <c r="AN158" s="22">
        <f t="shared" si="47"/>
        <v>693</v>
      </c>
      <c r="AO158" s="23">
        <f>IF([2]AIX!J160=0,"",[2]AIX!J160)</f>
        <v>624</v>
      </c>
      <c r="AP158" s="17">
        <f t="shared" si="48"/>
        <v>-0.19794344473007708</v>
      </c>
      <c r="BB158" s="39"/>
      <c r="BD158" s="5">
        <v>46177</v>
      </c>
      <c r="BE158" s="42">
        <f t="shared" si="51"/>
        <v>17.003333333333334</v>
      </c>
      <c r="BF158" s="22">
        <f t="shared" si="49"/>
        <v>17.003333333333334</v>
      </c>
      <c r="BG158" s="42">
        <f t="shared" si="52"/>
        <v>17.788878205128206</v>
      </c>
      <c r="BH158" s="17">
        <f t="shared" si="50"/>
        <v>8.3901053344706211E-2</v>
      </c>
      <c r="BT158" s="39"/>
    </row>
    <row r="159" spans="2:72">
      <c r="B159" s="5">
        <v>46178</v>
      </c>
      <c r="C159" s="23">
        <f>IF([1]AIX!H160=0,"",[1]AIX!H160)</f>
        <v>12768.46</v>
      </c>
      <c r="D159" s="22">
        <f t="shared" si="43"/>
        <v>12768.46</v>
      </c>
      <c r="E159" s="23">
        <f>IF([2]AIX!H161=0,"",[2]AIX!H161)</f>
        <v>15853.09</v>
      </c>
      <c r="F159" s="17">
        <f t="shared" si="44"/>
        <v>-9.5477233097024383E-3</v>
      </c>
      <c r="R159" s="39"/>
      <c r="T159" s="5">
        <v>46178</v>
      </c>
      <c r="U159" s="23">
        <f>IF([1]AIX!I160=0,"",[1]AIX!I160)</f>
        <v>12554.8</v>
      </c>
      <c r="V159" s="22">
        <f t="shared" si="45"/>
        <v>12554.8</v>
      </c>
      <c r="W159" s="23">
        <f>IF([2]AIX!I161=0,"",[2]AIX!I161)</f>
        <v>15516.61</v>
      </c>
      <c r="X159" s="17">
        <f t="shared" si="46"/>
        <v>-1.7376353619150131E-2</v>
      </c>
      <c r="AJ159" s="39"/>
      <c r="AL159" s="5">
        <v>46178</v>
      </c>
      <c r="AM159" s="23">
        <f>IF([1]AIX!J160=0,"",[1]AIX!J160)</f>
        <v>778</v>
      </c>
      <c r="AN159" s="22">
        <f t="shared" si="47"/>
        <v>778</v>
      </c>
      <c r="AO159" s="23">
        <f>IF([2]AIX!J161=0,"",[2]AIX!J161)</f>
        <v>900</v>
      </c>
      <c r="AP159" s="17">
        <f t="shared" si="48"/>
        <v>-5.2631578947368474E-2</v>
      </c>
      <c r="BB159" s="39"/>
      <c r="BD159" s="5">
        <v>46178</v>
      </c>
      <c r="BE159" s="42">
        <f t="shared" si="51"/>
        <v>16.411902313624676</v>
      </c>
      <c r="BF159" s="22">
        <f t="shared" si="49"/>
        <v>16.411902313624676</v>
      </c>
      <c r="BG159" s="42">
        <f t="shared" si="52"/>
        <v>17.614544444444444</v>
      </c>
      <c r="BH159" s="17">
        <f t="shared" si="50"/>
        <v>4.547740317309179E-2</v>
      </c>
      <c r="BT159" s="39"/>
    </row>
    <row r="160" spans="2:72">
      <c r="B160" s="5">
        <v>46179</v>
      </c>
      <c r="C160" s="23">
        <f>IF([1]AIX!H161=0,"",[1]AIX!H161)</f>
        <v>16005.91</v>
      </c>
      <c r="D160" s="22">
        <f t="shared" si="43"/>
        <v>16005.91</v>
      </c>
      <c r="E160" s="23">
        <f>IF([2]AIX!H162=0,"",[2]AIX!H162)</f>
        <v>18289.72</v>
      </c>
      <c r="F160" s="17">
        <f t="shared" si="44"/>
        <v>3.2055141592346015E-2</v>
      </c>
      <c r="R160" s="39"/>
      <c r="T160" s="5">
        <v>46179</v>
      </c>
      <c r="U160" s="23">
        <f>IF([1]AIX!I161=0,"",[1]AIX!I161)</f>
        <v>15791</v>
      </c>
      <c r="V160" s="22">
        <f t="shared" si="45"/>
        <v>15791</v>
      </c>
      <c r="W160" s="23">
        <f>IF([2]AIX!I162=0,"",[2]AIX!I162)</f>
        <v>18018.97</v>
      </c>
      <c r="X160" s="17">
        <f t="shared" si="46"/>
        <v>3.2543008848746169E-2</v>
      </c>
      <c r="AJ160" s="39"/>
      <c r="AL160" s="5">
        <v>46179</v>
      </c>
      <c r="AM160" s="23">
        <f>IF([1]AIX!J161=0,"",[1]AIX!J161)</f>
        <v>950</v>
      </c>
      <c r="AN160" s="22">
        <f t="shared" si="47"/>
        <v>950</v>
      </c>
      <c r="AO160" s="23">
        <f>IF([2]AIX!J162=0,"",[2]AIX!J162)</f>
        <v>1112</v>
      </c>
      <c r="AP160" s="17">
        <f t="shared" si="48"/>
        <v>0.10867397806580259</v>
      </c>
      <c r="BB160" s="39"/>
      <c r="BD160" s="5">
        <v>46179</v>
      </c>
      <c r="BE160" s="42">
        <f t="shared" si="51"/>
        <v>16.848326315789475</v>
      </c>
      <c r="BF160" s="22">
        <f t="shared" si="49"/>
        <v>16.848326315789475</v>
      </c>
      <c r="BG160" s="42">
        <f t="shared" si="52"/>
        <v>16.447589928057553</v>
      </c>
      <c r="BH160" s="17">
        <f t="shared" si="50"/>
        <v>-6.9108536855105318E-2</v>
      </c>
      <c r="BT160" s="39"/>
    </row>
    <row r="161" spans="2:72">
      <c r="B161" s="5">
        <v>46180</v>
      </c>
      <c r="C161" s="23">
        <f>IF([1]AIX!H162=0,"",[1]AIX!H162)</f>
        <v>17721.650000000001</v>
      </c>
      <c r="D161" s="22">
        <f t="shared" si="43"/>
        <v>17721.650000000001</v>
      </c>
      <c r="E161" s="24">
        <f>IF([2]AIX!H163=0,"",[2]AIX!H163)</f>
        <v>20040.3</v>
      </c>
      <c r="F161" s="17">
        <f t="shared" si="44"/>
        <v>-0.14578109987988264</v>
      </c>
      <c r="R161" s="39"/>
      <c r="T161" s="5">
        <v>46180</v>
      </c>
      <c r="U161" s="23">
        <f>IF([1]AIX!I162=0,"",[1]AIX!I162)</f>
        <v>17451.060000000001</v>
      </c>
      <c r="V161" s="22">
        <f t="shared" si="45"/>
        <v>17451.060000000001</v>
      </c>
      <c r="W161" s="24">
        <f>IF([2]AIX!I163=0,"",[2]AIX!I163)</f>
        <v>19651.55</v>
      </c>
      <c r="X161" s="17">
        <f t="shared" si="46"/>
        <v>-0.14978153488454593</v>
      </c>
      <c r="AJ161" s="39"/>
      <c r="AL161" s="5">
        <v>46180</v>
      </c>
      <c r="AM161" s="23">
        <f>IF([1]AIX!J162=0,"",[1]AIX!J162)</f>
        <v>1003</v>
      </c>
      <c r="AN161" s="22">
        <f t="shared" si="47"/>
        <v>1003</v>
      </c>
      <c r="AO161" s="24">
        <f>IF([2]AIX!J163=0,"",[2]AIX!J163)</f>
        <v>1102</v>
      </c>
      <c r="AP161" s="17">
        <f t="shared" si="48"/>
        <v>-0.1253968253968254</v>
      </c>
      <c r="BB161" s="39"/>
      <c r="BD161" s="5">
        <v>46180</v>
      </c>
      <c r="BE161" s="42">
        <f t="shared" si="51"/>
        <v>17.668644067796613</v>
      </c>
      <c r="BF161" s="22">
        <f t="shared" si="49"/>
        <v>17.668644067796613</v>
      </c>
      <c r="BG161" s="43">
        <f t="shared" si="52"/>
        <v>18.185390199637023</v>
      </c>
      <c r="BH161" s="17">
        <f t="shared" si="50"/>
        <v>-2.3306883710210613E-2</v>
      </c>
      <c r="BT161" s="39"/>
    </row>
    <row r="162" spans="2:72">
      <c r="B162" s="5">
        <v>46181</v>
      </c>
      <c r="C162" s="24">
        <f>IF([1]AIX!H163=0,"",[1]AIX!H163)</f>
        <v>23460.38</v>
      </c>
      <c r="D162" s="22">
        <f t="shared" si="43"/>
        <v>23460.38</v>
      </c>
      <c r="E162" s="21">
        <f>IF([2]AIX!H164=0,"",[2]AIX!H164)</f>
        <v>9132.67</v>
      </c>
      <c r="F162" s="17">
        <f t="shared" si="44"/>
        <v>-0.55782902814735624</v>
      </c>
      <c r="R162" s="39"/>
      <c r="T162" s="5">
        <v>46181</v>
      </c>
      <c r="U162" s="24">
        <f>IF([1]AIX!I163=0,"",[1]AIX!I163)</f>
        <v>23113.53</v>
      </c>
      <c r="V162" s="22">
        <f t="shared" si="45"/>
        <v>23113.53</v>
      </c>
      <c r="W162" s="21">
        <f>IF([2]AIX!I164=0,"",[2]AIX!I164)</f>
        <v>8910.6</v>
      </c>
      <c r="X162" s="17">
        <f t="shared" si="46"/>
        <v>-0.56200052497412001</v>
      </c>
      <c r="AJ162" s="39"/>
      <c r="AL162" s="5">
        <v>46181</v>
      </c>
      <c r="AM162" s="24">
        <f>IF([1]AIX!J163=0,"",[1]AIX!J163)</f>
        <v>1260</v>
      </c>
      <c r="AN162" s="22">
        <f t="shared" si="47"/>
        <v>1260</v>
      </c>
      <c r="AO162" s="21">
        <f>IF([2]AIX!J164=0,"",[2]AIX!J164)</f>
        <v>570</v>
      </c>
      <c r="AP162" s="17">
        <f t="shared" si="48"/>
        <v>-0.54976303317535546</v>
      </c>
      <c r="BB162" s="39"/>
      <c r="BD162" s="5">
        <v>46181</v>
      </c>
      <c r="BE162" s="43">
        <f t="shared" si="51"/>
        <v>18.619349206349206</v>
      </c>
      <c r="BF162" s="22">
        <f t="shared" si="49"/>
        <v>18.619349206349206</v>
      </c>
      <c r="BG162" s="41">
        <f t="shared" si="52"/>
        <v>16.022228070175437</v>
      </c>
      <c r="BH162" s="17">
        <f t="shared" si="50"/>
        <v>-1.7914999358865091E-2</v>
      </c>
      <c r="BT162" s="39"/>
    </row>
    <row r="163" spans="2:72">
      <c r="B163" s="5">
        <v>46182</v>
      </c>
      <c r="C163" s="21">
        <f>IF([1]AIX!H164=0,"",[1]AIX!H164)</f>
        <v>20654.16</v>
      </c>
      <c r="D163" s="22">
        <f t="shared" si="43"/>
        <v>20654.16</v>
      </c>
      <c r="E163" s="23">
        <f>IF([2]AIX!H165=0,"",[2]AIX!H165)</f>
        <v>10233.44</v>
      </c>
      <c r="F163" s="17">
        <f t="shared" si="44"/>
        <v>-0.18698727105455915</v>
      </c>
      <c r="R163" s="39"/>
      <c r="T163" s="5">
        <v>46182</v>
      </c>
      <c r="U163" s="21">
        <f>IF([1]AIX!I164=0,"",[1]AIX!I164)</f>
        <v>20343.86</v>
      </c>
      <c r="V163" s="22">
        <f t="shared" si="45"/>
        <v>20343.86</v>
      </c>
      <c r="W163" s="23">
        <f>IF([2]AIX!I165=0,"",[2]AIX!I165)</f>
        <v>9950.7000000000007</v>
      </c>
      <c r="X163" s="17">
        <f t="shared" si="46"/>
        <v>-0.20075019779037018</v>
      </c>
      <c r="AJ163" s="39"/>
      <c r="AL163" s="5">
        <v>46182</v>
      </c>
      <c r="AM163" s="21">
        <f>IF([1]AIX!J164=0,"",[1]AIX!J164)</f>
        <v>1266</v>
      </c>
      <c r="AN163" s="22">
        <f t="shared" si="47"/>
        <v>1266</v>
      </c>
      <c r="AO163" s="23">
        <f>IF([2]AIX!J165=0,"",[2]AIX!J165)</f>
        <v>623</v>
      </c>
      <c r="AP163" s="17">
        <f t="shared" si="48"/>
        <v>-0.24209245742092456</v>
      </c>
      <c r="BB163" s="39"/>
      <c r="BD163" s="5">
        <v>46182</v>
      </c>
      <c r="BE163" s="41">
        <f t="shared" si="51"/>
        <v>16.314502369668247</v>
      </c>
      <c r="BF163" s="22">
        <f t="shared" si="49"/>
        <v>16.314502369668247</v>
      </c>
      <c r="BG163" s="42">
        <f t="shared" si="52"/>
        <v>16.426067415730337</v>
      </c>
      <c r="BH163" s="17">
        <f t="shared" si="50"/>
        <v>7.2707003520308788E-2</v>
      </c>
      <c r="BT163" s="39"/>
    </row>
    <row r="164" spans="2:72">
      <c r="B164" s="5">
        <v>46183</v>
      </c>
      <c r="C164" s="23">
        <f>IF([1]AIX!H165=0,"",[1]AIX!H165)</f>
        <v>12587.06</v>
      </c>
      <c r="D164" s="22">
        <f t="shared" si="43"/>
        <v>12587.06</v>
      </c>
      <c r="E164" s="23">
        <f>IF([2]AIX!H166=0,"",[2]AIX!H166)</f>
        <v>12021.55</v>
      </c>
      <c r="F164" s="17">
        <f t="shared" si="44"/>
        <v>-0.15015623232665998</v>
      </c>
      <c r="R164" s="39"/>
      <c r="T164" s="5">
        <v>46183</v>
      </c>
      <c r="U164" s="23">
        <f>IF([1]AIX!I165=0,"",[1]AIX!I165)</f>
        <v>12450.05</v>
      </c>
      <c r="V164" s="22">
        <f t="shared" si="45"/>
        <v>12450.05</v>
      </c>
      <c r="W164" s="23">
        <f>IF([2]AIX!I166=0,"",[2]AIX!I166)</f>
        <v>11703.85</v>
      </c>
      <c r="X164" s="17">
        <f t="shared" si="46"/>
        <v>-0.16041609577003246</v>
      </c>
      <c r="AJ164" s="39"/>
      <c r="AL164" s="5">
        <v>46183</v>
      </c>
      <c r="AM164" s="23">
        <f>IF([1]AIX!J165=0,"",[1]AIX!J165)</f>
        <v>822</v>
      </c>
      <c r="AN164" s="22">
        <f t="shared" si="47"/>
        <v>822</v>
      </c>
      <c r="AO164" s="23">
        <f>IF([2]AIX!J166=0,"",[2]AIX!J166)</f>
        <v>766</v>
      </c>
      <c r="AP164" s="17">
        <f t="shared" si="48"/>
        <v>-0.21355236139630385</v>
      </c>
      <c r="BB164" s="39"/>
      <c r="BD164" s="5">
        <v>46183</v>
      </c>
      <c r="BE164" s="42">
        <f t="shared" si="51"/>
        <v>15.312725060827249</v>
      </c>
      <c r="BF164" s="22">
        <f t="shared" si="49"/>
        <v>15.312725060827249</v>
      </c>
      <c r="BG164" s="42">
        <f t="shared" si="52"/>
        <v>15.693929503916449</v>
      </c>
      <c r="BH164" s="17">
        <f t="shared" si="50"/>
        <v>8.0610743751740488E-2</v>
      </c>
      <c r="BT164" s="39"/>
    </row>
    <row r="165" spans="2:72">
      <c r="B165" s="5">
        <v>46184</v>
      </c>
      <c r="C165" s="23">
        <f>IF([1]AIX!H166=0,"",[1]AIX!H166)</f>
        <v>14145.6</v>
      </c>
      <c r="D165" s="22">
        <f t="shared" si="43"/>
        <v>14145.6</v>
      </c>
      <c r="E165" s="23">
        <f>IF([2]AIX!H167=0,"",[2]AIX!H167)</f>
        <v>13295.51</v>
      </c>
      <c r="F165" s="17">
        <f t="shared" si="44"/>
        <v>-0.15297473164758724</v>
      </c>
      <c r="R165" s="39"/>
      <c r="T165" s="5">
        <v>46184</v>
      </c>
      <c r="U165" s="23">
        <f>IF([1]AIX!I166=0,"",[1]AIX!I166)</f>
        <v>13940.06</v>
      </c>
      <c r="V165" s="22">
        <f t="shared" si="45"/>
        <v>13940.06</v>
      </c>
      <c r="W165" s="23">
        <f>IF([2]AIX!I167=0,"",[2]AIX!I167)</f>
        <v>12879.86</v>
      </c>
      <c r="X165" s="17">
        <f t="shared" si="46"/>
        <v>-0.17031044769581494</v>
      </c>
      <c r="AJ165" s="39"/>
      <c r="AL165" s="5">
        <v>46184</v>
      </c>
      <c r="AM165" s="23">
        <f>IF([1]AIX!J166=0,"",[1]AIX!J166)</f>
        <v>974</v>
      </c>
      <c r="AN165" s="22">
        <f t="shared" si="47"/>
        <v>974</v>
      </c>
      <c r="AO165" s="23">
        <f>IF([2]AIX!J167=0,"",[2]AIX!J167)</f>
        <v>861</v>
      </c>
      <c r="AP165" s="17">
        <f t="shared" si="48"/>
        <v>-0.18696883852691215</v>
      </c>
      <c r="BB165" s="39"/>
      <c r="BD165" s="5">
        <v>46184</v>
      </c>
      <c r="BE165" s="42">
        <f t="shared" si="51"/>
        <v>14.523203285420944</v>
      </c>
      <c r="BF165" s="22">
        <f t="shared" si="49"/>
        <v>14.523203285420944</v>
      </c>
      <c r="BG165" s="42">
        <f t="shared" si="52"/>
        <v>15.441939605110337</v>
      </c>
      <c r="BH165" s="17">
        <f t="shared" si="50"/>
        <v>4.1811566997915328E-2</v>
      </c>
      <c r="BT165" s="39"/>
    </row>
    <row r="166" spans="2:72">
      <c r="B166" s="5">
        <v>46185</v>
      </c>
      <c r="C166" s="23">
        <f>IF([1]AIX!H167=0,"",[1]AIX!H167)</f>
        <v>15696.71</v>
      </c>
      <c r="D166" s="22">
        <f t="shared" si="43"/>
        <v>15696.71</v>
      </c>
      <c r="E166" s="23">
        <f>IF([2]AIX!H168=0,"",[2]AIX!H168)</f>
        <v>16748.62</v>
      </c>
      <c r="F166" s="17">
        <f t="shared" si="44"/>
        <v>-9.9211112832162995E-2</v>
      </c>
      <c r="R166" s="39"/>
      <c r="T166" s="5">
        <v>46185</v>
      </c>
      <c r="U166" s="23">
        <f>IF([1]AIX!I167=0,"",[1]AIX!I167)</f>
        <v>15523.71</v>
      </c>
      <c r="V166" s="22">
        <f t="shared" si="45"/>
        <v>15523.71</v>
      </c>
      <c r="W166" s="23">
        <f>IF([2]AIX!I168=0,"",[2]AIX!I168)</f>
        <v>16362.71</v>
      </c>
      <c r="X166" s="17">
        <f t="shared" si="46"/>
        <v>-0.10486351703021468</v>
      </c>
      <c r="AJ166" s="39"/>
      <c r="AL166" s="5">
        <v>46185</v>
      </c>
      <c r="AM166" s="23">
        <f>IF([1]AIX!J167=0,"",[1]AIX!J167)</f>
        <v>1059</v>
      </c>
      <c r="AN166" s="22">
        <f t="shared" si="47"/>
        <v>1059</v>
      </c>
      <c r="AO166" s="23">
        <f>IF([2]AIX!J168=0,"",[2]AIX!J168)</f>
        <v>1027</v>
      </c>
      <c r="AP166" s="17">
        <f t="shared" si="48"/>
        <v>-0.1333333333333333</v>
      </c>
      <c r="BB166" s="39"/>
      <c r="BD166" s="5">
        <v>46185</v>
      </c>
      <c r="BE166" s="42">
        <f t="shared" si="51"/>
        <v>14.822200188857412</v>
      </c>
      <c r="BF166" s="22">
        <f t="shared" si="49"/>
        <v>14.822200188857412</v>
      </c>
      <c r="BG166" s="42">
        <f t="shared" si="52"/>
        <v>16.308296007789679</v>
      </c>
      <c r="BH166" s="17">
        <f t="shared" si="50"/>
        <v>3.9371792885965817E-2</v>
      </c>
      <c r="BT166" s="39"/>
    </row>
    <row r="167" spans="2:72">
      <c r="B167" s="5">
        <v>46186</v>
      </c>
      <c r="C167" s="23">
        <f>IF([1]AIX!H168=0,"",[1]AIX!H168)</f>
        <v>18593.28</v>
      </c>
      <c r="D167" s="22">
        <f t="shared" si="43"/>
        <v>18593.28</v>
      </c>
      <c r="E167" s="23">
        <f>IF([2]AIX!H169=0,"",[2]AIX!H169)</f>
        <v>19036.099999999999</v>
      </c>
      <c r="F167" s="17">
        <f t="shared" si="44"/>
        <v>-0.11394885543794986</v>
      </c>
      <c r="R167" s="39"/>
      <c r="T167" s="5">
        <v>46186</v>
      </c>
      <c r="U167" s="23">
        <f>IF([1]AIX!I168=0,"",[1]AIX!I168)</f>
        <v>18279.57</v>
      </c>
      <c r="V167" s="22">
        <f t="shared" si="45"/>
        <v>18279.57</v>
      </c>
      <c r="W167" s="23">
        <f>IF([2]AIX!I169=0,"",[2]AIX!I169)</f>
        <v>18628.48</v>
      </c>
      <c r="X167" s="17">
        <f t="shared" si="46"/>
        <v>-0.11821519387594748</v>
      </c>
      <c r="AJ167" s="39"/>
      <c r="AL167" s="5">
        <v>46186</v>
      </c>
      <c r="AM167" s="23">
        <f>IF([1]AIX!J168=0,"",[1]AIX!J168)</f>
        <v>1185</v>
      </c>
      <c r="AN167" s="22">
        <f t="shared" si="47"/>
        <v>1185</v>
      </c>
      <c r="AO167" s="23">
        <f>IF([2]AIX!J169=0,"",[2]AIX!J169)</f>
        <v>1184</v>
      </c>
      <c r="AP167" s="17">
        <f t="shared" si="48"/>
        <v>-7.9315707620528753E-2</v>
      </c>
      <c r="BB167" s="39"/>
      <c r="BD167" s="5">
        <v>46186</v>
      </c>
      <c r="BE167" s="42">
        <f t="shared" si="51"/>
        <v>15.690531645569619</v>
      </c>
      <c r="BF167" s="22">
        <f t="shared" si="49"/>
        <v>15.690531645569619</v>
      </c>
      <c r="BG167" s="42">
        <f t="shared" si="52"/>
        <v>16.07778716216216</v>
      </c>
      <c r="BH167" s="17">
        <f t="shared" si="50"/>
        <v>-3.7616746700340875E-2</v>
      </c>
      <c r="BT167" s="39"/>
    </row>
    <row r="168" spans="2:72">
      <c r="B168" s="5">
        <v>46187</v>
      </c>
      <c r="C168" s="23">
        <f>IF([1]AIX!H169=0,"",[1]AIX!H169)</f>
        <v>21484.2</v>
      </c>
      <c r="D168" s="22">
        <f>IF(E167="","",C168)</f>
        <v>21484.2</v>
      </c>
      <c r="E168" s="24">
        <f>IF([2]AIX!H170=0,"",[2]AIX!H170)</f>
        <v>22350.42</v>
      </c>
      <c r="F168" s="17">
        <f t="shared" si="44"/>
        <v>0.28205110555470436</v>
      </c>
      <c r="R168" s="39"/>
      <c r="T168" s="5">
        <v>46187</v>
      </c>
      <c r="U168" s="23">
        <f>IF([1]AIX!I169=0,"",[1]AIX!I169)</f>
        <v>21125.88</v>
      </c>
      <c r="V168" s="22">
        <f>IF(W167="","",U168)</f>
        <v>21125.88</v>
      </c>
      <c r="W168" s="24">
        <f>IF([2]AIX!I170=0,"",[2]AIX!I170)</f>
        <v>21900.55</v>
      </c>
      <c r="X168" s="17">
        <f t="shared" si="46"/>
        <v>0.27628037135912287</v>
      </c>
      <c r="AJ168" s="39"/>
      <c r="AL168" s="5">
        <v>46187</v>
      </c>
      <c r="AM168" s="23">
        <f>IF([1]AIX!J169=0,"",[1]AIX!J169)</f>
        <v>1286</v>
      </c>
      <c r="AN168" s="22">
        <f>IF(AO167="","",AM168)</f>
        <v>1286</v>
      </c>
      <c r="AO168" s="24">
        <f>IF([2]AIX!J170=0,"",[2]AIX!J170)</f>
        <v>1238</v>
      </c>
      <c r="AP168" s="17">
        <f t="shared" si="48"/>
        <v>0.27497425334706493</v>
      </c>
      <c r="BB168" s="39"/>
      <c r="BD168" s="5">
        <v>46187</v>
      </c>
      <c r="BE168" s="42">
        <f t="shared" si="51"/>
        <v>16.706220839813376</v>
      </c>
      <c r="BF168" s="22">
        <f>IF(BG167="","",BE168)</f>
        <v>16.706220839813376</v>
      </c>
      <c r="BG168" s="43">
        <f t="shared" si="52"/>
        <v>18.053651050080774</v>
      </c>
      <c r="BH168" s="17">
        <f t="shared" si="50"/>
        <v>5.5505844051841891E-3</v>
      </c>
      <c r="BT168" s="39"/>
    </row>
    <row r="169" spans="2:72">
      <c r="B169" s="5">
        <v>46188</v>
      </c>
      <c r="C169" s="24">
        <f>IF([1]AIX!H170=0,"",[1]AIX!H170)</f>
        <v>17433.330000000002</v>
      </c>
      <c r="D169" s="22">
        <f t="shared" ref="D169:D232" si="53">IF(E168="","",C169)</f>
        <v>17433.330000000002</v>
      </c>
      <c r="E169" s="21" t="str">
        <f>IF([2]AIX!H171=0,"",[2]AIX!H171)</f>
        <v/>
      </c>
      <c r="F169" s="17" t="str">
        <f t="shared" si="44"/>
        <v/>
      </c>
      <c r="R169" s="39"/>
      <c r="T169" s="5">
        <v>46188</v>
      </c>
      <c r="U169" s="24">
        <f>IF([1]AIX!I170=0,"",[1]AIX!I170)</f>
        <v>17159.669999999998</v>
      </c>
      <c r="V169" s="22">
        <f t="shared" ref="V169:V232" si="54">IF(W168="","",U169)</f>
        <v>17159.669999999998</v>
      </c>
      <c r="W169" s="21" t="str">
        <f>IF([2]AIX!I171=0,"",[2]AIX!I171)</f>
        <v/>
      </c>
      <c r="X169" s="17" t="str">
        <f t="shared" si="46"/>
        <v/>
      </c>
      <c r="AJ169" s="39"/>
      <c r="AL169" s="5">
        <v>46188</v>
      </c>
      <c r="AM169" s="24">
        <f>IF([1]AIX!J170=0,"",[1]AIX!J170)</f>
        <v>971</v>
      </c>
      <c r="AN169" s="22">
        <f t="shared" ref="AN169:AN232" si="55">IF(AO168="","",AM169)</f>
        <v>971</v>
      </c>
      <c r="AO169" s="21" t="str">
        <f>IF([2]AIX!J171=0,"",[2]AIX!J171)</f>
        <v/>
      </c>
      <c r="AP169" s="17" t="str">
        <f t="shared" si="48"/>
        <v/>
      </c>
      <c r="BB169" s="39"/>
      <c r="BD169" s="5">
        <v>46188</v>
      </c>
      <c r="BE169" s="43">
        <f t="shared" si="51"/>
        <v>17.953995880535533</v>
      </c>
      <c r="BF169" s="22">
        <f t="shared" ref="BF169:BF232" si="56">IF(BG168="","",BE169)</f>
        <v>17.953995880535533</v>
      </c>
      <c r="BG169" s="41" t="str">
        <f t="shared" si="52"/>
        <v/>
      </c>
      <c r="BH169" s="17" t="str">
        <f t="shared" si="50"/>
        <v/>
      </c>
      <c r="BT169" s="39"/>
    </row>
    <row r="170" spans="2:72">
      <c r="B170" s="5">
        <v>46189</v>
      </c>
      <c r="C170" s="21">
        <f>IF([1]AIX!H171=0,"",[1]AIX!H171)</f>
        <v>11506.69</v>
      </c>
      <c r="D170" s="22" t="str">
        <f t="shared" si="53"/>
        <v/>
      </c>
      <c r="E170" s="23" t="str">
        <f>IF([2]AIX!H172=0,"",[2]AIX!H172)</f>
        <v/>
      </c>
      <c r="F170" s="17" t="str">
        <f t="shared" si="44"/>
        <v/>
      </c>
      <c r="R170" s="39"/>
      <c r="T170" s="5">
        <v>46189</v>
      </c>
      <c r="U170" s="21">
        <f>IF([1]AIX!I171=0,"",[1]AIX!I171)</f>
        <v>11326.17</v>
      </c>
      <c r="V170" s="22" t="str">
        <f t="shared" si="54"/>
        <v/>
      </c>
      <c r="W170" s="23" t="str">
        <f>IF([2]AIX!I172=0,"",[2]AIX!I172)</f>
        <v/>
      </c>
      <c r="X170" s="17" t="str">
        <f t="shared" si="46"/>
        <v/>
      </c>
      <c r="AJ170" s="39"/>
      <c r="AL170" s="5">
        <v>46189</v>
      </c>
      <c r="AM170" s="21">
        <f>IF([1]AIX!J171=0,"",[1]AIX!J171)</f>
        <v>766</v>
      </c>
      <c r="AN170" s="22" t="str">
        <f t="shared" si="55"/>
        <v/>
      </c>
      <c r="AO170" s="23" t="str">
        <f>IF([2]AIX!J172=0,"",[2]AIX!J172)</f>
        <v/>
      </c>
      <c r="AP170" s="17" t="str">
        <f t="shared" si="48"/>
        <v/>
      </c>
      <c r="BB170" s="39"/>
      <c r="BD170" s="5">
        <v>46189</v>
      </c>
      <c r="BE170" s="41">
        <f t="shared" si="51"/>
        <v>15.021788511749348</v>
      </c>
      <c r="BF170" s="22" t="str">
        <f t="shared" si="56"/>
        <v/>
      </c>
      <c r="BG170" s="42" t="str">
        <f t="shared" si="52"/>
        <v/>
      </c>
      <c r="BH170" s="17" t="str">
        <f t="shared" si="50"/>
        <v/>
      </c>
      <c r="BT170" s="39"/>
    </row>
    <row r="171" spans="2:72">
      <c r="B171" s="5">
        <v>46190</v>
      </c>
      <c r="C171" s="23">
        <f>IF([1]AIX!H172=0,"",[1]AIX!H172)</f>
        <v>13520.88</v>
      </c>
      <c r="D171" s="22" t="str">
        <f t="shared" si="53"/>
        <v/>
      </c>
      <c r="E171" s="23" t="str">
        <f>IF([2]AIX!H173=0,"",[2]AIX!H173)</f>
        <v/>
      </c>
      <c r="F171" s="17" t="str">
        <f t="shared" si="44"/>
        <v/>
      </c>
      <c r="R171" s="39"/>
      <c r="T171" s="5">
        <v>46190</v>
      </c>
      <c r="U171" s="23">
        <f>IF([1]AIX!I172=0,"",[1]AIX!I172)</f>
        <v>13265.73</v>
      </c>
      <c r="V171" s="22" t="str">
        <f t="shared" si="54"/>
        <v/>
      </c>
      <c r="W171" s="23" t="str">
        <f>IF([2]AIX!I173=0,"",[2]AIX!I173)</f>
        <v/>
      </c>
      <c r="X171" s="17" t="str">
        <f t="shared" si="46"/>
        <v/>
      </c>
      <c r="AJ171" s="39"/>
      <c r="AL171" s="5">
        <v>46190</v>
      </c>
      <c r="AM171" s="23">
        <f>IF([1]AIX!J172=0,"",[1]AIX!J172)</f>
        <v>921</v>
      </c>
      <c r="AN171" s="22" t="str">
        <f t="shared" si="55"/>
        <v/>
      </c>
      <c r="AO171" s="23" t="str">
        <f>IF([2]AIX!J173=0,"",[2]AIX!J173)</f>
        <v/>
      </c>
      <c r="AP171" s="17" t="str">
        <f t="shared" si="48"/>
        <v/>
      </c>
      <c r="BB171" s="39"/>
      <c r="BD171" s="5">
        <v>46190</v>
      </c>
      <c r="BE171" s="42">
        <f t="shared" si="51"/>
        <v>14.680651465798045</v>
      </c>
      <c r="BF171" s="22" t="str">
        <f t="shared" si="56"/>
        <v/>
      </c>
      <c r="BG171" s="42" t="str">
        <f t="shared" si="52"/>
        <v/>
      </c>
      <c r="BH171" s="17" t="str">
        <f t="shared" si="50"/>
        <v/>
      </c>
      <c r="BT171" s="39"/>
    </row>
    <row r="172" spans="2:72">
      <c r="B172" s="5">
        <v>46191</v>
      </c>
      <c r="C172" s="23">
        <f>IF([1]AIX!H173=0,"",[1]AIX!H173)</f>
        <v>15311.1</v>
      </c>
      <c r="D172" s="22" t="str">
        <f t="shared" si="53"/>
        <v/>
      </c>
      <c r="E172" s="23" t="str">
        <f>IF([2]AIX!H174=0,"",[2]AIX!H174)</f>
        <v/>
      </c>
      <c r="F172" s="17" t="str">
        <f t="shared" si="44"/>
        <v/>
      </c>
      <c r="R172" s="39"/>
      <c r="T172" s="5">
        <v>46191</v>
      </c>
      <c r="U172" s="23">
        <f>IF([1]AIX!I173=0,"",[1]AIX!I173)</f>
        <v>14982.97</v>
      </c>
      <c r="V172" s="22" t="str">
        <f t="shared" si="54"/>
        <v/>
      </c>
      <c r="W172" s="23" t="str">
        <f>IF([2]AIX!I174=0,"",[2]AIX!I174)</f>
        <v/>
      </c>
      <c r="X172" s="17" t="str">
        <f t="shared" si="46"/>
        <v/>
      </c>
      <c r="AJ172" s="39"/>
      <c r="AL172" s="5">
        <v>46191</v>
      </c>
      <c r="AM172" s="23">
        <f>IF([1]AIX!J173=0,"",[1]AIX!J173)</f>
        <v>1065</v>
      </c>
      <c r="AN172" s="22" t="str">
        <f t="shared" si="55"/>
        <v/>
      </c>
      <c r="AO172" s="23" t="str">
        <f>IF([2]AIX!J174=0,"",[2]AIX!J174)</f>
        <v/>
      </c>
      <c r="AP172" s="17" t="str">
        <f t="shared" si="48"/>
        <v/>
      </c>
      <c r="BB172" s="39"/>
      <c r="BD172" s="5">
        <v>46191</v>
      </c>
      <c r="BE172" s="42">
        <f t="shared" si="51"/>
        <v>14.376619718309859</v>
      </c>
      <c r="BF172" s="22" t="str">
        <f t="shared" si="56"/>
        <v/>
      </c>
      <c r="BG172" s="42" t="str">
        <f t="shared" si="52"/>
        <v/>
      </c>
      <c r="BH172" s="17" t="str">
        <f t="shared" si="50"/>
        <v/>
      </c>
      <c r="BT172" s="39"/>
    </row>
    <row r="173" spans="2:72">
      <c r="B173" s="5">
        <v>46192</v>
      </c>
      <c r="C173" s="23">
        <f>IF([1]AIX!H174=0,"",[1]AIX!H174)</f>
        <v>15254.68</v>
      </c>
      <c r="D173" s="22" t="str">
        <f t="shared" si="53"/>
        <v/>
      </c>
      <c r="E173" s="23" t="str">
        <f>IF([2]AIX!H175=0,"",[2]AIX!H175)</f>
        <v/>
      </c>
      <c r="F173" s="17" t="str">
        <f t="shared" si="44"/>
        <v/>
      </c>
      <c r="R173" s="39"/>
      <c r="T173" s="5">
        <v>46192</v>
      </c>
      <c r="U173" s="23">
        <f>IF([1]AIX!I174=0,"",[1]AIX!I174)</f>
        <v>14976.19</v>
      </c>
      <c r="V173" s="22" t="str">
        <f t="shared" si="54"/>
        <v/>
      </c>
      <c r="W173" s="23" t="str">
        <f>IF([2]AIX!I175=0,"",[2]AIX!I175)</f>
        <v/>
      </c>
      <c r="X173" s="17" t="str">
        <f t="shared" si="46"/>
        <v/>
      </c>
      <c r="AJ173" s="39"/>
      <c r="AL173" s="5">
        <v>46192</v>
      </c>
      <c r="AM173" s="23">
        <f>IF([1]AIX!J174=0,"",[1]AIX!J174)</f>
        <v>1080</v>
      </c>
      <c r="AN173" s="22" t="str">
        <f t="shared" si="55"/>
        <v/>
      </c>
      <c r="AO173" s="23" t="str">
        <f>IF([2]AIX!J175=0,"",[2]AIX!J175)</f>
        <v/>
      </c>
      <c r="AP173" s="17" t="str">
        <f t="shared" si="48"/>
        <v/>
      </c>
      <c r="BB173" s="39"/>
      <c r="BD173" s="5">
        <v>46192</v>
      </c>
      <c r="BE173" s="42">
        <f t="shared" si="51"/>
        <v>14.124703703703704</v>
      </c>
      <c r="BF173" s="22" t="str">
        <f t="shared" si="56"/>
        <v/>
      </c>
      <c r="BG173" s="42" t="str">
        <f t="shared" si="52"/>
        <v/>
      </c>
      <c r="BH173" s="17" t="str">
        <f t="shared" si="50"/>
        <v/>
      </c>
      <c r="BT173" s="39"/>
    </row>
    <row r="174" spans="2:72">
      <c r="B174" s="5">
        <v>46193</v>
      </c>
      <c r="C174" s="23">
        <f>IF([1]AIX!H175=0,"",[1]AIX!H175)</f>
        <v>18777.599999999999</v>
      </c>
      <c r="D174" s="22" t="str">
        <f t="shared" si="53"/>
        <v/>
      </c>
      <c r="E174" s="23" t="str">
        <f>IF([2]AIX!H176=0,"",[2]AIX!H176)</f>
        <v/>
      </c>
      <c r="F174" s="17" t="str">
        <f t="shared" si="44"/>
        <v/>
      </c>
      <c r="R174" s="39"/>
      <c r="T174" s="5">
        <v>46193</v>
      </c>
      <c r="U174" s="23">
        <f>IF([1]AIX!I175=0,"",[1]AIX!I175)</f>
        <v>18459.2</v>
      </c>
      <c r="V174" s="22" t="str">
        <f t="shared" si="54"/>
        <v/>
      </c>
      <c r="W174" s="23" t="str">
        <f>IF([2]AIX!I176=0,"",[2]AIX!I176)</f>
        <v/>
      </c>
      <c r="X174" s="17" t="str">
        <f t="shared" si="46"/>
        <v/>
      </c>
      <c r="AJ174" s="39"/>
      <c r="AL174" s="5">
        <v>46193</v>
      </c>
      <c r="AM174" s="23">
        <f>IF([1]AIX!J175=0,"",[1]AIX!J175)</f>
        <v>1215</v>
      </c>
      <c r="AN174" s="22" t="str">
        <f t="shared" si="55"/>
        <v/>
      </c>
      <c r="AO174" s="23" t="str">
        <f>IF([2]AIX!J176=0,"",[2]AIX!J176)</f>
        <v/>
      </c>
      <c r="AP174" s="17" t="str">
        <f t="shared" si="48"/>
        <v/>
      </c>
      <c r="BB174" s="39"/>
      <c r="BD174" s="5">
        <v>46193</v>
      </c>
      <c r="BE174" s="42">
        <f t="shared" si="51"/>
        <v>15.454814814814814</v>
      </c>
      <c r="BF174" s="22" t="str">
        <f t="shared" si="56"/>
        <v/>
      </c>
      <c r="BG174" s="42" t="str">
        <f t="shared" si="52"/>
        <v/>
      </c>
      <c r="BH174" s="17" t="str">
        <f t="shared" si="50"/>
        <v/>
      </c>
      <c r="BT174" s="39"/>
    </row>
    <row r="175" spans="2:72">
      <c r="B175" s="5">
        <v>46194</v>
      </c>
      <c r="C175" s="23">
        <f>IF([1]AIX!H176=0,"",[1]AIX!H176)</f>
        <v>20647.87</v>
      </c>
      <c r="D175" s="22" t="str">
        <f t="shared" si="53"/>
        <v/>
      </c>
      <c r="E175" s="24" t="str">
        <f>IF([2]AIX!H177=0,"",[2]AIX!H177)</f>
        <v/>
      </c>
      <c r="F175" s="17" t="str">
        <f t="shared" si="44"/>
        <v/>
      </c>
      <c r="R175" s="39"/>
      <c r="T175" s="5">
        <v>46194</v>
      </c>
      <c r="U175" s="23">
        <f>IF([1]AIX!I176=0,"",[1]AIX!I176)</f>
        <v>20277.45</v>
      </c>
      <c r="V175" s="22" t="str">
        <f t="shared" si="54"/>
        <v/>
      </c>
      <c r="W175" s="24" t="str">
        <f>IF([2]AIX!I177=0,"",[2]AIX!I177)</f>
        <v/>
      </c>
      <c r="X175" s="17" t="str">
        <f t="shared" si="46"/>
        <v/>
      </c>
      <c r="AJ175" s="39"/>
      <c r="AL175" s="5">
        <v>46194</v>
      </c>
      <c r="AM175" s="23">
        <f>IF([1]AIX!J176=0,"",[1]AIX!J176)</f>
        <v>1303</v>
      </c>
      <c r="AN175" s="22" t="str">
        <f t="shared" si="55"/>
        <v/>
      </c>
      <c r="AO175" s="24" t="str">
        <f>IF([2]AIX!J177=0,"",[2]AIX!J177)</f>
        <v/>
      </c>
      <c r="AP175" s="17" t="str">
        <f t="shared" si="48"/>
        <v/>
      </c>
      <c r="BB175" s="39"/>
      <c r="BD175" s="5">
        <v>46194</v>
      </c>
      <c r="BE175" s="42">
        <f t="shared" si="51"/>
        <v>15.846408288564849</v>
      </c>
      <c r="BF175" s="22" t="str">
        <f t="shared" si="56"/>
        <v/>
      </c>
      <c r="BG175" s="43" t="str">
        <f t="shared" si="52"/>
        <v/>
      </c>
      <c r="BH175" s="17" t="str">
        <f t="shared" si="50"/>
        <v/>
      </c>
      <c r="BT175" s="39"/>
    </row>
    <row r="176" spans="2:72">
      <c r="B176" s="5">
        <v>46195</v>
      </c>
      <c r="C176" s="24">
        <f>IF([1]AIX!H177=0,"",[1]AIX!H177)</f>
        <v>24704.98</v>
      </c>
      <c r="D176" s="22" t="str">
        <f t="shared" si="53"/>
        <v/>
      </c>
      <c r="E176" s="21" t="str">
        <f>IF([2]AIX!H178=0,"",[2]AIX!H178)</f>
        <v/>
      </c>
      <c r="F176" s="17" t="str">
        <f t="shared" si="44"/>
        <v/>
      </c>
      <c r="R176" s="39"/>
      <c r="T176" s="5">
        <v>46195</v>
      </c>
      <c r="U176" s="24">
        <f>IF([1]AIX!I177=0,"",[1]AIX!I177)</f>
        <v>24348.86</v>
      </c>
      <c r="V176" s="22" t="str">
        <f t="shared" si="54"/>
        <v/>
      </c>
      <c r="W176" s="21" t="str">
        <f>IF([2]AIX!I178=0,"",[2]AIX!I178)</f>
        <v/>
      </c>
      <c r="X176" s="17" t="str">
        <f t="shared" si="46"/>
        <v/>
      </c>
      <c r="AJ176" s="39"/>
      <c r="AL176" s="5">
        <v>46195</v>
      </c>
      <c r="AM176" s="24">
        <f>IF([1]AIX!J177=0,"",[1]AIX!J177)</f>
        <v>1532</v>
      </c>
      <c r="AN176" s="22" t="str">
        <f t="shared" si="55"/>
        <v/>
      </c>
      <c r="AO176" s="21" t="str">
        <f>IF([2]AIX!J178=0,"",[2]AIX!J178)</f>
        <v/>
      </c>
      <c r="AP176" s="17" t="str">
        <f t="shared" si="48"/>
        <v/>
      </c>
      <c r="BB176" s="39"/>
      <c r="BD176" s="5">
        <v>46195</v>
      </c>
      <c r="BE176" s="43">
        <f t="shared" si="51"/>
        <v>16.125966057441254</v>
      </c>
      <c r="BF176" s="22" t="str">
        <f t="shared" si="56"/>
        <v/>
      </c>
      <c r="BG176" s="41" t="str">
        <f t="shared" si="52"/>
        <v/>
      </c>
      <c r="BH176" s="17" t="str">
        <f t="shared" si="50"/>
        <v/>
      </c>
      <c r="BT176" s="39"/>
    </row>
    <row r="177" spans="2:72">
      <c r="B177" s="5">
        <v>46196</v>
      </c>
      <c r="C177" s="21">
        <f>IF([1]AIX!H178=0,"",[1]AIX!H178)</f>
        <v>12536.16</v>
      </c>
      <c r="D177" s="22" t="str">
        <f t="shared" si="53"/>
        <v/>
      </c>
      <c r="E177" s="23" t="str">
        <f>IF([2]AIX!H179=0,"",[2]AIX!H179)</f>
        <v/>
      </c>
      <c r="F177" s="17" t="str">
        <f t="shared" si="44"/>
        <v/>
      </c>
      <c r="R177" s="39"/>
      <c r="T177" s="5">
        <v>46196</v>
      </c>
      <c r="U177" s="21">
        <f>IF([1]AIX!I178=0,"",[1]AIX!I178)</f>
        <v>12381.14</v>
      </c>
      <c r="V177" s="22" t="str">
        <f t="shared" si="54"/>
        <v/>
      </c>
      <c r="W177" s="23" t="str">
        <f>IF([2]AIX!I179=0,"",[2]AIX!I179)</f>
        <v/>
      </c>
      <c r="X177" s="17" t="str">
        <f t="shared" si="46"/>
        <v/>
      </c>
      <c r="AJ177" s="39"/>
      <c r="AL177" s="5">
        <v>46196</v>
      </c>
      <c r="AM177" s="21">
        <f>IF([1]AIX!J178=0,"",[1]AIX!J178)</f>
        <v>859</v>
      </c>
      <c r="AN177" s="22" t="str">
        <f t="shared" si="55"/>
        <v/>
      </c>
      <c r="AO177" s="23" t="str">
        <f>IF([2]AIX!J179=0,"",[2]AIX!J179)</f>
        <v/>
      </c>
      <c r="AP177" s="17" t="str">
        <f t="shared" si="48"/>
        <v/>
      </c>
      <c r="BB177" s="39"/>
      <c r="BD177" s="5">
        <v>46196</v>
      </c>
      <c r="BE177" s="41">
        <f t="shared" si="51"/>
        <v>14.593899883585564</v>
      </c>
      <c r="BF177" s="22" t="str">
        <f t="shared" si="56"/>
        <v/>
      </c>
      <c r="BG177" s="42" t="str">
        <f t="shared" si="52"/>
        <v/>
      </c>
      <c r="BH177" s="17" t="str">
        <f t="shared" si="50"/>
        <v/>
      </c>
      <c r="BT177" s="39"/>
    </row>
    <row r="178" spans="2:72">
      <c r="B178" s="5">
        <v>46197</v>
      </c>
      <c r="C178" s="23">
        <f>IF([1]AIX!H179=0,"",[1]AIX!H179)</f>
        <v>14256.94</v>
      </c>
      <c r="D178" s="22" t="str">
        <f t="shared" si="53"/>
        <v/>
      </c>
      <c r="E178" s="23" t="str">
        <f>IF([2]AIX!H180=0,"",[2]AIX!H180)</f>
        <v/>
      </c>
      <c r="F178" s="17" t="str">
        <f t="shared" si="44"/>
        <v/>
      </c>
      <c r="R178" s="39"/>
      <c r="T178" s="5">
        <v>46197</v>
      </c>
      <c r="U178" s="23">
        <f>IF([1]AIX!I179=0,"",[1]AIX!I179)</f>
        <v>14027.27</v>
      </c>
      <c r="V178" s="22" t="str">
        <f t="shared" si="54"/>
        <v/>
      </c>
      <c r="W178" s="23" t="str">
        <f>IF([2]AIX!I180=0,"",[2]AIX!I180)</f>
        <v/>
      </c>
      <c r="X178" s="17" t="str">
        <f t="shared" si="46"/>
        <v/>
      </c>
      <c r="AJ178" s="39"/>
      <c r="AL178" s="5">
        <v>46197</v>
      </c>
      <c r="AM178" s="23">
        <f>IF([1]AIX!J179=0,"",[1]AIX!J179)</f>
        <v>917</v>
      </c>
      <c r="AN178" s="22" t="str">
        <f t="shared" si="55"/>
        <v/>
      </c>
      <c r="AO178" s="23" t="str">
        <f>IF([2]AIX!J180=0,"",[2]AIX!J180)</f>
        <v/>
      </c>
      <c r="AP178" s="17" t="str">
        <f t="shared" si="48"/>
        <v/>
      </c>
      <c r="BB178" s="39"/>
      <c r="BD178" s="5">
        <v>46197</v>
      </c>
      <c r="BE178" s="42">
        <f t="shared" si="51"/>
        <v>15.547371864776446</v>
      </c>
      <c r="BF178" s="22" t="str">
        <f t="shared" si="56"/>
        <v/>
      </c>
      <c r="BG178" s="42" t="str">
        <f t="shared" si="52"/>
        <v/>
      </c>
      <c r="BH178" s="17" t="str">
        <f t="shared" si="50"/>
        <v/>
      </c>
      <c r="BT178" s="39"/>
    </row>
    <row r="179" spans="2:72">
      <c r="B179" s="5">
        <v>46198</v>
      </c>
      <c r="C179" s="23">
        <f>IF([1]AIX!H180=0,"",[1]AIX!H180)</f>
        <v>17572.59</v>
      </c>
      <c r="D179" s="22" t="str">
        <f t="shared" si="53"/>
        <v/>
      </c>
      <c r="E179" s="23" t="str">
        <f>IF([2]AIX!H181=0,"",[2]AIX!H181)</f>
        <v/>
      </c>
      <c r="F179" s="17" t="str">
        <f t="shared" si="44"/>
        <v/>
      </c>
      <c r="R179" s="39"/>
      <c r="T179" s="5">
        <v>46198</v>
      </c>
      <c r="U179" s="23">
        <f>IF([1]AIX!I180=0,"",[1]AIX!I180)</f>
        <v>17210.64</v>
      </c>
      <c r="V179" s="22" t="str">
        <f t="shared" si="54"/>
        <v/>
      </c>
      <c r="W179" s="23" t="str">
        <f>IF([2]AIX!I181=0,"",[2]AIX!I181)</f>
        <v/>
      </c>
      <c r="X179" s="17" t="str">
        <f t="shared" si="46"/>
        <v/>
      </c>
      <c r="AJ179" s="39"/>
      <c r="AL179" s="5">
        <v>46198</v>
      </c>
      <c r="AM179" s="23">
        <f>IF([1]AIX!J180=0,"",[1]AIX!J180)</f>
        <v>1181</v>
      </c>
      <c r="AN179" s="22" t="str">
        <f t="shared" si="55"/>
        <v/>
      </c>
      <c r="AO179" s="23" t="str">
        <f>IF([2]AIX!J181=0,"",[2]AIX!J181)</f>
        <v/>
      </c>
      <c r="AP179" s="17" t="str">
        <f t="shared" si="48"/>
        <v/>
      </c>
      <c r="BB179" s="39"/>
      <c r="BD179" s="5">
        <v>46198</v>
      </c>
      <c r="BE179" s="42">
        <f t="shared" si="51"/>
        <v>14.879415749364945</v>
      </c>
      <c r="BF179" s="22" t="str">
        <f t="shared" si="56"/>
        <v/>
      </c>
      <c r="BG179" s="42" t="str">
        <f t="shared" si="52"/>
        <v/>
      </c>
      <c r="BH179" s="17" t="str">
        <f t="shared" si="50"/>
        <v/>
      </c>
      <c r="BT179" s="39"/>
    </row>
    <row r="180" spans="2:72">
      <c r="B180" s="5">
        <v>46199</v>
      </c>
      <c r="C180" s="23">
        <f>IF([1]AIX!H181=0,"",[1]AIX!H181)</f>
        <v>16631.990000000002</v>
      </c>
      <c r="D180" s="22" t="str">
        <f t="shared" si="53"/>
        <v/>
      </c>
      <c r="E180" s="23" t="str">
        <f>IF([2]AIX!H182=0,"",[2]AIX!H182)</f>
        <v/>
      </c>
      <c r="F180" s="17" t="str">
        <f t="shared" si="44"/>
        <v/>
      </c>
      <c r="R180" s="39"/>
      <c r="T180" s="5">
        <v>46199</v>
      </c>
      <c r="U180" s="23">
        <f>IF([1]AIX!I181=0,"",[1]AIX!I181)</f>
        <v>16388.669999999998</v>
      </c>
      <c r="V180" s="22" t="str">
        <f t="shared" si="54"/>
        <v/>
      </c>
      <c r="W180" s="23" t="str">
        <f>IF([2]AIX!I182=0,"",[2]AIX!I182)</f>
        <v/>
      </c>
      <c r="X180" s="17" t="str">
        <f t="shared" si="46"/>
        <v/>
      </c>
      <c r="AJ180" s="39"/>
      <c r="AL180" s="5">
        <v>46199</v>
      </c>
      <c r="AM180" s="23">
        <f>IF([1]AIX!J181=0,"",[1]AIX!J181)</f>
        <v>1153</v>
      </c>
      <c r="AN180" s="22" t="str">
        <f t="shared" si="55"/>
        <v/>
      </c>
      <c r="AO180" s="23" t="str">
        <f>IF([2]AIX!J182=0,"",[2]AIX!J182)</f>
        <v/>
      </c>
      <c r="AP180" s="17" t="str">
        <f t="shared" si="48"/>
        <v/>
      </c>
      <c r="BB180" s="39"/>
      <c r="BD180" s="5">
        <v>46199</v>
      </c>
      <c r="BE180" s="42">
        <f t="shared" si="51"/>
        <v>14.424969644405898</v>
      </c>
      <c r="BF180" s="22" t="str">
        <f t="shared" si="56"/>
        <v/>
      </c>
      <c r="BG180" s="42" t="str">
        <f t="shared" si="52"/>
        <v/>
      </c>
      <c r="BH180" s="17" t="str">
        <f t="shared" si="50"/>
        <v/>
      </c>
      <c r="BT180" s="39"/>
    </row>
    <row r="181" spans="2:72">
      <c r="B181" s="5">
        <v>46200</v>
      </c>
      <c r="C181" s="23">
        <f>IF([1]AIX!H182=0,"",[1]AIX!H182)</f>
        <v>19171.79</v>
      </c>
      <c r="D181" s="22" t="str">
        <f t="shared" si="53"/>
        <v/>
      </c>
      <c r="E181" s="23" t="str">
        <f>IF([2]AIX!H183=0,"",[2]AIX!H183)</f>
        <v/>
      </c>
      <c r="F181" s="17" t="str">
        <f t="shared" si="44"/>
        <v/>
      </c>
      <c r="R181" s="39"/>
      <c r="T181" s="5">
        <v>46200</v>
      </c>
      <c r="U181" s="23">
        <f>IF([1]AIX!I182=0,"",[1]AIX!I182)</f>
        <v>18960.45</v>
      </c>
      <c r="V181" s="22" t="str">
        <f t="shared" si="54"/>
        <v/>
      </c>
      <c r="W181" s="23" t="str">
        <f>IF([2]AIX!I183=0,"",[2]AIX!I183)</f>
        <v/>
      </c>
      <c r="X181" s="17" t="str">
        <f t="shared" si="46"/>
        <v/>
      </c>
      <c r="AJ181" s="39"/>
      <c r="AL181" s="5">
        <v>46200</v>
      </c>
      <c r="AM181" s="23">
        <f>IF([1]AIX!J182=0,"",[1]AIX!J182)</f>
        <v>1238</v>
      </c>
      <c r="AN181" s="22" t="str">
        <f t="shared" si="55"/>
        <v/>
      </c>
      <c r="AO181" s="23" t="str">
        <f>IF([2]AIX!J183=0,"",[2]AIX!J183)</f>
        <v/>
      </c>
      <c r="AP181" s="17" t="str">
        <f t="shared" si="48"/>
        <v/>
      </c>
      <c r="BB181" s="39"/>
      <c r="BD181" s="5">
        <v>46200</v>
      </c>
      <c r="BE181" s="42">
        <f t="shared" si="51"/>
        <v>15.486098546042005</v>
      </c>
      <c r="BF181" s="22" t="str">
        <f t="shared" si="56"/>
        <v/>
      </c>
      <c r="BG181" s="42" t="str">
        <f t="shared" si="52"/>
        <v/>
      </c>
      <c r="BH181" s="17" t="str">
        <f t="shared" si="50"/>
        <v/>
      </c>
      <c r="BT181" s="39"/>
    </row>
    <row r="182" spans="2:72">
      <c r="B182" s="5">
        <v>46201</v>
      </c>
      <c r="C182" s="23">
        <f>IF([1]AIX!H183=0,"",[1]AIX!H183)</f>
        <v>21120.35</v>
      </c>
      <c r="D182" s="22" t="str">
        <f t="shared" si="53"/>
        <v/>
      </c>
      <c r="E182" s="24" t="str">
        <f>IF([2]AIX!H184=0,"",[2]AIX!H184)</f>
        <v/>
      </c>
      <c r="F182" s="17" t="str">
        <f t="shared" si="44"/>
        <v/>
      </c>
      <c r="R182" s="39"/>
      <c r="T182" s="5">
        <v>46201</v>
      </c>
      <c r="U182" s="23">
        <f>IF([1]AIX!I183=0,"",[1]AIX!I183)</f>
        <v>20720.169999999998</v>
      </c>
      <c r="V182" s="22" t="str">
        <f t="shared" si="54"/>
        <v/>
      </c>
      <c r="W182" s="24" t="str">
        <f>IF([2]AIX!I184=0,"",[2]AIX!I184)</f>
        <v/>
      </c>
      <c r="X182" s="17" t="str">
        <f t="shared" si="46"/>
        <v/>
      </c>
      <c r="AJ182" s="39"/>
      <c r="AL182" s="5">
        <v>46201</v>
      </c>
      <c r="AM182" s="23">
        <f>IF([1]AIX!J183=0,"",[1]AIX!J183)</f>
        <v>1312</v>
      </c>
      <c r="AN182" s="22" t="str">
        <f t="shared" si="55"/>
        <v/>
      </c>
      <c r="AO182" s="24" t="str">
        <f>IF([2]AIX!J184=0,"",[2]AIX!J184)</f>
        <v/>
      </c>
      <c r="AP182" s="17" t="str">
        <f t="shared" si="48"/>
        <v/>
      </c>
      <c r="BB182" s="39"/>
      <c r="BD182" s="5">
        <v>46201</v>
      </c>
      <c r="BE182" s="42">
        <f t="shared" si="51"/>
        <v>16.097827743902439</v>
      </c>
      <c r="BF182" s="22" t="str">
        <f t="shared" si="56"/>
        <v/>
      </c>
      <c r="BG182" s="43" t="str">
        <f t="shared" si="52"/>
        <v/>
      </c>
      <c r="BH182" s="17" t="str">
        <f t="shared" si="50"/>
        <v/>
      </c>
      <c r="BT182" s="39"/>
    </row>
    <row r="183" spans="2:72">
      <c r="B183" s="5">
        <v>46202</v>
      </c>
      <c r="C183" s="24">
        <f>IF([1]AIX!H184=0,"",[1]AIX!H184)</f>
        <v>25176.97</v>
      </c>
      <c r="D183" s="22" t="str">
        <f t="shared" si="53"/>
        <v/>
      </c>
      <c r="E183" s="21" t="str">
        <f>IF([2]AIX!H185=0,"",[2]AIX!H185)</f>
        <v/>
      </c>
      <c r="F183" s="17" t="str">
        <f t="shared" si="44"/>
        <v/>
      </c>
      <c r="R183" s="39"/>
      <c r="T183" s="5">
        <v>46202</v>
      </c>
      <c r="U183" s="24">
        <f>IF([1]AIX!I184=0,"",[1]AIX!I184)</f>
        <v>24798.69</v>
      </c>
      <c r="V183" s="22" t="str">
        <f t="shared" si="54"/>
        <v/>
      </c>
      <c r="W183" s="21" t="str">
        <f>IF([2]AIX!I185=0,"",[2]AIX!I185)</f>
        <v/>
      </c>
      <c r="X183" s="17" t="str">
        <f t="shared" si="46"/>
        <v/>
      </c>
      <c r="AJ183" s="39"/>
      <c r="AL183" s="5">
        <v>46202</v>
      </c>
      <c r="AM183" s="24">
        <f>IF([1]AIX!J184=0,"",[1]AIX!J184)</f>
        <v>1440</v>
      </c>
      <c r="AN183" s="22" t="str">
        <f t="shared" si="55"/>
        <v/>
      </c>
      <c r="AO183" s="21" t="str">
        <f>IF([2]AIX!J185=0,"",[2]AIX!J185)</f>
        <v/>
      </c>
      <c r="AP183" s="17" t="str">
        <f t="shared" si="48"/>
        <v/>
      </c>
      <c r="BB183" s="39"/>
      <c r="BD183" s="5">
        <v>46202</v>
      </c>
      <c r="BE183" s="43">
        <f t="shared" si="51"/>
        <v>17.484006944444445</v>
      </c>
      <c r="BF183" s="22" t="str">
        <f t="shared" si="56"/>
        <v/>
      </c>
      <c r="BG183" s="41" t="str">
        <f t="shared" si="52"/>
        <v/>
      </c>
      <c r="BH183" s="17" t="str">
        <f t="shared" si="50"/>
        <v/>
      </c>
      <c r="BT183" s="39"/>
    </row>
    <row r="184" spans="2:72">
      <c r="B184" s="5">
        <v>46203</v>
      </c>
      <c r="C184" s="21">
        <f>IF([1]AIX!H185=0,"",[1]AIX!H185)</f>
        <v>16807.080000000002</v>
      </c>
      <c r="D184" s="22" t="str">
        <f t="shared" si="53"/>
        <v/>
      </c>
      <c r="E184" s="23" t="str">
        <f>IF([2]AIX!H186=0,"",[2]AIX!H186)</f>
        <v/>
      </c>
      <c r="F184" s="17" t="str">
        <f t="shared" si="44"/>
        <v/>
      </c>
      <c r="R184" s="39"/>
      <c r="T184" s="5">
        <v>46203</v>
      </c>
      <c r="U184" s="21">
        <f>IF([1]AIX!I185=0,"",[1]AIX!I185)</f>
        <v>16600.689999999999</v>
      </c>
      <c r="V184" s="22" t="str">
        <f t="shared" si="54"/>
        <v/>
      </c>
      <c r="W184" s="23" t="str">
        <f>IF([2]AIX!I186=0,"",[2]AIX!I186)</f>
        <v/>
      </c>
      <c r="X184" s="17" t="str">
        <f t="shared" si="46"/>
        <v/>
      </c>
      <c r="AJ184" s="39"/>
      <c r="AL184" s="5">
        <v>46203</v>
      </c>
      <c r="AM184" s="21">
        <f>IF([1]AIX!J185=0,"",[1]AIX!J185)</f>
        <v>1149</v>
      </c>
      <c r="AN184" s="22" t="str">
        <f t="shared" si="55"/>
        <v/>
      </c>
      <c r="AO184" s="23" t="str">
        <f>IF([2]AIX!J186=0,"",[2]AIX!J186)</f>
        <v/>
      </c>
      <c r="AP184" s="17" t="str">
        <f t="shared" si="48"/>
        <v/>
      </c>
      <c r="BB184" s="39"/>
      <c r="BD184" s="5">
        <v>46203</v>
      </c>
      <c r="BE184" s="41">
        <f t="shared" si="51"/>
        <v>14.627571801566582</v>
      </c>
      <c r="BF184" s="22" t="str">
        <f t="shared" si="56"/>
        <v/>
      </c>
      <c r="BG184" s="42" t="str">
        <f t="shared" si="52"/>
        <v/>
      </c>
      <c r="BH184" s="17" t="str">
        <f t="shared" si="50"/>
        <v/>
      </c>
      <c r="BT184" s="39"/>
    </row>
    <row r="185" spans="2:72">
      <c r="B185" s="5">
        <v>46204</v>
      </c>
      <c r="C185" s="23">
        <f>IF([1]AIX!H186=0,"",[1]AIX!H186)</f>
        <v>17314.669999999998</v>
      </c>
      <c r="D185" s="22" t="str">
        <f t="shared" si="53"/>
        <v/>
      </c>
      <c r="E185" s="23" t="str">
        <f>IF([2]AIX!H187=0,"",[2]AIX!H187)</f>
        <v/>
      </c>
      <c r="F185" s="17" t="str">
        <f t="shared" si="44"/>
        <v/>
      </c>
      <c r="R185" s="39"/>
      <c r="T185" s="5">
        <v>46204</v>
      </c>
      <c r="U185" s="23">
        <f>IF([1]AIX!I186=0,"",[1]AIX!I186)</f>
        <v>17046.66</v>
      </c>
      <c r="V185" s="22" t="str">
        <f t="shared" si="54"/>
        <v/>
      </c>
      <c r="W185" s="23" t="str">
        <f>IF([2]AIX!I187=0,"",[2]AIX!I187)</f>
        <v/>
      </c>
      <c r="X185" s="17" t="str">
        <f t="shared" si="46"/>
        <v/>
      </c>
      <c r="AJ185" s="39"/>
      <c r="AL185" s="5">
        <v>46204</v>
      </c>
      <c r="AM185" s="23">
        <f>IF([1]AIX!J186=0,"",[1]AIX!J186)</f>
        <v>1084</v>
      </c>
      <c r="AN185" s="22" t="str">
        <f t="shared" si="55"/>
        <v/>
      </c>
      <c r="AO185" s="23" t="str">
        <f>IF([2]AIX!J187=0,"",[2]AIX!J187)</f>
        <v/>
      </c>
      <c r="AP185" s="17" t="str">
        <f t="shared" si="48"/>
        <v/>
      </c>
      <c r="BB185" s="39"/>
      <c r="BD185" s="5">
        <v>46204</v>
      </c>
      <c r="BE185" s="42">
        <f t="shared" si="51"/>
        <v>15.972942804428042</v>
      </c>
      <c r="BF185" s="22" t="str">
        <f t="shared" si="56"/>
        <v/>
      </c>
      <c r="BG185" s="42" t="str">
        <f t="shared" si="52"/>
        <v/>
      </c>
      <c r="BH185" s="17" t="str">
        <f t="shared" si="50"/>
        <v/>
      </c>
      <c r="BT185" s="39"/>
    </row>
    <row r="186" spans="2:72">
      <c r="B186" s="5">
        <v>46205</v>
      </c>
      <c r="C186" s="23">
        <f>IF([1]AIX!H187=0,"",[1]AIX!H187)</f>
        <v>19611.169999999998</v>
      </c>
      <c r="D186" s="22" t="str">
        <f t="shared" si="53"/>
        <v/>
      </c>
      <c r="E186" s="23" t="str">
        <f>IF([2]AIX!H188=0,"",[2]AIX!H188)</f>
        <v/>
      </c>
      <c r="F186" s="17" t="str">
        <f t="shared" si="44"/>
        <v/>
      </c>
      <c r="R186" s="39"/>
      <c r="T186" s="5">
        <v>46205</v>
      </c>
      <c r="U186" s="23">
        <f>IF([1]AIX!I187=0,"",[1]AIX!I187)</f>
        <v>19352.8</v>
      </c>
      <c r="V186" s="22" t="str">
        <f t="shared" si="54"/>
        <v/>
      </c>
      <c r="W186" s="23" t="str">
        <f>IF([2]AIX!I188=0,"",[2]AIX!I188)</f>
        <v/>
      </c>
      <c r="X186" s="17" t="str">
        <f t="shared" si="46"/>
        <v/>
      </c>
      <c r="AJ186" s="39"/>
      <c r="AL186" s="5">
        <v>46205</v>
      </c>
      <c r="AM186" s="23">
        <f>IF([1]AIX!J187=0,"",[1]AIX!J187)</f>
        <v>1282</v>
      </c>
      <c r="AN186" s="22" t="str">
        <f t="shared" si="55"/>
        <v/>
      </c>
      <c r="AO186" s="23" t="str">
        <f>IF([2]AIX!J188=0,"",[2]AIX!J188)</f>
        <v/>
      </c>
      <c r="AP186" s="17" t="str">
        <f t="shared" si="48"/>
        <v/>
      </c>
      <c r="BB186" s="39"/>
      <c r="BD186" s="5">
        <v>46205</v>
      </c>
      <c r="BE186" s="42">
        <f t="shared" si="51"/>
        <v>15.297324492979717</v>
      </c>
      <c r="BF186" s="22" t="str">
        <f t="shared" si="56"/>
        <v/>
      </c>
      <c r="BG186" s="42" t="str">
        <f t="shared" si="52"/>
        <v/>
      </c>
      <c r="BH186" s="17" t="str">
        <f t="shared" si="50"/>
        <v/>
      </c>
      <c r="BT186" s="39"/>
    </row>
    <row r="187" spans="2:72">
      <c r="B187" s="5">
        <v>46206</v>
      </c>
      <c r="C187" s="23">
        <f>IF([1]AIX!H188=0,"",[1]AIX!H188)</f>
        <v>20253.310000000001</v>
      </c>
      <c r="D187" s="22" t="str">
        <f t="shared" si="53"/>
        <v/>
      </c>
      <c r="E187" s="23" t="str">
        <f>IF([2]AIX!H189=0,"",[2]AIX!H189)</f>
        <v/>
      </c>
      <c r="F187" s="17" t="str">
        <f t="shared" si="44"/>
        <v/>
      </c>
      <c r="R187" s="39"/>
      <c r="T187" s="5">
        <v>46206</v>
      </c>
      <c r="U187" s="23">
        <f>IF([1]AIX!I188=0,"",[1]AIX!I188)</f>
        <v>19999.77</v>
      </c>
      <c r="V187" s="22" t="str">
        <f t="shared" si="54"/>
        <v/>
      </c>
      <c r="W187" s="23" t="str">
        <f>IF([2]AIX!I189=0,"",[2]AIX!I189)</f>
        <v/>
      </c>
      <c r="X187" s="17" t="str">
        <f t="shared" si="46"/>
        <v/>
      </c>
      <c r="AJ187" s="39"/>
      <c r="AL187" s="5">
        <v>46206</v>
      </c>
      <c r="AM187" s="23">
        <f>IF([1]AIX!J188=0,"",[1]AIX!J188)</f>
        <v>1389</v>
      </c>
      <c r="AN187" s="22" t="str">
        <f t="shared" si="55"/>
        <v/>
      </c>
      <c r="AO187" s="23" t="str">
        <f>IF([2]AIX!J189=0,"",[2]AIX!J189)</f>
        <v/>
      </c>
      <c r="AP187" s="17" t="str">
        <f t="shared" si="48"/>
        <v/>
      </c>
      <c r="BB187" s="39"/>
      <c r="BD187" s="5">
        <v>46206</v>
      </c>
      <c r="BE187" s="42">
        <f t="shared" si="51"/>
        <v>14.581216702663788</v>
      </c>
      <c r="BF187" s="22" t="str">
        <f t="shared" si="56"/>
        <v/>
      </c>
      <c r="BG187" s="42" t="str">
        <f t="shared" si="52"/>
        <v/>
      </c>
      <c r="BH187" s="17" t="str">
        <f t="shared" si="50"/>
        <v/>
      </c>
      <c r="BT187" s="39"/>
    </row>
    <row r="188" spans="2:72">
      <c r="B188" s="5">
        <v>46207</v>
      </c>
      <c r="C188" s="23">
        <f>IF([1]AIX!H189=0,"",[1]AIX!H189)</f>
        <v>23723.25</v>
      </c>
      <c r="D188" s="22" t="str">
        <f t="shared" si="53"/>
        <v/>
      </c>
      <c r="E188" s="23" t="str">
        <f>IF([2]AIX!H190=0,"",[2]AIX!H190)</f>
        <v/>
      </c>
      <c r="F188" s="17" t="str">
        <f t="shared" si="44"/>
        <v/>
      </c>
      <c r="R188" s="39"/>
      <c r="T188" s="5">
        <v>46207</v>
      </c>
      <c r="U188" s="23">
        <f>IF([1]AIX!I189=0,"",[1]AIX!I189)</f>
        <v>23315</v>
      </c>
      <c r="V188" s="22" t="str">
        <f t="shared" si="54"/>
        <v/>
      </c>
      <c r="W188" s="23" t="str">
        <f>IF([2]AIX!I190=0,"",[2]AIX!I190)</f>
        <v/>
      </c>
      <c r="X188" s="17" t="str">
        <f t="shared" si="46"/>
        <v/>
      </c>
      <c r="AJ188" s="39"/>
      <c r="AL188" s="5">
        <v>46207</v>
      </c>
      <c r="AM188" s="23">
        <f>IF([1]AIX!J189=0,"",[1]AIX!J189)</f>
        <v>1364</v>
      </c>
      <c r="AN188" s="22" t="str">
        <f t="shared" si="55"/>
        <v/>
      </c>
      <c r="AO188" s="23" t="str">
        <f>IF([2]AIX!J190=0,"",[2]AIX!J190)</f>
        <v/>
      </c>
      <c r="AP188" s="17" t="str">
        <f t="shared" si="48"/>
        <v/>
      </c>
      <c r="BB188" s="39"/>
      <c r="BD188" s="5">
        <v>46207</v>
      </c>
      <c r="BE188" s="42">
        <f t="shared" si="51"/>
        <v>17.392412023460409</v>
      </c>
      <c r="BF188" s="22" t="str">
        <f t="shared" si="56"/>
        <v/>
      </c>
      <c r="BG188" s="42" t="str">
        <f t="shared" si="52"/>
        <v/>
      </c>
      <c r="BH188" s="17" t="str">
        <f t="shared" si="50"/>
        <v/>
      </c>
      <c r="BT188" s="39"/>
    </row>
    <row r="189" spans="2:72">
      <c r="B189" s="5">
        <v>46208</v>
      </c>
      <c r="C189" s="23">
        <f>IF([1]AIX!H190=0,"",[1]AIX!H190)</f>
        <v>22186.92</v>
      </c>
      <c r="D189" s="22" t="str">
        <f t="shared" si="53"/>
        <v/>
      </c>
      <c r="E189" s="24" t="str">
        <f>IF([2]AIX!H191=0,"",[2]AIX!H191)</f>
        <v/>
      </c>
      <c r="F189" s="17" t="str">
        <f t="shared" si="44"/>
        <v/>
      </c>
      <c r="R189" s="39"/>
      <c r="T189" s="5">
        <v>46208</v>
      </c>
      <c r="U189" s="23">
        <f>IF([1]AIX!I190=0,"",[1]AIX!I190)</f>
        <v>21828.25</v>
      </c>
      <c r="V189" s="22" t="str">
        <f t="shared" si="54"/>
        <v/>
      </c>
      <c r="W189" s="24" t="str">
        <f>IF([2]AIX!I191=0,"",[2]AIX!I191)</f>
        <v/>
      </c>
      <c r="X189" s="17" t="str">
        <f t="shared" si="46"/>
        <v/>
      </c>
      <c r="AJ189" s="39"/>
      <c r="AL189" s="5">
        <v>46208</v>
      </c>
      <c r="AM189" s="23">
        <f>IF([1]AIX!J190=0,"",[1]AIX!J190)</f>
        <v>1268</v>
      </c>
      <c r="AN189" s="22" t="str">
        <f t="shared" si="55"/>
        <v/>
      </c>
      <c r="AO189" s="24" t="str">
        <f>IF([2]AIX!J191=0,"",[2]AIX!J191)</f>
        <v/>
      </c>
      <c r="AP189" s="17" t="str">
        <f t="shared" si="48"/>
        <v/>
      </c>
      <c r="BB189" s="39"/>
      <c r="BD189" s="5">
        <v>46208</v>
      </c>
      <c r="BE189" s="42">
        <f t="shared" si="51"/>
        <v>17.497570977917981</v>
      </c>
      <c r="BF189" s="22" t="str">
        <f t="shared" si="56"/>
        <v/>
      </c>
      <c r="BG189" s="43" t="str">
        <f t="shared" si="52"/>
        <v/>
      </c>
      <c r="BH189" s="17" t="str">
        <f t="shared" si="50"/>
        <v/>
      </c>
      <c r="BT189" s="39"/>
    </row>
    <row r="190" spans="2:72">
      <c r="B190" s="5">
        <v>46209</v>
      </c>
      <c r="C190" s="24">
        <f>IF([1]AIX!H191=0,"",[1]AIX!H191)</f>
        <v>22166.65</v>
      </c>
      <c r="D190" s="22" t="str">
        <f t="shared" si="53"/>
        <v/>
      </c>
      <c r="E190" s="21" t="str">
        <f>IF([2]AIX!H192=0,"",[2]AIX!H192)</f>
        <v/>
      </c>
      <c r="F190" s="17" t="str">
        <f t="shared" si="44"/>
        <v/>
      </c>
      <c r="R190" s="39"/>
      <c r="T190" s="5">
        <v>46209</v>
      </c>
      <c r="U190" s="24">
        <f>IF([1]AIX!I191=0,"",[1]AIX!I191)</f>
        <v>21808.82</v>
      </c>
      <c r="V190" s="22" t="str">
        <f t="shared" si="54"/>
        <v/>
      </c>
      <c r="W190" s="21" t="str">
        <f>IF([2]AIX!I192=0,"",[2]AIX!I192)</f>
        <v/>
      </c>
      <c r="X190" s="17" t="str">
        <f t="shared" si="46"/>
        <v/>
      </c>
      <c r="AJ190" s="39"/>
      <c r="AL190" s="5">
        <v>46209</v>
      </c>
      <c r="AM190" s="24">
        <f>IF([1]AIX!J191=0,"",[1]AIX!J191)</f>
        <v>1157</v>
      </c>
      <c r="AN190" s="22" t="str">
        <f t="shared" si="55"/>
        <v/>
      </c>
      <c r="AO190" s="21" t="str">
        <f>IF([2]AIX!J192=0,"",[2]AIX!J192)</f>
        <v/>
      </c>
      <c r="AP190" s="17" t="str">
        <f t="shared" si="48"/>
        <v/>
      </c>
      <c r="BB190" s="39"/>
      <c r="BD190" s="5">
        <v>46209</v>
      </c>
      <c r="BE190" s="43">
        <f t="shared" si="51"/>
        <v>19.158729472774418</v>
      </c>
      <c r="BF190" s="22" t="str">
        <f t="shared" si="56"/>
        <v/>
      </c>
      <c r="BG190" s="41" t="str">
        <f t="shared" si="52"/>
        <v/>
      </c>
      <c r="BH190" s="17" t="str">
        <f t="shared" si="50"/>
        <v/>
      </c>
      <c r="BT190" s="39"/>
    </row>
    <row r="191" spans="2:72">
      <c r="B191" s="5">
        <v>46210</v>
      </c>
      <c r="C191" s="21">
        <f>IF([1]AIX!H192=0,"",[1]AIX!H192)</f>
        <v>15326.94</v>
      </c>
      <c r="D191" s="22" t="str">
        <f t="shared" si="53"/>
        <v/>
      </c>
      <c r="E191" s="23" t="str">
        <f>IF([2]AIX!H193=0,"",[2]AIX!H193)</f>
        <v/>
      </c>
      <c r="F191" s="17" t="str">
        <f t="shared" si="44"/>
        <v/>
      </c>
      <c r="R191" s="39"/>
      <c r="T191" s="5">
        <v>46210</v>
      </c>
      <c r="U191" s="21">
        <f>IF([1]AIX!I192=0,"",[1]AIX!I192)</f>
        <v>14973.44</v>
      </c>
      <c r="V191" s="22" t="str">
        <f t="shared" si="54"/>
        <v/>
      </c>
      <c r="W191" s="23" t="str">
        <f>IF([2]AIX!I193=0,"",[2]AIX!I193)</f>
        <v/>
      </c>
      <c r="X191" s="17" t="str">
        <f t="shared" si="46"/>
        <v/>
      </c>
      <c r="AJ191" s="39"/>
      <c r="AL191" s="5">
        <v>46210</v>
      </c>
      <c r="AM191" s="21">
        <f>IF([1]AIX!J192=0,"",[1]AIX!J192)</f>
        <v>866</v>
      </c>
      <c r="AN191" s="22" t="str">
        <f t="shared" si="55"/>
        <v/>
      </c>
      <c r="AO191" s="23" t="str">
        <f>IF([2]AIX!J193=0,"",[2]AIX!J193)</f>
        <v/>
      </c>
      <c r="AP191" s="17" t="str">
        <f t="shared" si="48"/>
        <v/>
      </c>
      <c r="BB191" s="39"/>
      <c r="BD191" s="5">
        <v>46210</v>
      </c>
      <c r="BE191" s="41">
        <f t="shared" si="51"/>
        <v>17.698545034642034</v>
      </c>
      <c r="BF191" s="22" t="str">
        <f t="shared" si="56"/>
        <v/>
      </c>
      <c r="BG191" s="42" t="str">
        <f t="shared" si="52"/>
        <v/>
      </c>
      <c r="BH191" s="17" t="str">
        <f t="shared" si="50"/>
        <v/>
      </c>
      <c r="BT191" s="39"/>
    </row>
    <row r="192" spans="2:72">
      <c r="B192" s="5">
        <v>46211</v>
      </c>
      <c r="C192" s="23">
        <f>IF([1]AIX!H193=0,"",[1]AIX!H193)</f>
        <v>15489.25</v>
      </c>
      <c r="D192" s="22" t="str">
        <f t="shared" si="53"/>
        <v/>
      </c>
      <c r="E192" s="23" t="str">
        <f>IF([2]AIX!H194=0,"",[2]AIX!H194)</f>
        <v/>
      </c>
      <c r="F192" s="17" t="str">
        <f t="shared" si="44"/>
        <v/>
      </c>
      <c r="R192" s="39"/>
      <c r="T192" s="5">
        <v>46211</v>
      </c>
      <c r="U192" s="23">
        <f>IF([1]AIX!I193=0,"",[1]AIX!I193)</f>
        <v>15174.35</v>
      </c>
      <c r="V192" s="22" t="str">
        <f t="shared" si="54"/>
        <v/>
      </c>
      <c r="W192" s="23" t="str">
        <f>IF([2]AIX!I194=0,"",[2]AIX!I194)</f>
        <v/>
      </c>
      <c r="X192" s="17" t="str">
        <f t="shared" si="46"/>
        <v/>
      </c>
      <c r="AJ192" s="39"/>
      <c r="AL192" s="5">
        <v>46211</v>
      </c>
      <c r="AM192" s="23">
        <f>IF([1]AIX!J193=0,"",[1]AIX!J193)</f>
        <v>948</v>
      </c>
      <c r="AN192" s="22" t="str">
        <f t="shared" si="55"/>
        <v/>
      </c>
      <c r="AO192" s="23" t="str">
        <f>IF([2]AIX!J194=0,"",[2]AIX!J194)</f>
        <v/>
      </c>
      <c r="AP192" s="17" t="str">
        <f t="shared" si="48"/>
        <v/>
      </c>
      <c r="BB192" s="39"/>
      <c r="BD192" s="5">
        <v>46211</v>
      </c>
      <c r="BE192" s="42">
        <f t="shared" si="51"/>
        <v>16.338871308016877</v>
      </c>
      <c r="BF192" s="22" t="str">
        <f t="shared" si="56"/>
        <v/>
      </c>
      <c r="BG192" s="42" t="str">
        <f t="shared" si="52"/>
        <v/>
      </c>
      <c r="BH192" s="17" t="str">
        <f t="shared" si="50"/>
        <v/>
      </c>
      <c r="BT192" s="39"/>
    </row>
    <row r="193" spans="2:72">
      <c r="B193" s="5">
        <v>46212</v>
      </c>
      <c r="C193" s="23">
        <f>IF([1]AIX!H194=0,"",[1]AIX!H194)</f>
        <v>13091.98</v>
      </c>
      <c r="D193" s="22" t="str">
        <f t="shared" si="53"/>
        <v/>
      </c>
      <c r="E193" s="23" t="str">
        <f>IF([2]AIX!H195=0,"",[2]AIX!H195)</f>
        <v/>
      </c>
      <c r="F193" s="17" t="str">
        <f t="shared" si="44"/>
        <v/>
      </c>
      <c r="R193" s="39"/>
      <c r="T193" s="5">
        <v>46212</v>
      </c>
      <c r="U193" s="23">
        <f>IF([1]AIX!I194=0,"",[1]AIX!I194)</f>
        <v>12888.1</v>
      </c>
      <c r="V193" s="22" t="str">
        <f t="shared" si="54"/>
        <v/>
      </c>
      <c r="W193" s="23" t="str">
        <f>IF([2]AIX!I195=0,"",[2]AIX!I195)</f>
        <v/>
      </c>
      <c r="X193" s="17" t="str">
        <f t="shared" si="46"/>
        <v/>
      </c>
      <c r="AJ193" s="39"/>
      <c r="AL193" s="5">
        <v>46212</v>
      </c>
      <c r="AM193" s="23">
        <f>IF([1]AIX!J194=0,"",[1]AIX!J194)</f>
        <v>869</v>
      </c>
      <c r="AN193" s="22" t="str">
        <f t="shared" si="55"/>
        <v/>
      </c>
      <c r="AO193" s="23" t="str">
        <f>IF([2]AIX!J195=0,"",[2]AIX!J195)</f>
        <v/>
      </c>
      <c r="AP193" s="17" t="str">
        <f t="shared" si="48"/>
        <v/>
      </c>
      <c r="BB193" s="39"/>
      <c r="BD193" s="5">
        <v>46212</v>
      </c>
      <c r="BE193" s="42">
        <f t="shared" si="51"/>
        <v>15.065569620253164</v>
      </c>
      <c r="BF193" s="22" t="str">
        <f t="shared" si="56"/>
        <v/>
      </c>
      <c r="BG193" s="42" t="str">
        <f t="shared" si="52"/>
        <v/>
      </c>
      <c r="BH193" s="17" t="str">
        <f t="shared" si="50"/>
        <v/>
      </c>
      <c r="BT193" s="39"/>
    </row>
    <row r="194" spans="2:72">
      <c r="B194" s="5">
        <v>46213</v>
      </c>
      <c r="C194" s="23">
        <f>IF([1]AIX!H195=0,"",[1]AIX!H195)</f>
        <v>15021.42</v>
      </c>
      <c r="D194" s="22" t="str">
        <f t="shared" si="53"/>
        <v/>
      </c>
      <c r="E194" s="23" t="str">
        <f>IF([2]AIX!H196=0,"",[2]AIX!H196)</f>
        <v/>
      </c>
      <c r="F194" s="17" t="str">
        <f t="shared" si="44"/>
        <v/>
      </c>
      <c r="R194" s="39"/>
      <c r="T194" s="5">
        <v>46213</v>
      </c>
      <c r="U194" s="23">
        <f>IF([1]AIX!I195=0,"",[1]AIX!I195)</f>
        <v>14797.52</v>
      </c>
      <c r="V194" s="22" t="str">
        <f t="shared" si="54"/>
        <v/>
      </c>
      <c r="W194" s="23" t="str">
        <f>IF([2]AIX!I196=0,"",[2]AIX!I196)</f>
        <v/>
      </c>
      <c r="X194" s="17" t="str">
        <f t="shared" si="46"/>
        <v/>
      </c>
      <c r="AJ194" s="39"/>
      <c r="AL194" s="5">
        <v>46213</v>
      </c>
      <c r="AM194" s="23">
        <f>IF([1]AIX!J195=0,"",[1]AIX!J195)</f>
        <v>1041</v>
      </c>
      <c r="AN194" s="22" t="str">
        <f t="shared" si="55"/>
        <v/>
      </c>
      <c r="AO194" s="23" t="str">
        <f>IF([2]AIX!J196=0,"",[2]AIX!J196)</f>
        <v/>
      </c>
      <c r="AP194" s="17" t="str">
        <f t="shared" si="48"/>
        <v/>
      </c>
      <c r="BB194" s="39"/>
      <c r="BD194" s="5">
        <v>46213</v>
      </c>
      <c r="BE194" s="42">
        <f t="shared" si="51"/>
        <v>14.429798270893372</v>
      </c>
      <c r="BF194" s="22" t="str">
        <f t="shared" si="56"/>
        <v/>
      </c>
      <c r="BG194" s="42" t="str">
        <f t="shared" si="52"/>
        <v/>
      </c>
      <c r="BH194" s="17" t="str">
        <f t="shared" si="50"/>
        <v/>
      </c>
      <c r="BT194" s="39"/>
    </row>
    <row r="195" spans="2:72">
      <c r="B195" s="5">
        <v>46214</v>
      </c>
      <c r="C195" s="23">
        <f>IF([1]AIX!H196=0,"",[1]AIX!H196)</f>
        <v>17147.810000000001</v>
      </c>
      <c r="D195" s="22" t="str">
        <f t="shared" si="53"/>
        <v/>
      </c>
      <c r="E195" s="23" t="str">
        <f>IF([2]AIX!H197=0,"",[2]AIX!H197)</f>
        <v/>
      </c>
      <c r="F195" s="17" t="str">
        <f t="shared" si="44"/>
        <v/>
      </c>
      <c r="R195" s="39"/>
      <c r="T195" s="5">
        <v>46214</v>
      </c>
      <c r="U195" s="23">
        <f>IF([1]AIX!I196=0,"",[1]AIX!I196)</f>
        <v>16875.3</v>
      </c>
      <c r="V195" s="22" t="str">
        <f t="shared" si="54"/>
        <v/>
      </c>
      <c r="W195" s="23" t="str">
        <f>IF([2]AIX!I197=0,"",[2]AIX!I197)</f>
        <v/>
      </c>
      <c r="X195" s="17" t="str">
        <f t="shared" si="46"/>
        <v/>
      </c>
      <c r="AJ195" s="39"/>
      <c r="AL195" s="5">
        <v>46214</v>
      </c>
      <c r="AM195" s="23">
        <f>IF([1]AIX!J196=0,"",[1]AIX!J196)</f>
        <v>1098</v>
      </c>
      <c r="AN195" s="22" t="str">
        <f t="shared" si="55"/>
        <v/>
      </c>
      <c r="AO195" s="23" t="str">
        <f>IF([2]AIX!J197=0,"",[2]AIX!J197)</f>
        <v/>
      </c>
      <c r="AP195" s="17" t="str">
        <f t="shared" si="48"/>
        <v/>
      </c>
      <c r="BB195" s="39"/>
      <c r="BD195" s="5">
        <v>46214</v>
      </c>
      <c r="BE195" s="42">
        <f t="shared" si="51"/>
        <v>15.617313296903461</v>
      </c>
      <c r="BF195" s="22" t="str">
        <f t="shared" si="56"/>
        <v/>
      </c>
      <c r="BG195" s="42" t="str">
        <f t="shared" si="52"/>
        <v/>
      </c>
      <c r="BH195" s="17" t="str">
        <f t="shared" si="50"/>
        <v/>
      </c>
      <c r="BT195" s="39"/>
    </row>
    <row r="196" spans="2:72">
      <c r="B196" s="5">
        <v>46215</v>
      </c>
      <c r="C196" s="23">
        <f>IF([1]AIX!H197=0,"",[1]AIX!H197)</f>
        <v>16678.439999999999</v>
      </c>
      <c r="D196" s="22" t="str">
        <f t="shared" si="53"/>
        <v/>
      </c>
      <c r="E196" s="24" t="str">
        <f>IF([2]AIX!H198=0,"",[2]AIX!H198)</f>
        <v/>
      </c>
      <c r="F196" s="17" t="str">
        <f t="shared" ref="F196:F259" si="57">IF(E196="","",(E196/C197)-1)</f>
        <v/>
      </c>
      <c r="R196" s="39"/>
      <c r="T196" s="5">
        <v>46215</v>
      </c>
      <c r="U196" s="23">
        <f>IF([1]AIX!I197=0,"",[1]AIX!I197)</f>
        <v>16437.32</v>
      </c>
      <c r="V196" s="22" t="str">
        <f t="shared" si="54"/>
        <v/>
      </c>
      <c r="W196" s="24" t="str">
        <f>IF([2]AIX!I198=0,"",[2]AIX!I198)</f>
        <v/>
      </c>
      <c r="X196" s="17" t="str">
        <f t="shared" ref="X196:X259" si="58">IF(W196="","",(W196/U197)-1)</f>
        <v/>
      </c>
      <c r="AJ196" s="39"/>
      <c r="AL196" s="5">
        <v>46215</v>
      </c>
      <c r="AM196" s="23">
        <f>IF([1]AIX!J197=0,"",[1]AIX!J197)</f>
        <v>1070</v>
      </c>
      <c r="AN196" s="22" t="str">
        <f t="shared" si="55"/>
        <v/>
      </c>
      <c r="AO196" s="24" t="str">
        <f>IF([2]AIX!J198=0,"",[2]AIX!J198)</f>
        <v/>
      </c>
      <c r="AP196" s="17" t="str">
        <f t="shared" ref="AP196:AP259" si="59">IF(AO196="","",(AO196/AM197)-1)</f>
        <v/>
      </c>
      <c r="BB196" s="39"/>
      <c r="BD196" s="5">
        <v>46215</v>
      </c>
      <c r="BE196" s="42">
        <f t="shared" si="51"/>
        <v>15.587327102803737</v>
      </c>
      <c r="BF196" s="22" t="str">
        <f t="shared" si="56"/>
        <v/>
      </c>
      <c r="BG196" s="43" t="str">
        <f t="shared" si="52"/>
        <v/>
      </c>
      <c r="BH196" s="17" t="str">
        <f t="shared" ref="BH196:BH259" si="60">IF(BG196="","",(BG196/BE197)-1)</f>
        <v/>
      </c>
      <c r="BT196" s="39"/>
    </row>
    <row r="197" spans="2:72">
      <c r="B197" s="5">
        <v>46216</v>
      </c>
      <c r="C197" s="24">
        <f>IF([1]AIX!H198=0,"",[1]AIX!H198)</f>
        <v>24161.71</v>
      </c>
      <c r="D197" s="22" t="str">
        <f t="shared" si="53"/>
        <v/>
      </c>
      <c r="E197" s="21" t="str">
        <f>IF([2]AIX!H199=0,"",[2]AIX!H199)</f>
        <v/>
      </c>
      <c r="F197" s="17" t="str">
        <f t="shared" si="57"/>
        <v/>
      </c>
      <c r="R197" s="39"/>
      <c r="T197" s="5">
        <v>46216</v>
      </c>
      <c r="U197" s="24">
        <f>IF([1]AIX!I198=0,"",[1]AIX!I198)</f>
        <v>23840.1</v>
      </c>
      <c r="V197" s="22" t="str">
        <f t="shared" si="54"/>
        <v/>
      </c>
      <c r="W197" s="21" t="str">
        <f>IF([2]AIX!I199=0,"",[2]AIX!I199)</f>
        <v/>
      </c>
      <c r="X197" s="17" t="str">
        <f t="shared" si="58"/>
        <v/>
      </c>
      <c r="AJ197" s="39"/>
      <c r="AL197" s="5">
        <v>46216</v>
      </c>
      <c r="AM197" s="24">
        <f>IF([1]AIX!J198=0,"",[1]AIX!J198)</f>
        <v>1309</v>
      </c>
      <c r="AN197" s="22" t="str">
        <f t="shared" si="55"/>
        <v/>
      </c>
      <c r="AO197" s="21" t="str">
        <f>IF([2]AIX!J199=0,"",[2]AIX!J199)</f>
        <v/>
      </c>
      <c r="AP197" s="17" t="str">
        <f t="shared" si="59"/>
        <v/>
      </c>
      <c r="BB197" s="39"/>
      <c r="BD197" s="5">
        <v>46216</v>
      </c>
      <c r="BE197" s="43">
        <f t="shared" ref="BE197:BE260" si="61">IFERROR(C197/AM197,"")</f>
        <v>18.458143621084798</v>
      </c>
      <c r="BF197" s="22" t="str">
        <f t="shared" si="56"/>
        <v/>
      </c>
      <c r="BG197" s="41" t="str">
        <f t="shared" ref="BG197:BG260" si="62">IFERROR(E197/AO197,"")</f>
        <v/>
      </c>
      <c r="BH197" s="17" t="str">
        <f t="shared" si="60"/>
        <v/>
      </c>
      <c r="BT197" s="39"/>
    </row>
    <row r="198" spans="2:72">
      <c r="B198" s="5">
        <v>46217</v>
      </c>
      <c r="C198" s="21">
        <f>IF([1]AIX!H199=0,"",[1]AIX!H199)</f>
        <v>22575.62</v>
      </c>
      <c r="D198" s="22" t="str">
        <f t="shared" si="53"/>
        <v/>
      </c>
      <c r="E198" s="23" t="str">
        <f>IF([2]AIX!H200=0,"",[2]AIX!H200)</f>
        <v/>
      </c>
      <c r="F198" s="17" t="str">
        <f t="shared" si="57"/>
        <v/>
      </c>
      <c r="R198" s="39"/>
      <c r="T198" s="5">
        <v>46217</v>
      </c>
      <c r="U198" s="21">
        <f>IF([1]AIX!I199=0,"",[1]AIX!I199)</f>
        <v>22189.1</v>
      </c>
      <c r="V198" s="22" t="str">
        <f t="shared" si="54"/>
        <v/>
      </c>
      <c r="W198" s="23" t="str">
        <f>IF([2]AIX!I200=0,"",[2]AIX!I200)</f>
        <v/>
      </c>
      <c r="X198" s="17" t="str">
        <f t="shared" si="58"/>
        <v/>
      </c>
      <c r="AJ198" s="39"/>
      <c r="AL198" s="5">
        <v>46217</v>
      </c>
      <c r="AM198" s="21">
        <f>IF([1]AIX!J199=0,"",[1]AIX!J199)</f>
        <v>1279</v>
      </c>
      <c r="AN198" s="22" t="str">
        <f t="shared" si="55"/>
        <v/>
      </c>
      <c r="AO198" s="23" t="str">
        <f>IF([2]AIX!J200=0,"",[2]AIX!J200)</f>
        <v/>
      </c>
      <c r="AP198" s="17" t="str">
        <f t="shared" si="59"/>
        <v/>
      </c>
      <c r="BB198" s="39"/>
      <c r="BD198" s="5">
        <v>46217</v>
      </c>
      <c r="BE198" s="41">
        <f t="shared" si="61"/>
        <v>17.650992963252541</v>
      </c>
      <c r="BF198" s="22" t="str">
        <f t="shared" si="56"/>
        <v/>
      </c>
      <c r="BG198" s="42" t="str">
        <f t="shared" si="62"/>
        <v/>
      </c>
      <c r="BH198" s="17" t="str">
        <f t="shared" si="60"/>
        <v/>
      </c>
      <c r="BT198" s="39"/>
    </row>
    <row r="199" spans="2:72">
      <c r="B199" s="5">
        <v>46218</v>
      </c>
      <c r="C199" s="23">
        <f>IF([1]AIX!H200=0,"",[1]AIX!H200)</f>
        <v>15073.58</v>
      </c>
      <c r="D199" s="22" t="str">
        <f t="shared" si="53"/>
        <v/>
      </c>
      <c r="E199" s="23" t="str">
        <f>IF([2]AIX!H201=0,"",[2]AIX!H201)</f>
        <v/>
      </c>
      <c r="F199" s="17" t="str">
        <f t="shared" si="57"/>
        <v/>
      </c>
      <c r="R199" s="39"/>
      <c r="T199" s="5">
        <v>46218</v>
      </c>
      <c r="U199" s="23">
        <f>IF([1]AIX!I200=0,"",[1]AIX!I200)</f>
        <v>14820.35</v>
      </c>
      <c r="V199" s="22" t="str">
        <f t="shared" si="54"/>
        <v/>
      </c>
      <c r="W199" s="23" t="str">
        <f>IF([2]AIX!I201=0,"",[2]AIX!I201)</f>
        <v/>
      </c>
      <c r="X199" s="17" t="str">
        <f t="shared" si="58"/>
        <v/>
      </c>
      <c r="AJ199" s="39"/>
      <c r="AL199" s="5">
        <v>46218</v>
      </c>
      <c r="AM199" s="23">
        <f>IF([1]AIX!J200=0,"",[1]AIX!J200)</f>
        <v>987</v>
      </c>
      <c r="AN199" s="22" t="str">
        <f t="shared" si="55"/>
        <v/>
      </c>
      <c r="AO199" s="23" t="str">
        <f>IF([2]AIX!J201=0,"",[2]AIX!J201)</f>
        <v/>
      </c>
      <c r="AP199" s="17" t="str">
        <f t="shared" si="59"/>
        <v/>
      </c>
      <c r="BB199" s="39"/>
      <c r="BD199" s="5">
        <v>46218</v>
      </c>
      <c r="BE199" s="42">
        <f t="shared" si="61"/>
        <v>15.272117527862209</v>
      </c>
      <c r="BF199" s="22" t="str">
        <f t="shared" si="56"/>
        <v/>
      </c>
      <c r="BG199" s="42" t="str">
        <f t="shared" si="62"/>
        <v/>
      </c>
      <c r="BH199" s="17" t="str">
        <f t="shared" si="60"/>
        <v/>
      </c>
      <c r="BT199" s="39"/>
    </row>
    <row r="200" spans="2:72">
      <c r="B200" s="5">
        <v>46219</v>
      </c>
      <c r="C200" s="23">
        <f>IF([1]AIX!H201=0,"",[1]AIX!H201)</f>
        <v>16756.509999999998</v>
      </c>
      <c r="D200" s="22" t="str">
        <f t="shared" si="53"/>
        <v/>
      </c>
      <c r="E200" s="23" t="str">
        <f>IF([2]AIX!H202=0,"",[2]AIX!H202)</f>
        <v/>
      </c>
      <c r="F200" s="17" t="str">
        <f t="shared" si="57"/>
        <v/>
      </c>
      <c r="R200" s="39"/>
      <c r="T200" s="5">
        <v>46219</v>
      </c>
      <c r="U200" s="23">
        <f>IF([1]AIX!I201=0,"",[1]AIX!I201)</f>
        <v>16500.580000000002</v>
      </c>
      <c r="V200" s="22" t="str">
        <f t="shared" si="54"/>
        <v/>
      </c>
      <c r="W200" s="23" t="str">
        <f>IF([2]AIX!I202=0,"",[2]AIX!I202)</f>
        <v/>
      </c>
      <c r="X200" s="17" t="str">
        <f t="shared" si="58"/>
        <v/>
      </c>
      <c r="AJ200" s="39"/>
      <c r="AL200" s="5">
        <v>46219</v>
      </c>
      <c r="AM200" s="23">
        <f>IF([1]AIX!J201=0,"",[1]AIX!J201)</f>
        <v>1027</v>
      </c>
      <c r="AN200" s="22" t="str">
        <f t="shared" si="55"/>
        <v/>
      </c>
      <c r="AO200" s="23" t="str">
        <f>IF([2]AIX!J202=0,"",[2]AIX!J202)</f>
        <v/>
      </c>
      <c r="AP200" s="17" t="str">
        <f t="shared" si="59"/>
        <v/>
      </c>
      <c r="BB200" s="39"/>
      <c r="BD200" s="5">
        <v>46219</v>
      </c>
      <c r="BE200" s="42">
        <f t="shared" si="61"/>
        <v>16.315978578383639</v>
      </c>
      <c r="BF200" s="22" t="str">
        <f t="shared" si="56"/>
        <v/>
      </c>
      <c r="BG200" s="42" t="str">
        <f t="shared" si="62"/>
        <v/>
      </c>
      <c r="BH200" s="17" t="str">
        <f t="shared" si="60"/>
        <v/>
      </c>
      <c r="BT200" s="39"/>
    </row>
    <row r="201" spans="2:72">
      <c r="B201" s="5">
        <v>46220</v>
      </c>
      <c r="C201" s="23">
        <f>IF([1]AIX!H202=0,"",[1]AIX!H202)</f>
        <v>18111.95</v>
      </c>
      <c r="D201" s="22" t="str">
        <f t="shared" si="53"/>
        <v/>
      </c>
      <c r="E201" s="23" t="str">
        <f>IF([2]AIX!H203=0,"",[2]AIX!H203)</f>
        <v/>
      </c>
      <c r="F201" s="17" t="str">
        <f t="shared" si="57"/>
        <v/>
      </c>
      <c r="R201" s="39"/>
      <c r="T201" s="5">
        <v>46220</v>
      </c>
      <c r="U201" s="23">
        <f>IF([1]AIX!I202=0,"",[1]AIX!I202)</f>
        <v>17776.02</v>
      </c>
      <c r="V201" s="22" t="str">
        <f t="shared" si="54"/>
        <v/>
      </c>
      <c r="W201" s="23" t="str">
        <f>IF([2]AIX!I203=0,"",[2]AIX!I203)</f>
        <v/>
      </c>
      <c r="X201" s="17" t="str">
        <f t="shared" si="58"/>
        <v/>
      </c>
      <c r="AJ201" s="39"/>
      <c r="AL201" s="5">
        <v>46220</v>
      </c>
      <c r="AM201" s="23">
        <f>IF([1]AIX!J202=0,"",[1]AIX!J202)</f>
        <v>1233</v>
      </c>
      <c r="AN201" s="22" t="str">
        <f t="shared" si="55"/>
        <v/>
      </c>
      <c r="AO201" s="23" t="str">
        <f>IF([2]AIX!J203=0,"",[2]AIX!J203)</f>
        <v/>
      </c>
      <c r="AP201" s="17" t="str">
        <f t="shared" si="59"/>
        <v/>
      </c>
      <c r="BB201" s="39"/>
      <c r="BD201" s="5">
        <v>46220</v>
      </c>
      <c r="BE201" s="42">
        <f t="shared" si="61"/>
        <v>14.689334955393351</v>
      </c>
      <c r="BF201" s="22" t="str">
        <f t="shared" si="56"/>
        <v/>
      </c>
      <c r="BG201" s="42" t="str">
        <f t="shared" si="62"/>
        <v/>
      </c>
      <c r="BH201" s="17" t="str">
        <f t="shared" si="60"/>
        <v/>
      </c>
      <c r="BT201" s="39"/>
    </row>
    <row r="202" spans="2:72">
      <c r="B202" s="5">
        <v>46221</v>
      </c>
      <c r="C202" s="23">
        <f>IF([1]AIX!H203=0,"",[1]AIX!H203)</f>
        <v>19434.560000000001</v>
      </c>
      <c r="D202" s="22" t="str">
        <f t="shared" si="53"/>
        <v/>
      </c>
      <c r="E202" s="23" t="str">
        <f>IF([2]AIX!H204=0,"",[2]AIX!H204)</f>
        <v/>
      </c>
      <c r="F202" s="17" t="str">
        <f t="shared" si="57"/>
        <v/>
      </c>
      <c r="R202" s="39"/>
      <c r="T202" s="5">
        <v>46221</v>
      </c>
      <c r="U202" s="23">
        <f>IF([1]AIX!I203=0,"",[1]AIX!I203)</f>
        <v>19046.14</v>
      </c>
      <c r="V202" s="22" t="str">
        <f t="shared" si="54"/>
        <v/>
      </c>
      <c r="W202" s="23" t="str">
        <f>IF([2]AIX!I204=0,"",[2]AIX!I204)</f>
        <v/>
      </c>
      <c r="X202" s="17" t="str">
        <f t="shared" si="58"/>
        <v/>
      </c>
      <c r="AJ202" s="39"/>
      <c r="AL202" s="5">
        <v>46221</v>
      </c>
      <c r="AM202" s="23">
        <f>IF([1]AIX!J203=0,"",[1]AIX!J203)</f>
        <v>1196</v>
      </c>
      <c r="AN202" s="22" t="str">
        <f t="shared" si="55"/>
        <v/>
      </c>
      <c r="AO202" s="23" t="str">
        <f>IF([2]AIX!J204=0,"",[2]AIX!J204)</f>
        <v/>
      </c>
      <c r="AP202" s="17" t="str">
        <f t="shared" si="59"/>
        <v/>
      </c>
      <c r="BB202" s="39"/>
      <c r="BD202" s="5">
        <v>46221</v>
      </c>
      <c r="BE202" s="42">
        <f t="shared" si="61"/>
        <v>16.249632107023412</v>
      </c>
      <c r="BF202" s="22" t="str">
        <f t="shared" si="56"/>
        <v/>
      </c>
      <c r="BG202" s="42" t="str">
        <f t="shared" si="62"/>
        <v/>
      </c>
      <c r="BH202" s="17" t="str">
        <f t="shared" si="60"/>
        <v/>
      </c>
      <c r="BT202" s="39"/>
    </row>
    <row r="203" spans="2:72">
      <c r="B203" s="5">
        <v>46222</v>
      </c>
      <c r="C203" s="23">
        <f>IF([1]AIX!H204=0,"",[1]AIX!H204)</f>
        <v>16836.509999999998</v>
      </c>
      <c r="D203" s="22" t="str">
        <f t="shared" si="53"/>
        <v/>
      </c>
      <c r="E203" s="24" t="str">
        <f>IF([2]AIX!H205=0,"",[2]AIX!H205)</f>
        <v/>
      </c>
      <c r="F203" s="17" t="str">
        <f t="shared" si="57"/>
        <v/>
      </c>
      <c r="R203" s="39"/>
      <c r="T203" s="5">
        <v>46222</v>
      </c>
      <c r="U203" s="23">
        <f>IF([1]AIX!I204=0,"",[1]AIX!I204)</f>
        <v>16578.55</v>
      </c>
      <c r="V203" s="22" t="str">
        <f t="shared" si="54"/>
        <v/>
      </c>
      <c r="W203" s="24" t="str">
        <f>IF([2]AIX!I205=0,"",[2]AIX!I205)</f>
        <v/>
      </c>
      <c r="X203" s="17" t="str">
        <f t="shared" si="58"/>
        <v/>
      </c>
      <c r="AJ203" s="39"/>
      <c r="AL203" s="5">
        <v>46222</v>
      </c>
      <c r="AM203" s="23">
        <f>IF([1]AIX!J204=0,"",[1]AIX!J204)</f>
        <v>965</v>
      </c>
      <c r="AN203" s="22" t="str">
        <f t="shared" si="55"/>
        <v/>
      </c>
      <c r="AO203" s="24" t="str">
        <f>IF([2]AIX!J205=0,"",[2]AIX!J205)</f>
        <v/>
      </c>
      <c r="AP203" s="17" t="str">
        <f t="shared" si="59"/>
        <v/>
      </c>
      <c r="BB203" s="39"/>
      <c r="BD203" s="5">
        <v>46222</v>
      </c>
      <c r="BE203" s="42">
        <f t="shared" si="61"/>
        <v>17.447160621761657</v>
      </c>
      <c r="BF203" s="22" t="str">
        <f t="shared" si="56"/>
        <v/>
      </c>
      <c r="BG203" s="43" t="str">
        <f t="shared" si="62"/>
        <v/>
      </c>
      <c r="BH203" s="17" t="str">
        <f t="shared" si="60"/>
        <v/>
      </c>
      <c r="BT203" s="39"/>
    </row>
    <row r="204" spans="2:72">
      <c r="B204" s="5">
        <v>46223</v>
      </c>
      <c r="C204" s="24">
        <f>IF([1]AIX!H205=0,"",[1]AIX!H205)</f>
        <v>19293.68</v>
      </c>
      <c r="D204" s="22" t="str">
        <f t="shared" si="53"/>
        <v/>
      </c>
      <c r="E204" s="21" t="str">
        <f>IF([2]AIX!H206=0,"",[2]AIX!H206)</f>
        <v/>
      </c>
      <c r="F204" s="17" t="str">
        <f t="shared" si="57"/>
        <v/>
      </c>
      <c r="R204" s="39"/>
      <c r="T204" s="5">
        <v>46223</v>
      </c>
      <c r="U204" s="24">
        <f>IF([1]AIX!I205=0,"",[1]AIX!I205)</f>
        <v>19039.330000000002</v>
      </c>
      <c r="V204" s="22" t="str">
        <f t="shared" si="54"/>
        <v/>
      </c>
      <c r="W204" s="21" t="str">
        <f>IF([2]AIX!I206=0,"",[2]AIX!I206)</f>
        <v/>
      </c>
      <c r="X204" s="17" t="str">
        <f t="shared" si="58"/>
        <v/>
      </c>
      <c r="AJ204" s="39"/>
      <c r="AL204" s="5">
        <v>46223</v>
      </c>
      <c r="AM204" s="24">
        <f>IF([1]AIX!J205=0,"",[1]AIX!J205)</f>
        <v>1007</v>
      </c>
      <c r="AN204" s="22" t="str">
        <f t="shared" si="55"/>
        <v/>
      </c>
      <c r="AO204" s="21" t="str">
        <f>IF([2]AIX!J206=0,"",[2]AIX!J206)</f>
        <v/>
      </c>
      <c r="AP204" s="17" t="str">
        <f t="shared" si="59"/>
        <v/>
      </c>
      <c r="BB204" s="39"/>
      <c r="BD204" s="5">
        <v>46223</v>
      </c>
      <c r="BE204" s="43">
        <f t="shared" si="61"/>
        <v>19.159563058589871</v>
      </c>
      <c r="BF204" s="22" t="str">
        <f t="shared" si="56"/>
        <v/>
      </c>
      <c r="BG204" s="41" t="str">
        <f t="shared" si="62"/>
        <v/>
      </c>
      <c r="BH204" s="17" t="str">
        <f t="shared" si="60"/>
        <v/>
      </c>
      <c r="BT204" s="39"/>
    </row>
    <row r="205" spans="2:72">
      <c r="B205" s="5">
        <v>46224</v>
      </c>
      <c r="C205" s="21">
        <f>IF([1]AIX!H206=0,"",[1]AIX!H206)</f>
        <v>13373.84</v>
      </c>
      <c r="D205" s="22" t="str">
        <f t="shared" si="53"/>
        <v/>
      </c>
      <c r="E205" s="23" t="str">
        <f>IF([2]AIX!H207=0,"",[2]AIX!H207)</f>
        <v/>
      </c>
      <c r="F205" s="17" t="str">
        <f t="shared" si="57"/>
        <v/>
      </c>
      <c r="R205" s="39"/>
      <c r="T205" s="5">
        <v>46224</v>
      </c>
      <c r="U205" s="21">
        <f>IF([1]AIX!I206=0,"",[1]AIX!I206)</f>
        <v>13167.72</v>
      </c>
      <c r="V205" s="22" t="str">
        <f t="shared" si="54"/>
        <v/>
      </c>
      <c r="W205" s="23" t="str">
        <f>IF([2]AIX!I207=0,"",[2]AIX!I207)</f>
        <v/>
      </c>
      <c r="X205" s="17" t="str">
        <f t="shared" si="58"/>
        <v/>
      </c>
      <c r="AJ205" s="39"/>
      <c r="AL205" s="5">
        <v>46224</v>
      </c>
      <c r="AM205" s="21">
        <f>IF([1]AIX!J206=0,"",[1]AIX!J206)</f>
        <v>881</v>
      </c>
      <c r="AN205" s="22" t="str">
        <f t="shared" si="55"/>
        <v/>
      </c>
      <c r="AO205" s="23" t="str">
        <f>IF([2]AIX!J207=0,"",[2]AIX!J207)</f>
        <v/>
      </c>
      <c r="AP205" s="17" t="str">
        <f t="shared" si="59"/>
        <v/>
      </c>
      <c r="BB205" s="39"/>
      <c r="BD205" s="5">
        <v>46224</v>
      </c>
      <c r="BE205" s="41">
        <f t="shared" si="61"/>
        <v>15.180295119182746</v>
      </c>
      <c r="BF205" s="22" t="str">
        <f t="shared" si="56"/>
        <v/>
      </c>
      <c r="BG205" s="42" t="str">
        <f t="shared" si="62"/>
        <v/>
      </c>
      <c r="BH205" s="17" t="str">
        <f t="shared" si="60"/>
        <v/>
      </c>
      <c r="BT205" s="39"/>
    </row>
    <row r="206" spans="2:72">
      <c r="B206" s="5">
        <v>46225</v>
      </c>
      <c r="C206" s="23">
        <f>IF([1]AIX!H207=0,"",[1]AIX!H207)</f>
        <v>13943.91</v>
      </c>
      <c r="D206" s="22" t="str">
        <f t="shared" si="53"/>
        <v/>
      </c>
      <c r="E206" s="23" t="str">
        <f>IF([2]AIX!H208=0,"",[2]AIX!H208)</f>
        <v/>
      </c>
      <c r="F206" s="17" t="str">
        <f t="shared" si="57"/>
        <v/>
      </c>
      <c r="R206" s="39"/>
      <c r="T206" s="5">
        <v>46225</v>
      </c>
      <c r="U206" s="23">
        <f>IF([1]AIX!I207=0,"",[1]AIX!I207)</f>
        <v>13679.21</v>
      </c>
      <c r="V206" s="22" t="str">
        <f t="shared" si="54"/>
        <v/>
      </c>
      <c r="W206" s="23" t="str">
        <f>IF([2]AIX!I208=0,"",[2]AIX!I208)</f>
        <v/>
      </c>
      <c r="X206" s="17" t="str">
        <f t="shared" si="58"/>
        <v/>
      </c>
      <c r="AJ206" s="39"/>
      <c r="AL206" s="5">
        <v>46225</v>
      </c>
      <c r="AM206" s="23">
        <f>IF([1]AIX!J207=0,"",[1]AIX!J207)</f>
        <v>920</v>
      </c>
      <c r="AN206" s="22" t="str">
        <f t="shared" si="55"/>
        <v/>
      </c>
      <c r="AO206" s="23" t="str">
        <f>IF([2]AIX!J208=0,"",[2]AIX!J208)</f>
        <v/>
      </c>
      <c r="AP206" s="17" t="str">
        <f t="shared" si="59"/>
        <v/>
      </c>
      <c r="BB206" s="39"/>
      <c r="BD206" s="5">
        <v>46225</v>
      </c>
      <c r="BE206" s="42">
        <f t="shared" si="61"/>
        <v>15.156423913043477</v>
      </c>
      <c r="BF206" s="22" t="str">
        <f t="shared" si="56"/>
        <v/>
      </c>
      <c r="BG206" s="42" t="str">
        <f t="shared" si="62"/>
        <v/>
      </c>
      <c r="BH206" s="17" t="str">
        <f t="shared" si="60"/>
        <v/>
      </c>
      <c r="BT206" s="39"/>
    </row>
    <row r="207" spans="2:72">
      <c r="B207" s="5">
        <v>46226</v>
      </c>
      <c r="C207" s="23">
        <f>IF([1]AIX!H208=0,"",[1]AIX!H208)</f>
        <v>14442.71</v>
      </c>
      <c r="D207" s="22" t="str">
        <f t="shared" si="53"/>
        <v/>
      </c>
      <c r="E207" s="23" t="str">
        <f>IF([2]AIX!H209=0,"",[2]AIX!H209)</f>
        <v/>
      </c>
      <c r="F207" s="17" t="str">
        <f t="shared" si="57"/>
        <v/>
      </c>
      <c r="R207" s="39"/>
      <c r="T207" s="5">
        <v>46226</v>
      </c>
      <c r="U207" s="23">
        <f>IF([1]AIX!I208=0,"",[1]AIX!I208)</f>
        <v>14225.21</v>
      </c>
      <c r="V207" s="22" t="str">
        <f t="shared" si="54"/>
        <v/>
      </c>
      <c r="W207" s="23" t="str">
        <f>IF([2]AIX!I209=0,"",[2]AIX!I209)</f>
        <v/>
      </c>
      <c r="X207" s="17" t="str">
        <f t="shared" si="58"/>
        <v/>
      </c>
      <c r="AJ207" s="39"/>
      <c r="AL207" s="5">
        <v>46226</v>
      </c>
      <c r="AM207" s="23">
        <f>IF([1]AIX!J208=0,"",[1]AIX!J208)</f>
        <v>879</v>
      </c>
      <c r="AN207" s="22" t="str">
        <f t="shared" si="55"/>
        <v/>
      </c>
      <c r="AO207" s="23" t="str">
        <f>IF([2]AIX!J209=0,"",[2]AIX!J209)</f>
        <v/>
      </c>
      <c r="AP207" s="17" t="str">
        <f t="shared" si="59"/>
        <v/>
      </c>
      <c r="BB207" s="39"/>
      <c r="BD207" s="5">
        <v>46226</v>
      </c>
      <c r="BE207" s="42">
        <f t="shared" si="61"/>
        <v>16.430841865756541</v>
      </c>
      <c r="BF207" s="22" t="str">
        <f t="shared" si="56"/>
        <v/>
      </c>
      <c r="BG207" s="42" t="str">
        <f t="shared" si="62"/>
        <v/>
      </c>
      <c r="BH207" s="17" t="str">
        <f t="shared" si="60"/>
        <v/>
      </c>
      <c r="BT207" s="39"/>
    </row>
    <row r="208" spans="2:72">
      <c r="B208" s="5">
        <v>46227</v>
      </c>
      <c r="C208" s="23">
        <f>IF([1]AIX!H209=0,"",[1]AIX!H209)</f>
        <v>16891.21</v>
      </c>
      <c r="D208" s="22" t="str">
        <f t="shared" si="53"/>
        <v/>
      </c>
      <c r="E208" s="23" t="str">
        <f>IF([2]AIX!H210=0,"",[2]AIX!H210)</f>
        <v/>
      </c>
      <c r="F208" s="17" t="str">
        <f t="shared" si="57"/>
        <v/>
      </c>
      <c r="R208" s="39"/>
      <c r="T208" s="5">
        <v>46227</v>
      </c>
      <c r="U208" s="23">
        <f>IF([1]AIX!I209=0,"",[1]AIX!I209)</f>
        <v>16641.2</v>
      </c>
      <c r="V208" s="22" t="str">
        <f t="shared" si="54"/>
        <v/>
      </c>
      <c r="W208" s="23" t="str">
        <f>IF([2]AIX!I210=0,"",[2]AIX!I210)</f>
        <v/>
      </c>
      <c r="X208" s="17" t="str">
        <f t="shared" si="58"/>
        <v/>
      </c>
      <c r="AJ208" s="39"/>
      <c r="AL208" s="5">
        <v>46227</v>
      </c>
      <c r="AM208" s="23">
        <f>IF([1]AIX!J209=0,"",[1]AIX!J209)</f>
        <v>1130</v>
      </c>
      <c r="AN208" s="22" t="str">
        <f t="shared" si="55"/>
        <v/>
      </c>
      <c r="AO208" s="23" t="str">
        <f>IF([2]AIX!J210=0,"",[2]AIX!J210)</f>
        <v/>
      </c>
      <c r="AP208" s="17" t="str">
        <f t="shared" si="59"/>
        <v/>
      </c>
      <c r="BB208" s="39"/>
      <c r="BD208" s="5">
        <v>46227</v>
      </c>
      <c r="BE208" s="42">
        <f t="shared" si="61"/>
        <v>14.947973451327433</v>
      </c>
      <c r="BF208" s="22" t="str">
        <f t="shared" si="56"/>
        <v/>
      </c>
      <c r="BG208" s="42" t="str">
        <f t="shared" si="62"/>
        <v/>
      </c>
      <c r="BH208" s="17" t="str">
        <f t="shared" si="60"/>
        <v/>
      </c>
      <c r="BT208" s="39"/>
    </row>
    <row r="209" spans="2:72">
      <c r="B209" s="5">
        <v>46228</v>
      </c>
      <c r="C209" s="23">
        <f>IF([1]AIX!H210=0,"",[1]AIX!H210)</f>
        <v>18031.5</v>
      </c>
      <c r="D209" s="22" t="str">
        <f t="shared" si="53"/>
        <v/>
      </c>
      <c r="E209" s="23" t="str">
        <f>IF([2]AIX!H211=0,"",[2]AIX!H211)</f>
        <v/>
      </c>
      <c r="F209" s="17" t="str">
        <f t="shared" si="57"/>
        <v/>
      </c>
      <c r="R209" s="39"/>
      <c r="T209" s="5">
        <v>46228</v>
      </c>
      <c r="U209" s="23">
        <f>IF([1]AIX!I210=0,"",[1]AIX!I210)</f>
        <v>17783.3</v>
      </c>
      <c r="V209" s="22" t="str">
        <f t="shared" si="54"/>
        <v/>
      </c>
      <c r="W209" s="23" t="str">
        <f>IF([2]AIX!I211=0,"",[2]AIX!I211)</f>
        <v/>
      </c>
      <c r="X209" s="17" t="str">
        <f t="shared" si="58"/>
        <v/>
      </c>
      <c r="AJ209" s="39"/>
      <c r="AL209" s="5">
        <v>46228</v>
      </c>
      <c r="AM209" s="23">
        <f>IF([1]AIX!J210=0,"",[1]AIX!J210)</f>
        <v>1095</v>
      </c>
      <c r="AN209" s="22" t="str">
        <f t="shared" si="55"/>
        <v/>
      </c>
      <c r="AO209" s="23" t="str">
        <f>IF([2]AIX!J211=0,"",[2]AIX!J211)</f>
        <v/>
      </c>
      <c r="AP209" s="17" t="str">
        <f t="shared" si="59"/>
        <v/>
      </c>
      <c r="BB209" s="39"/>
      <c r="BD209" s="5">
        <v>46228</v>
      </c>
      <c r="BE209" s="42">
        <f t="shared" si="61"/>
        <v>16.467123287671232</v>
      </c>
      <c r="BF209" s="22" t="str">
        <f t="shared" si="56"/>
        <v/>
      </c>
      <c r="BG209" s="42" t="str">
        <f t="shared" si="62"/>
        <v/>
      </c>
      <c r="BH209" s="17" t="str">
        <f t="shared" si="60"/>
        <v/>
      </c>
      <c r="BT209" s="39"/>
    </row>
    <row r="210" spans="2:72">
      <c r="B210" s="5">
        <v>46229</v>
      </c>
      <c r="C210" s="23">
        <f>IF([1]AIX!H211=0,"",[1]AIX!H211)</f>
        <v>15468.22</v>
      </c>
      <c r="D210" s="22" t="str">
        <f t="shared" si="53"/>
        <v/>
      </c>
      <c r="E210" s="24" t="str">
        <f>IF([2]AIX!H212=0,"",[2]AIX!H212)</f>
        <v/>
      </c>
      <c r="F210" s="17" t="str">
        <f t="shared" si="57"/>
        <v/>
      </c>
      <c r="R210" s="39"/>
      <c r="T210" s="5">
        <v>46229</v>
      </c>
      <c r="U210" s="23">
        <f>IF([1]AIX!I211=0,"",[1]AIX!I211)</f>
        <v>15115.71</v>
      </c>
      <c r="V210" s="22" t="str">
        <f t="shared" si="54"/>
        <v/>
      </c>
      <c r="W210" s="24" t="str">
        <f>IF([2]AIX!I212=0,"",[2]AIX!I212)</f>
        <v/>
      </c>
      <c r="X210" s="17" t="str">
        <f t="shared" si="58"/>
        <v/>
      </c>
      <c r="AJ210" s="39"/>
      <c r="AL210" s="5">
        <v>46229</v>
      </c>
      <c r="AM210" s="23">
        <f>IF([1]AIX!J211=0,"",[1]AIX!J211)</f>
        <v>908</v>
      </c>
      <c r="AN210" s="22" t="str">
        <f t="shared" si="55"/>
        <v/>
      </c>
      <c r="AO210" s="24" t="str">
        <f>IF([2]AIX!J212=0,"",[2]AIX!J212)</f>
        <v/>
      </c>
      <c r="AP210" s="17" t="str">
        <f t="shared" si="59"/>
        <v/>
      </c>
      <c r="BB210" s="39"/>
      <c r="BD210" s="5">
        <v>46229</v>
      </c>
      <c r="BE210" s="42">
        <f t="shared" si="61"/>
        <v>17.035484581497798</v>
      </c>
      <c r="BF210" s="22" t="str">
        <f t="shared" si="56"/>
        <v/>
      </c>
      <c r="BG210" s="43" t="str">
        <f t="shared" si="62"/>
        <v/>
      </c>
      <c r="BH210" s="17" t="str">
        <f t="shared" si="60"/>
        <v/>
      </c>
      <c r="BT210" s="39"/>
    </row>
    <row r="211" spans="2:72">
      <c r="B211" s="5">
        <v>46230</v>
      </c>
      <c r="C211" s="24">
        <f>IF([1]AIX!H212=0,"",[1]AIX!H212)</f>
        <v>19594.3</v>
      </c>
      <c r="D211" s="22" t="str">
        <f t="shared" si="53"/>
        <v/>
      </c>
      <c r="E211" s="21" t="str">
        <f>IF([2]AIX!H213=0,"",[2]AIX!H213)</f>
        <v/>
      </c>
      <c r="F211" s="17" t="str">
        <f t="shared" si="57"/>
        <v/>
      </c>
      <c r="R211" s="39"/>
      <c r="T211" s="5">
        <v>46230</v>
      </c>
      <c r="U211" s="24">
        <f>IF([1]AIX!I212=0,"",[1]AIX!I212)</f>
        <v>19234.599999999999</v>
      </c>
      <c r="V211" s="22" t="str">
        <f t="shared" si="54"/>
        <v/>
      </c>
      <c r="W211" s="21" t="str">
        <f>IF([2]AIX!I213=0,"",[2]AIX!I213)</f>
        <v/>
      </c>
      <c r="X211" s="17" t="str">
        <f t="shared" si="58"/>
        <v/>
      </c>
      <c r="AJ211" s="39"/>
      <c r="AL211" s="5">
        <v>46230</v>
      </c>
      <c r="AM211" s="24">
        <f>IF([1]AIX!J212=0,"",[1]AIX!J212)</f>
        <v>1026</v>
      </c>
      <c r="AN211" s="22" t="str">
        <f t="shared" si="55"/>
        <v/>
      </c>
      <c r="AO211" s="21" t="str">
        <f>IF([2]AIX!J213=0,"",[2]AIX!J213)</f>
        <v/>
      </c>
      <c r="AP211" s="17" t="str">
        <f t="shared" si="59"/>
        <v/>
      </c>
      <c r="BB211" s="39"/>
      <c r="BD211" s="5">
        <v>46230</v>
      </c>
      <c r="BE211" s="43">
        <f t="shared" si="61"/>
        <v>19.097758284600388</v>
      </c>
      <c r="BF211" s="22" t="str">
        <f t="shared" si="56"/>
        <v/>
      </c>
      <c r="BG211" s="41" t="str">
        <f t="shared" si="62"/>
        <v/>
      </c>
      <c r="BH211" s="17" t="str">
        <f t="shared" si="60"/>
        <v/>
      </c>
      <c r="BT211" s="39"/>
    </row>
    <row r="212" spans="2:72">
      <c r="B212" s="5">
        <v>46231</v>
      </c>
      <c r="C212" s="21">
        <f>IF([1]AIX!H213=0,"",[1]AIX!H213)</f>
        <v>13123.06</v>
      </c>
      <c r="D212" s="22" t="str">
        <f t="shared" si="53"/>
        <v/>
      </c>
      <c r="E212" s="23" t="str">
        <f>IF([2]AIX!H214=0,"",[2]AIX!H214)</f>
        <v/>
      </c>
      <c r="F212" s="17" t="str">
        <f t="shared" si="57"/>
        <v/>
      </c>
      <c r="R212" s="39"/>
      <c r="T212" s="5">
        <v>46231</v>
      </c>
      <c r="U212" s="21">
        <f>IF([1]AIX!I213=0,"",[1]AIX!I213)</f>
        <v>12930.08</v>
      </c>
      <c r="V212" s="22" t="str">
        <f t="shared" si="54"/>
        <v/>
      </c>
      <c r="W212" s="23" t="str">
        <f>IF([2]AIX!I214=0,"",[2]AIX!I214)</f>
        <v/>
      </c>
      <c r="X212" s="17" t="str">
        <f t="shared" si="58"/>
        <v/>
      </c>
      <c r="AJ212" s="39"/>
      <c r="AL212" s="5">
        <v>46231</v>
      </c>
      <c r="AM212" s="21">
        <f>IF([1]AIX!J213=0,"",[1]AIX!J213)</f>
        <v>757</v>
      </c>
      <c r="AN212" s="22" t="str">
        <f t="shared" si="55"/>
        <v/>
      </c>
      <c r="AO212" s="23" t="str">
        <f>IF([2]AIX!J214=0,"",[2]AIX!J214)</f>
        <v/>
      </c>
      <c r="AP212" s="17" t="str">
        <f t="shared" si="59"/>
        <v/>
      </c>
      <c r="BB212" s="39"/>
      <c r="BD212" s="5">
        <v>46231</v>
      </c>
      <c r="BE212" s="41">
        <f t="shared" si="61"/>
        <v>17.3356142668428</v>
      </c>
      <c r="BF212" s="22" t="str">
        <f t="shared" si="56"/>
        <v/>
      </c>
      <c r="BG212" s="42" t="str">
        <f t="shared" si="62"/>
        <v/>
      </c>
      <c r="BH212" s="17" t="str">
        <f t="shared" si="60"/>
        <v/>
      </c>
      <c r="BT212" s="39"/>
    </row>
    <row r="213" spans="2:72">
      <c r="B213" s="5">
        <v>46232</v>
      </c>
      <c r="C213" s="23">
        <f>IF([1]AIX!H214=0,"",[1]AIX!H214)</f>
        <v>15898.81</v>
      </c>
      <c r="D213" s="22" t="str">
        <f t="shared" si="53"/>
        <v/>
      </c>
      <c r="E213" s="23" t="str">
        <f>IF([2]AIX!H215=0,"",[2]AIX!H215)</f>
        <v/>
      </c>
      <c r="F213" s="17" t="str">
        <f t="shared" si="57"/>
        <v/>
      </c>
      <c r="R213" s="39"/>
      <c r="T213" s="5">
        <v>46232</v>
      </c>
      <c r="U213" s="23">
        <f>IF([1]AIX!I214=0,"",[1]AIX!I214)</f>
        <v>15703.74</v>
      </c>
      <c r="V213" s="22" t="str">
        <f t="shared" si="54"/>
        <v/>
      </c>
      <c r="W213" s="23" t="str">
        <f>IF([2]AIX!I215=0,"",[2]AIX!I215)</f>
        <v/>
      </c>
      <c r="X213" s="17" t="str">
        <f t="shared" si="58"/>
        <v/>
      </c>
      <c r="AJ213" s="39"/>
      <c r="AL213" s="5">
        <v>46232</v>
      </c>
      <c r="AM213" s="23">
        <f>IF([1]AIX!J214=0,"",[1]AIX!J214)</f>
        <v>945</v>
      </c>
      <c r="AN213" s="22" t="str">
        <f t="shared" si="55"/>
        <v/>
      </c>
      <c r="AO213" s="23" t="str">
        <f>IF([2]AIX!J215=0,"",[2]AIX!J215)</f>
        <v/>
      </c>
      <c r="AP213" s="17" t="str">
        <f t="shared" si="59"/>
        <v/>
      </c>
      <c r="BB213" s="39"/>
      <c r="BD213" s="5">
        <v>46232</v>
      </c>
      <c r="BE213" s="42">
        <f t="shared" si="61"/>
        <v>16.824137566137566</v>
      </c>
      <c r="BF213" s="22" t="str">
        <f t="shared" si="56"/>
        <v/>
      </c>
      <c r="BG213" s="42" t="str">
        <f t="shared" si="62"/>
        <v/>
      </c>
      <c r="BH213" s="17" t="str">
        <f t="shared" si="60"/>
        <v/>
      </c>
      <c r="BT213" s="39"/>
    </row>
    <row r="214" spans="2:72">
      <c r="B214" s="5">
        <v>46233</v>
      </c>
      <c r="C214" s="23">
        <f>IF([1]AIX!H215=0,"",[1]AIX!H215)</f>
        <v>14410.21</v>
      </c>
      <c r="D214" s="22" t="str">
        <f t="shared" si="53"/>
        <v/>
      </c>
      <c r="E214" s="23" t="str">
        <f>IF([2]AIX!H216=0,"",[2]AIX!H216)</f>
        <v/>
      </c>
      <c r="F214" s="17" t="str">
        <f t="shared" si="57"/>
        <v/>
      </c>
      <c r="R214" s="39"/>
      <c r="T214" s="5">
        <v>46233</v>
      </c>
      <c r="U214" s="23">
        <f>IF([1]AIX!I215=0,"",[1]AIX!I215)</f>
        <v>14216.25</v>
      </c>
      <c r="V214" s="22" t="str">
        <f t="shared" si="54"/>
        <v/>
      </c>
      <c r="W214" s="23" t="str">
        <f>IF([2]AIX!I216=0,"",[2]AIX!I216)</f>
        <v/>
      </c>
      <c r="X214" s="17" t="str">
        <f t="shared" si="58"/>
        <v/>
      </c>
      <c r="AJ214" s="39"/>
      <c r="AL214" s="5">
        <v>46233</v>
      </c>
      <c r="AM214" s="23">
        <f>IF([1]AIX!J215=0,"",[1]AIX!J215)</f>
        <v>892</v>
      </c>
      <c r="AN214" s="22" t="str">
        <f t="shared" si="55"/>
        <v/>
      </c>
      <c r="AO214" s="23" t="str">
        <f>IF([2]AIX!J216=0,"",[2]AIX!J216)</f>
        <v/>
      </c>
      <c r="AP214" s="17" t="str">
        <f t="shared" si="59"/>
        <v/>
      </c>
      <c r="BB214" s="39"/>
      <c r="BD214" s="5">
        <v>46233</v>
      </c>
      <c r="BE214" s="42">
        <f t="shared" si="61"/>
        <v>16.15494394618834</v>
      </c>
      <c r="BF214" s="22" t="str">
        <f t="shared" si="56"/>
        <v/>
      </c>
      <c r="BG214" s="42" t="str">
        <f t="shared" si="62"/>
        <v/>
      </c>
      <c r="BH214" s="17" t="str">
        <f t="shared" si="60"/>
        <v/>
      </c>
      <c r="BT214" s="39"/>
    </row>
    <row r="215" spans="2:72">
      <c r="B215" s="5">
        <v>46234</v>
      </c>
      <c r="C215" s="23">
        <f>IF([1]AIX!H216=0,"",[1]AIX!H216)</f>
        <v>18153.72</v>
      </c>
      <c r="D215" s="22" t="str">
        <f t="shared" si="53"/>
        <v/>
      </c>
      <c r="E215" s="23" t="str">
        <f>IF([2]AIX!H217=0,"",[2]AIX!H217)</f>
        <v/>
      </c>
      <c r="F215" s="17" t="str">
        <f t="shared" si="57"/>
        <v/>
      </c>
      <c r="R215" s="39"/>
      <c r="T215" s="5">
        <v>46234</v>
      </c>
      <c r="U215" s="23">
        <f>IF([1]AIX!I216=0,"",[1]AIX!I216)</f>
        <v>17873.400000000001</v>
      </c>
      <c r="V215" s="22" t="str">
        <f t="shared" si="54"/>
        <v/>
      </c>
      <c r="W215" s="23" t="str">
        <f>IF([2]AIX!I217=0,"",[2]AIX!I217)</f>
        <v/>
      </c>
      <c r="X215" s="17" t="str">
        <f t="shared" si="58"/>
        <v/>
      </c>
      <c r="AJ215" s="39"/>
      <c r="AL215" s="5">
        <v>46234</v>
      </c>
      <c r="AM215" s="23">
        <f>IF([1]AIX!J216=0,"",[1]AIX!J216)</f>
        <v>1174</v>
      </c>
      <c r="AN215" s="22" t="str">
        <f t="shared" si="55"/>
        <v/>
      </c>
      <c r="AO215" s="23" t="str">
        <f>IF([2]AIX!J217=0,"",[2]AIX!J217)</f>
        <v/>
      </c>
      <c r="AP215" s="17" t="str">
        <f t="shared" si="59"/>
        <v/>
      </c>
      <c r="BB215" s="39"/>
      <c r="BD215" s="5">
        <v>46234</v>
      </c>
      <c r="BE215" s="42">
        <f t="shared" si="61"/>
        <v>15.46313458262351</v>
      </c>
      <c r="BF215" s="22" t="str">
        <f t="shared" si="56"/>
        <v/>
      </c>
      <c r="BG215" s="42" t="str">
        <f t="shared" si="62"/>
        <v/>
      </c>
      <c r="BH215" s="17" t="str">
        <f t="shared" si="60"/>
        <v/>
      </c>
      <c r="BT215" s="39"/>
    </row>
    <row r="216" spans="2:72">
      <c r="B216" s="5">
        <v>46235</v>
      </c>
      <c r="C216" s="23">
        <f>IF([1]AIX!H217=0,"",[1]AIX!H217)</f>
        <v>17961.900000000001</v>
      </c>
      <c r="D216" s="22" t="str">
        <f t="shared" si="53"/>
        <v/>
      </c>
      <c r="E216" s="23" t="str">
        <f>IF([2]AIX!H218=0,"",[2]AIX!H218)</f>
        <v/>
      </c>
      <c r="F216" s="17" t="str">
        <f t="shared" si="57"/>
        <v/>
      </c>
      <c r="R216" s="39"/>
      <c r="T216" s="5">
        <v>46235</v>
      </c>
      <c r="U216" s="23">
        <f>IF([1]AIX!I217=0,"",[1]AIX!I217)</f>
        <v>17773.330000000002</v>
      </c>
      <c r="V216" s="22" t="str">
        <f t="shared" si="54"/>
        <v/>
      </c>
      <c r="W216" s="23" t="str">
        <f>IF([2]AIX!I218=0,"",[2]AIX!I218)</f>
        <v/>
      </c>
      <c r="X216" s="17" t="str">
        <f t="shared" si="58"/>
        <v/>
      </c>
      <c r="AJ216" s="39"/>
      <c r="AL216" s="5">
        <v>46235</v>
      </c>
      <c r="AM216" s="23">
        <f>IF([1]AIX!J217=0,"",[1]AIX!J217)</f>
        <v>1091</v>
      </c>
      <c r="AN216" s="22" t="str">
        <f t="shared" si="55"/>
        <v/>
      </c>
      <c r="AO216" s="23" t="str">
        <f>IF([2]AIX!J218=0,"",[2]AIX!J218)</f>
        <v/>
      </c>
      <c r="AP216" s="17" t="str">
        <f t="shared" si="59"/>
        <v/>
      </c>
      <c r="BB216" s="39"/>
      <c r="BD216" s="5">
        <v>46235</v>
      </c>
      <c r="BE216" s="42">
        <f t="shared" si="61"/>
        <v>16.463703024747939</v>
      </c>
      <c r="BF216" s="22" t="str">
        <f t="shared" si="56"/>
        <v/>
      </c>
      <c r="BG216" s="42" t="str">
        <f t="shared" si="62"/>
        <v/>
      </c>
      <c r="BH216" s="17" t="str">
        <f t="shared" si="60"/>
        <v/>
      </c>
      <c r="BT216" s="39"/>
    </row>
    <row r="217" spans="2:72">
      <c r="B217" s="5">
        <v>46236</v>
      </c>
      <c r="C217" s="23">
        <f>IF([1]AIX!H218=0,"",[1]AIX!H218)</f>
        <v>19123.84</v>
      </c>
      <c r="D217" s="22" t="str">
        <f t="shared" si="53"/>
        <v/>
      </c>
      <c r="E217" s="24" t="str">
        <f>IF([2]AIX!H219=0,"",[2]AIX!H219)</f>
        <v/>
      </c>
      <c r="F217" s="17" t="str">
        <f t="shared" si="57"/>
        <v/>
      </c>
      <c r="R217" s="39"/>
      <c r="T217" s="5">
        <v>46236</v>
      </c>
      <c r="U217" s="23">
        <f>IF([1]AIX!I218=0,"",[1]AIX!I218)</f>
        <v>19123.84</v>
      </c>
      <c r="V217" s="22" t="str">
        <f t="shared" si="54"/>
        <v/>
      </c>
      <c r="W217" s="24" t="str">
        <f>IF([2]AIX!I219=0,"",[2]AIX!I219)</f>
        <v/>
      </c>
      <c r="X217" s="17" t="str">
        <f t="shared" si="58"/>
        <v/>
      </c>
      <c r="AJ217" s="39"/>
      <c r="AL217" s="5">
        <v>46236</v>
      </c>
      <c r="AM217" s="23">
        <f>IF([1]AIX!J218=0,"",[1]AIX!J218)</f>
        <v>1035</v>
      </c>
      <c r="AN217" s="22" t="str">
        <f t="shared" si="55"/>
        <v/>
      </c>
      <c r="AO217" s="24" t="str">
        <f>IF([2]AIX!J219=0,"",[2]AIX!J219)</f>
        <v/>
      </c>
      <c r="AP217" s="17" t="str">
        <f t="shared" si="59"/>
        <v/>
      </c>
      <c r="BB217" s="39"/>
      <c r="BD217" s="5">
        <v>46236</v>
      </c>
      <c r="BE217" s="42">
        <f t="shared" si="61"/>
        <v>18.477140096618356</v>
      </c>
      <c r="BF217" s="22" t="str">
        <f t="shared" si="56"/>
        <v/>
      </c>
      <c r="BG217" s="43" t="str">
        <f t="shared" si="62"/>
        <v/>
      </c>
      <c r="BH217" s="17" t="str">
        <f t="shared" si="60"/>
        <v/>
      </c>
      <c r="BT217" s="39"/>
    </row>
    <row r="218" spans="2:72">
      <c r="B218" s="5">
        <v>46237</v>
      </c>
      <c r="C218" s="24">
        <f>IF([1]AIX!H219=0,"",[1]AIX!H219)</f>
        <v>20753.43</v>
      </c>
      <c r="D218" s="22" t="str">
        <f t="shared" si="53"/>
        <v/>
      </c>
      <c r="E218" s="21" t="str">
        <f>IF([2]AIX!H220=0,"",[2]AIX!H220)</f>
        <v/>
      </c>
      <c r="F218" s="17" t="str">
        <f t="shared" si="57"/>
        <v/>
      </c>
      <c r="R218" s="39"/>
      <c r="T218" s="5">
        <v>46237</v>
      </c>
      <c r="U218" s="24">
        <f>IF([1]AIX!I219=0,"",[1]AIX!I219)</f>
        <v>20418.88</v>
      </c>
      <c r="V218" s="22" t="str">
        <f t="shared" si="54"/>
        <v/>
      </c>
      <c r="W218" s="21" t="str">
        <f>IF([2]AIX!I220=0,"",[2]AIX!I220)</f>
        <v/>
      </c>
      <c r="X218" s="17" t="str">
        <f t="shared" si="58"/>
        <v/>
      </c>
      <c r="AJ218" s="39"/>
      <c r="AL218" s="5">
        <v>46237</v>
      </c>
      <c r="AM218" s="24">
        <f>IF([1]AIX!J219=0,"",[1]AIX!J219)</f>
        <v>1116</v>
      </c>
      <c r="AN218" s="22" t="str">
        <f t="shared" si="55"/>
        <v/>
      </c>
      <c r="AO218" s="21" t="str">
        <f>IF([2]AIX!J220=0,"",[2]AIX!J220)</f>
        <v/>
      </c>
      <c r="AP218" s="17" t="str">
        <f t="shared" si="59"/>
        <v/>
      </c>
      <c r="BB218" s="39"/>
      <c r="BD218" s="5">
        <v>46237</v>
      </c>
      <c r="BE218" s="43">
        <f t="shared" si="61"/>
        <v>18.596263440860216</v>
      </c>
      <c r="BF218" s="22" t="str">
        <f t="shared" si="56"/>
        <v/>
      </c>
      <c r="BG218" s="41" t="str">
        <f t="shared" si="62"/>
        <v/>
      </c>
      <c r="BH218" s="17" t="str">
        <f t="shared" si="60"/>
        <v/>
      </c>
      <c r="BT218" s="39"/>
    </row>
    <row r="219" spans="2:72">
      <c r="B219" s="5">
        <v>46238</v>
      </c>
      <c r="C219" s="21">
        <f>IF([1]AIX!H220=0,"",[1]AIX!H220)</f>
        <v>15218.51</v>
      </c>
      <c r="D219" s="22" t="str">
        <f t="shared" si="53"/>
        <v/>
      </c>
      <c r="E219" s="23" t="str">
        <f>IF([2]AIX!H221=0,"",[2]AIX!H221)</f>
        <v/>
      </c>
      <c r="F219" s="17" t="str">
        <f t="shared" si="57"/>
        <v/>
      </c>
      <c r="R219" s="39"/>
      <c r="T219" s="5">
        <v>46238</v>
      </c>
      <c r="U219" s="21">
        <f>IF([1]AIX!I220=0,"",[1]AIX!I220)</f>
        <v>14993.16</v>
      </c>
      <c r="V219" s="22" t="str">
        <f t="shared" si="54"/>
        <v/>
      </c>
      <c r="W219" s="23" t="str">
        <f>IF([2]AIX!I221=0,"",[2]AIX!I221)</f>
        <v/>
      </c>
      <c r="X219" s="17" t="str">
        <f t="shared" si="58"/>
        <v/>
      </c>
      <c r="AJ219" s="39"/>
      <c r="AL219" s="5">
        <v>46238</v>
      </c>
      <c r="AM219" s="21">
        <f>IF([1]AIX!J220=0,"",[1]AIX!J220)</f>
        <v>898</v>
      </c>
      <c r="AN219" s="22" t="str">
        <f t="shared" si="55"/>
        <v/>
      </c>
      <c r="AO219" s="23" t="str">
        <f>IF([2]AIX!J221=0,"",[2]AIX!J221)</f>
        <v/>
      </c>
      <c r="AP219" s="17" t="str">
        <f t="shared" si="59"/>
        <v/>
      </c>
      <c r="BB219" s="39"/>
      <c r="BD219" s="5">
        <v>46238</v>
      </c>
      <c r="BE219" s="41">
        <f t="shared" si="61"/>
        <v>16.947115812917595</v>
      </c>
      <c r="BF219" s="22" t="str">
        <f t="shared" si="56"/>
        <v/>
      </c>
      <c r="BG219" s="42" t="str">
        <f t="shared" si="62"/>
        <v/>
      </c>
      <c r="BH219" s="17" t="str">
        <f t="shared" si="60"/>
        <v/>
      </c>
      <c r="BT219" s="39"/>
    </row>
    <row r="220" spans="2:72">
      <c r="B220" s="5">
        <v>46239</v>
      </c>
      <c r="C220" s="23">
        <f>IF([1]AIX!H221=0,"",[1]AIX!H221)</f>
        <v>17243</v>
      </c>
      <c r="D220" s="22" t="str">
        <f t="shared" si="53"/>
        <v/>
      </c>
      <c r="E220" s="23" t="str">
        <f>IF([2]AIX!H222=0,"",[2]AIX!H222)</f>
        <v/>
      </c>
      <c r="F220" s="17" t="str">
        <f t="shared" si="57"/>
        <v/>
      </c>
      <c r="R220" s="39"/>
      <c r="T220" s="5">
        <v>46239</v>
      </c>
      <c r="U220" s="23">
        <f>IF([1]AIX!I221=0,"",[1]AIX!I221)</f>
        <v>16972.2</v>
      </c>
      <c r="V220" s="22" t="str">
        <f t="shared" si="54"/>
        <v/>
      </c>
      <c r="W220" s="23" t="str">
        <f>IF([2]AIX!I222=0,"",[2]AIX!I222)</f>
        <v/>
      </c>
      <c r="X220" s="17" t="str">
        <f t="shared" si="58"/>
        <v/>
      </c>
      <c r="AJ220" s="39"/>
      <c r="AL220" s="5">
        <v>46239</v>
      </c>
      <c r="AM220" s="23">
        <f>IF([1]AIX!J221=0,"",[1]AIX!J221)</f>
        <v>1037</v>
      </c>
      <c r="AN220" s="22" t="str">
        <f t="shared" si="55"/>
        <v/>
      </c>
      <c r="AO220" s="23" t="str">
        <f>IF([2]AIX!J222=0,"",[2]AIX!J222)</f>
        <v/>
      </c>
      <c r="AP220" s="17" t="str">
        <f t="shared" si="59"/>
        <v/>
      </c>
      <c r="BB220" s="39"/>
      <c r="BD220" s="5">
        <v>46239</v>
      </c>
      <c r="BE220" s="42">
        <f t="shared" si="61"/>
        <v>16.627772420443588</v>
      </c>
      <c r="BF220" s="22" t="str">
        <f t="shared" si="56"/>
        <v/>
      </c>
      <c r="BG220" s="42" t="str">
        <f t="shared" si="62"/>
        <v/>
      </c>
      <c r="BH220" s="17" t="str">
        <f t="shared" si="60"/>
        <v/>
      </c>
      <c r="BT220" s="39"/>
    </row>
    <row r="221" spans="2:72">
      <c r="B221" s="5">
        <v>46240</v>
      </c>
      <c r="C221" s="23">
        <f>IF([1]AIX!H222=0,"",[1]AIX!H222)</f>
        <v>16294.42</v>
      </c>
      <c r="D221" s="22" t="str">
        <f t="shared" si="53"/>
        <v/>
      </c>
      <c r="E221" s="23" t="str">
        <f>IF([2]AIX!H223=0,"",[2]AIX!H223)</f>
        <v/>
      </c>
      <c r="F221" s="17" t="str">
        <f t="shared" si="57"/>
        <v/>
      </c>
      <c r="R221" s="39"/>
      <c r="T221" s="5">
        <v>46240</v>
      </c>
      <c r="U221" s="23">
        <f>IF([1]AIX!I222=0,"",[1]AIX!I222)</f>
        <v>16033.58</v>
      </c>
      <c r="V221" s="22" t="str">
        <f t="shared" si="54"/>
        <v/>
      </c>
      <c r="W221" s="23" t="str">
        <f>IF([2]AIX!I223=0,"",[2]AIX!I223)</f>
        <v/>
      </c>
      <c r="X221" s="17" t="str">
        <f t="shared" si="58"/>
        <v/>
      </c>
      <c r="AJ221" s="39"/>
      <c r="AL221" s="5">
        <v>46240</v>
      </c>
      <c r="AM221" s="23">
        <f>IF([1]AIX!J222=0,"",[1]AIX!J222)</f>
        <v>946</v>
      </c>
      <c r="AN221" s="22" t="str">
        <f t="shared" si="55"/>
        <v/>
      </c>
      <c r="AO221" s="23" t="str">
        <f>IF([2]AIX!J223=0,"",[2]AIX!J223)</f>
        <v/>
      </c>
      <c r="AP221" s="17" t="str">
        <f t="shared" si="59"/>
        <v/>
      </c>
      <c r="BB221" s="39"/>
      <c r="BD221" s="5">
        <v>46240</v>
      </c>
      <c r="BE221" s="42">
        <f t="shared" si="61"/>
        <v>17.224545454545456</v>
      </c>
      <c r="BF221" s="22" t="str">
        <f t="shared" si="56"/>
        <v/>
      </c>
      <c r="BG221" s="42" t="str">
        <f t="shared" si="62"/>
        <v/>
      </c>
      <c r="BH221" s="17" t="str">
        <f t="shared" si="60"/>
        <v/>
      </c>
      <c r="BT221" s="39"/>
    </row>
    <row r="222" spans="2:72">
      <c r="B222" s="5">
        <v>46241</v>
      </c>
      <c r="C222" s="23">
        <f>IF([1]AIX!H223=0,"",[1]AIX!H223)</f>
        <v>20290.400000000001</v>
      </c>
      <c r="D222" s="22" t="str">
        <f t="shared" si="53"/>
        <v/>
      </c>
      <c r="E222" s="23" t="str">
        <f>IF([2]AIX!H224=0,"",[2]AIX!H224)</f>
        <v/>
      </c>
      <c r="F222" s="17" t="str">
        <f t="shared" si="57"/>
        <v/>
      </c>
      <c r="R222" s="39"/>
      <c r="T222" s="5">
        <v>46241</v>
      </c>
      <c r="U222" s="23">
        <f>IF([1]AIX!I223=0,"",[1]AIX!I223)</f>
        <v>19848.240000000002</v>
      </c>
      <c r="V222" s="22" t="str">
        <f t="shared" si="54"/>
        <v/>
      </c>
      <c r="W222" s="23" t="str">
        <f>IF([2]AIX!I224=0,"",[2]AIX!I224)</f>
        <v/>
      </c>
      <c r="X222" s="17" t="str">
        <f t="shared" si="58"/>
        <v/>
      </c>
      <c r="AJ222" s="39"/>
      <c r="AL222" s="5">
        <v>46241</v>
      </c>
      <c r="AM222" s="23">
        <f>IF([1]AIX!J223=0,"",[1]AIX!J223)</f>
        <v>1261</v>
      </c>
      <c r="AN222" s="22" t="str">
        <f t="shared" si="55"/>
        <v/>
      </c>
      <c r="AO222" s="23" t="str">
        <f>IF([2]AIX!J224=0,"",[2]AIX!J224)</f>
        <v/>
      </c>
      <c r="AP222" s="17" t="str">
        <f t="shared" si="59"/>
        <v/>
      </c>
      <c r="BB222" s="39"/>
      <c r="BD222" s="5">
        <v>46241</v>
      </c>
      <c r="BE222" s="42">
        <f t="shared" si="61"/>
        <v>16.090721649484536</v>
      </c>
      <c r="BF222" s="22" t="str">
        <f t="shared" si="56"/>
        <v/>
      </c>
      <c r="BG222" s="42" t="str">
        <f t="shared" si="62"/>
        <v/>
      </c>
      <c r="BH222" s="17" t="str">
        <f t="shared" si="60"/>
        <v/>
      </c>
      <c r="BT222" s="39"/>
    </row>
    <row r="223" spans="2:72">
      <c r="B223" s="5">
        <v>46242</v>
      </c>
      <c r="C223" s="23">
        <f>IF([1]AIX!H224=0,"",[1]AIX!H224)</f>
        <v>18485.97</v>
      </c>
      <c r="D223" s="22" t="str">
        <f t="shared" si="53"/>
        <v/>
      </c>
      <c r="E223" s="23" t="str">
        <f>IF([2]AIX!H225=0,"",[2]AIX!H225)</f>
        <v/>
      </c>
      <c r="F223" s="17" t="str">
        <f t="shared" si="57"/>
        <v/>
      </c>
      <c r="R223" s="39"/>
      <c r="T223" s="5">
        <v>46242</v>
      </c>
      <c r="U223" s="23">
        <f>IF([1]AIX!I224=0,"",[1]AIX!I224)</f>
        <v>18147.04</v>
      </c>
      <c r="V223" s="22" t="str">
        <f t="shared" si="54"/>
        <v/>
      </c>
      <c r="W223" s="23" t="str">
        <f>IF([2]AIX!I225=0,"",[2]AIX!I225)</f>
        <v/>
      </c>
      <c r="X223" s="17" t="str">
        <f t="shared" si="58"/>
        <v/>
      </c>
      <c r="AJ223" s="39"/>
      <c r="AL223" s="5">
        <v>46242</v>
      </c>
      <c r="AM223" s="23">
        <f>IF([1]AIX!J224=0,"",[1]AIX!J224)</f>
        <v>1091</v>
      </c>
      <c r="AN223" s="22" t="str">
        <f t="shared" si="55"/>
        <v/>
      </c>
      <c r="AO223" s="23" t="str">
        <f>IF([2]AIX!J225=0,"",[2]AIX!J225)</f>
        <v/>
      </c>
      <c r="AP223" s="17" t="str">
        <f t="shared" si="59"/>
        <v/>
      </c>
      <c r="BB223" s="39"/>
      <c r="BD223" s="5">
        <v>46242</v>
      </c>
      <c r="BE223" s="42">
        <f t="shared" si="61"/>
        <v>16.944060494958755</v>
      </c>
      <c r="BF223" s="22" t="str">
        <f t="shared" si="56"/>
        <v/>
      </c>
      <c r="BG223" s="42" t="str">
        <f t="shared" si="62"/>
        <v/>
      </c>
      <c r="BH223" s="17" t="str">
        <f t="shared" si="60"/>
        <v/>
      </c>
      <c r="BT223" s="39"/>
    </row>
    <row r="224" spans="2:72">
      <c r="B224" s="5">
        <v>46243</v>
      </c>
      <c r="C224" s="23">
        <f>IF([1]AIX!H225=0,"",[1]AIX!H225)</f>
        <v>19514.05</v>
      </c>
      <c r="D224" s="22" t="str">
        <f t="shared" si="53"/>
        <v/>
      </c>
      <c r="E224" s="24" t="str">
        <f>IF([2]AIX!H226=0,"",[2]AIX!H226)</f>
        <v/>
      </c>
      <c r="F224" s="17" t="str">
        <f t="shared" si="57"/>
        <v/>
      </c>
      <c r="R224" s="39"/>
      <c r="T224" s="5">
        <v>46243</v>
      </c>
      <c r="U224" s="23">
        <f>IF([1]AIX!I225=0,"",[1]AIX!I225)</f>
        <v>19159.32</v>
      </c>
      <c r="V224" s="22" t="str">
        <f t="shared" si="54"/>
        <v/>
      </c>
      <c r="W224" s="24" t="str">
        <f>IF([2]AIX!I226=0,"",[2]AIX!I226)</f>
        <v/>
      </c>
      <c r="X224" s="17" t="str">
        <f t="shared" si="58"/>
        <v/>
      </c>
      <c r="AJ224" s="39"/>
      <c r="AL224" s="5">
        <v>46243</v>
      </c>
      <c r="AM224" s="23">
        <f>IF([1]AIX!J225=0,"",[1]AIX!J225)</f>
        <v>1130</v>
      </c>
      <c r="AN224" s="22" t="str">
        <f t="shared" si="55"/>
        <v/>
      </c>
      <c r="AO224" s="24" t="str">
        <f>IF([2]AIX!J226=0,"",[2]AIX!J226)</f>
        <v/>
      </c>
      <c r="AP224" s="17" t="str">
        <f t="shared" si="59"/>
        <v/>
      </c>
      <c r="BB224" s="39"/>
      <c r="BD224" s="5">
        <v>46243</v>
      </c>
      <c r="BE224" s="42">
        <f t="shared" si="61"/>
        <v>17.269070796460177</v>
      </c>
      <c r="BF224" s="22" t="str">
        <f t="shared" si="56"/>
        <v/>
      </c>
      <c r="BG224" s="43" t="str">
        <f t="shared" si="62"/>
        <v/>
      </c>
      <c r="BH224" s="17" t="str">
        <f t="shared" si="60"/>
        <v/>
      </c>
      <c r="BT224" s="39"/>
    </row>
    <row r="225" spans="2:72">
      <c r="B225" s="5">
        <v>46244</v>
      </c>
      <c r="C225" s="24">
        <f>IF([1]AIX!H226=0,"",[1]AIX!H226)</f>
        <v>22382.18</v>
      </c>
      <c r="D225" s="22" t="str">
        <f t="shared" si="53"/>
        <v/>
      </c>
      <c r="E225" s="21" t="str">
        <f>IF([2]AIX!H227=0,"",[2]AIX!H227)</f>
        <v/>
      </c>
      <c r="F225" s="17" t="str">
        <f t="shared" si="57"/>
        <v/>
      </c>
      <c r="R225" s="39"/>
      <c r="T225" s="5">
        <v>46244</v>
      </c>
      <c r="U225" s="24">
        <f>IF([1]AIX!I226=0,"",[1]AIX!I226)</f>
        <v>22009.42</v>
      </c>
      <c r="V225" s="22" t="str">
        <f t="shared" si="54"/>
        <v/>
      </c>
      <c r="W225" s="21" t="str">
        <f>IF([2]AIX!I227=0,"",[2]AIX!I227)</f>
        <v/>
      </c>
      <c r="X225" s="17" t="str">
        <f t="shared" si="58"/>
        <v/>
      </c>
      <c r="AJ225" s="39"/>
      <c r="AL225" s="5">
        <v>46244</v>
      </c>
      <c r="AM225" s="24">
        <f>IF([1]AIX!J226=0,"",[1]AIX!J226)</f>
        <v>1241</v>
      </c>
      <c r="AN225" s="22" t="str">
        <f t="shared" si="55"/>
        <v/>
      </c>
      <c r="AO225" s="21" t="str">
        <f>IF([2]AIX!J227=0,"",[2]AIX!J227)</f>
        <v/>
      </c>
      <c r="AP225" s="17" t="str">
        <f t="shared" si="59"/>
        <v/>
      </c>
      <c r="BB225" s="39"/>
      <c r="BD225" s="5">
        <v>46244</v>
      </c>
      <c r="BE225" s="43">
        <f t="shared" si="61"/>
        <v>18.035600322320711</v>
      </c>
      <c r="BF225" s="22" t="str">
        <f t="shared" si="56"/>
        <v/>
      </c>
      <c r="BG225" s="41" t="str">
        <f t="shared" si="62"/>
        <v/>
      </c>
      <c r="BH225" s="17" t="str">
        <f t="shared" si="60"/>
        <v/>
      </c>
      <c r="BT225" s="39"/>
    </row>
    <row r="226" spans="2:72">
      <c r="B226" s="5">
        <v>46245</v>
      </c>
      <c r="C226" s="21">
        <f>IF([1]AIX!H227=0,"",[1]AIX!H227)</f>
        <v>17177.34</v>
      </c>
      <c r="D226" s="22" t="str">
        <f t="shared" si="53"/>
        <v/>
      </c>
      <c r="E226" s="23" t="str">
        <f>IF([2]AIX!H228=0,"",[2]AIX!H228)</f>
        <v/>
      </c>
      <c r="F226" s="17" t="str">
        <f t="shared" si="57"/>
        <v/>
      </c>
      <c r="R226" s="39"/>
      <c r="T226" s="5">
        <v>46245</v>
      </c>
      <c r="U226" s="21">
        <f>IF([1]AIX!I227=0,"",[1]AIX!I227)</f>
        <v>17177.34</v>
      </c>
      <c r="V226" s="22" t="str">
        <f t="shared" si="54"/>
        <v/>
      </c>
      <c r="W226" s="23" t="str">
        <f>IF([2]AIX!I228=0,"",[2]AIX!I228)</f>
        <v/>
      </c>
      <c r="X226" s="17" t="str">
        <f t="shared" si="58"/>
        <v/>
      </c>
      <c r="AJ226" s="39"/>
      <c r="AL226" s="5">
        <v>46245</v>
      </c>
      <c r="AM226" s="21">
        <f>IF([1]AIX!J227=0,"",[1]AIX!J227)</f>
        <v>996</v>
      </c>
      <c r="AN226" s="22" t="str">
        <f t="shared" si="55"/>
        <v/>
      </c>
      <c r="AO226" s="23" t="str">
        <f>IF([2]AIX!J228=0,"",[2]AIX!J228)</f>
        <v/>
      </c>
      <c r="AP226" s="17" t="str">
        <f t="shared" si="59"/>
        <v/>
      </c>
      <c r="BB226" s="39"/>
      <c r="BD226" s="5">
        <v>46245</v>
      </c>
      <c r="BE226" s="41">
        <f t="shared" si="61"/>
        <v>17.24632530120482</v>
      </c>
      <c r="BF226" s="22" t="str">
        <f t="shared" si="56"/>
        <v/>
      </c>
      <c r="BG226" s="42" t="str">
        <f t="shared" si="62"/>
        <v/>
      </c>
      <c r="BH226" s="17" t="str">
        <f t="shared" si="60"/>
        <v/>
      </c>
      <c r="BT226" s="39"/>
    </row>
    <row r="227" spans="2:72">
      <c r="B227" s="5">
        <v>46246</v>
      </c>
      <c r="C227" s="23">
        <f>IF([1]AIX!H228=0,"",[1]AIX!H228)</f>
        <v>15922.77</v>
      </c>
      <c r="D227" s="22" t="str">
        <f t="shared" si="53"/>
        <v/>
      </c>
      <c r="E227" s="23" t="str">
        <f>IF([2]AIX!H229=0,"",[2]AIX!H229)</f>
        <v/>
      </c>
      <c r="F227" s="17" t="str">
        <f t="shared" si="57"/>
        <v/>
      </c>
      <c r="R227" s="39"/>
      <c r="T227" s="5">
        <v>46246</v>
      </c>
      <c r="U227" s="23">
        <f>IF([1]AIX!I228=0,"",[1]AIX!I228)</f>
        <v>15620.57</v>
      </c>
      <c r="V227" s="22" t="str">
        <f t="shared" si="54"/>
        <v/>
      </c>
      <c r="W227" s="23" t="str">
        <f>IF([2]AIX!I229=0,"",[2]AIX!I229)</f>
        <v/>
      </c>
      <c r="X227" s="17" t="str">
        <f t="shared" si="58"/>
        <v/>
      </c>
      <c r="AJ227" s="39"/>
      <c r="AL227" s="5">
        <v>46246</v>
      </c>
      <c r="AM227" s="23">
        <f>IF([1]AIX!J228=0,"",[1]AIX!J228)</f>
        <v>940</v>
      </c>
      <c r="AN227" s="22" t="str">
        <f t="shared" si="55"/>
        <v/>
      </c>
      <c r="AO227" s="23" t="str">
        <f>IF([2]AIX!J229=0,"",[2]AIX!J229)</f>
        <v/>
      </c>
      <c r="AP227" s="17" t="str">
        <f t="shared" si="59"/>
        <v/>
      </c>
      <c r="BB227" s="39"/>
      <c r="BD227" s="5">
        <v>46246</v>
      </c>
      <c r="BE227" s="42">
        <f t="shared" si="61"/>
        <v>16.939117021276598</v>
      </c>
      <c r="BF227" s="22" t="str">
        <f t="shared" si="56"/>
        <v/>
      </c>
      <c r="BG227" s="42" t="str">
        <f t="shared" si="62"/>
        <v/>
      </c>
      <c r="BH227" s="17" t="str">
        <f t="shared" si="60"/>
        <v/>
      </c>
      <c r="BT227" s="39"/>
    </row>
    <row r="228" spans="2:72">
      <c r="B228" s="5">
        <v>46247</v>
      </c>
      <c r="C228" s="23">
        <f>IF([1]AIX!H229=0,"",[1]AIX!H229)</f>
        <v>15617.23</v>
      </c>
      <c r="D228" s="22" t="str">
        <f t="shared" si="53"/>
        <v/>
      </c>
      <c r="E228" s="23" t="str">
        <f>IF([2]AIX!H230=0,"",[2]AIX!H230)</f>
        <v/>
      </c>
      <c r="F228" s="17" t="str">
        <f t="shared" si="57"/>
        <v/>
      </c>
      <c r="R228" s="39"/>
      <c r="T228" s="5">
        <v>46247</v>
      </c>
      <c r="U228" s="23">
        <f>IF([1]AIX!I229=0,"",[1]AIX!I229)</f>
        <v>15336.87</v>
      </c>
      <c r="V228" s="22" t="str">
        <f t="shared" si="54"/>
        <v/>
      </c>
      <c r="W228" s="23" t="str">
        <f>IF([2]AIX!I230=0,"",[2]AIX!I230)</f>
        <v/>
      </c>
      <c r="X228" s="17" t="str">
        <f t="shared" si="58"/>
        <v/>
      </c>
      <c r="AJ228" s="39"/>
      <c r="AL228" s="5">
        <v>46247</v>
      </c>
      <c r="AM228" s="23">
        <f>IF([1]AIX!J229=0,"",[1]AIX!J229)</f>
        <v>939</v>
      </c>
      <c r="AN228" s="22" t="str">
        <f t="shared" si="55"/>
        <v/>
      </c>
      <c r="AO228" s="23" t="str">
        <f>IF([2]AIX!J230=0,"",[2]AIX!J230)</f>
        <v/>
      </c>
      <c r="AP228" s="17" t="str">
        <f t="shared" si="59"/>
        <v/>
      </c>
      <c r="BB228" s="39"/>
      <c r="BD228" s="5">
        <v>46247</v>
      </c>
      <c r="BE228" s="42">
        <f t="shared" si="61"/>
        <v>16.631767838125665</v>
      </c>
      <c r="BF228" s="22" t="str">
        <f t="shared" si="56"/>
        <v/>
      </c>
      <c r="BG228" s="42" t="str">
        <f t="shared" si="62"/>
        <v/>
      </c>
      <c r="BH228" s="17" t="str">
        <f t="shared" si="60"/>
        <v/>
      </c>
      <c r="BT228" s="39"/>
    </row>
    <row r="229" spans="2:72">
      <c r="B229" s="5">
        <v>46248</v>
      </c>
      <c r="C229" s="23">
        <f>IF([1]AIX!H230=0,"",[1]AIX!H230)</f>
        <v>18713.95</v>
      </c>
      <c r="D229" s="22" t="str">
        <f t="shared" si="53"/>
        <v/>
      </c>
      <c r="E229" s="23" t="str">
        <f>IF([2]AIX!H231=0,"",[2]AIX!H231)</f>
        <v/>
      </c>
      <c r="F229" s="17" t="str">
        <f t="shared" si="57"/>
        <v/>
      </c>
      <c r="R229" s="39"/>
      <c r="T229" s="5">
        <v>46248</v>
      </c>
      <c r="U229" s="23">
        <f>IF([1]AIX!I230=0,"",[1]AIX!I230)</f>
        <v>18358.650000000001</v>
      </c>
      <c r="V229" s="22" t="str">
        <f t="shared" si="54"/>
        <v/>
      </c>
      <c r="W229" s="23" t="str">
        <f>IF([2]AIX!I231=0,"",[2]AIX!I231)</f>
        <v/>
      </c>
      <c r="X229" s="17" t="str">
        <f t="shared" si="58"/>
        <v/>
      </c>
      <c r="AJ229" s="39"/>
      <c r="AL229" s="5">
        <v>46248</v>
      </c>
      <c r="AM229" s="23">
        <f>IF([1]AIX!J230=0,"",[1]AIX!J230)</f>
        <v>1127</v>
      </c>
      <c r="AN229" s="22" t="str">
        <f t="shared" si="55"/>
        <v/>
      </c>
      <c r="AO229" s="23" t="str">
        <f>IF([2]AIX!J231=0,"",[2]AIX!J231)</f>
        <v/>
      </c>
      <c r="AP229" s="17" t="str">
        <f t="shared" si="59"/>
        <v/>
      </c>
      <c r="BB229" s="39"/>
      <c r="BD229" s="5">
        <v>46248</v>
      </c>
      <c r="BE229" s="42">
        <f t="shared" si="61"/>
        <v>16.605102040816327</v>
      </c>
      <c r="BF229" s="22" t="str">
        <f t="shared" si="56"/>
        <v/>
      </c>
      <c r="BG229" s="42" t="str">
        <f t="shared" si="62"/>
        <v/>
      </c>
      <c r="BH229" s="17" t="str">
        <f t="shared" si="60"/>
        <v/>
      </c>
      <c r="BT229" s="39"/>
    </row>
    <row r="230" spans="2:72">
      <c r="B230" s="5">
        <v>46249</v>
      </c>
      <c r="C230" s="23">
        <f>IF([1]AIX!H231=0,"",[1]AIX!H231)</f>
        <v>30565.51</v>
      </c>
      <c r="D230" s="22" t="str">
        <f t="shared" si="53"/>
        <v/>
      </c>
      <c r="E230" s="23" t="str">
        <f>IF([2]AIX!H232=0,"",[2]AIX!H232)</f>
        <v/>
      </c>
      <c r="F230" s="17" t="str">
        <f t="shared" si="57"/>
        <v/>
      </c>
      <c r="R230" s="39"/>
      <c r="T230" s="5">
        <v>46249</v>
      </c>
      <c r="U230" s="23">
        <f>IF([1]AIX!I231=0,"",[1]AIX!I231)</f>
        <v>30085.53</v>
      </c>
      <c r="V230" s="22" t="str">
        <f t="shared" si="54"/>
        <v/>
      </c>
      <c r="W230" s="23" t="str">
        <f>IF([2]AIX!I232=0,"",[2]AIX!I232)</f>
        <v/>
      </c>
      <c r="X230" s="17" t="str">
        <f t="shared" si="58"/>
        <v/>
      </c>
      <c r="AJ230" s="39"/>
      <c r="AL230" s="5">
        <v>46249</v>
      </c>
      <c r="AM230" s="23">
        <f>IF([1]AIX!J231=0,"",[1]AIX!J231)</f>
        <v>1611</v>
      </c>
      <c r="AN230" s="22" t="str">
        <f t="shared" si="55"/>
        <v/>
      </c>
      <c r="AO230" s="23" t="str">
        <f>IF([2]AIX!J232=0,"",[2]AIX!J232)</f>
        <v/>
      </c>
      <c r="AP230" s="17" t="str">
        <f t="shared" si="59"/>
        <v/>
      </c>
      <c r="BB230" s="39"/>
      <c r="BD230" s="5">
        <v>46249</v>
      </c>
      <c r="BE230" s="42">
        <f t="shared" si="61"/>
        <v>18.973004345127251</v>
      </c>
      <c r="BF230" s="22" t="str">
        <f t="shared" si="56"/>
        <v/>
      </c>
      <c r="BG230" s="42" t="str">
        <f t="shared" si="62"/>
        <v/>
      </c>
      <c r="BH230" s="17" t="str">
        <f t="shared" si="60"/>
        <v/>
      </c>
      <c r="BT230" s="39"/>
    </row>
    <row r="231" spans="2:72">
      <c r="B231" s="5">
        <v>46250</v>
      </c>
      <c r="C231" s="23">
        <f>IF([1]AIX!H232=0,"",[1]AIX!H232)</f>
        <v>18802.689999999999</v>
      </c>
      <c r="D231" s="22" t="str">
        <f t="shared" si="53"/>
        <v/>
      </c>
      <c r="E231" s="24" t="str">
        <f>IF([2]AIX!H233=0,"",[2]AIX!H233)</f>
        <v/>
      </c>
      <c r="F231" s="17" t="str">
        <f t="shared" si="57"/>
        <v/>
      </c>
      <c r="R231" s="39"/>
      <c r="T231" s="5">
        <v>46250</v>
      </c>
      <c r="U231" s="23">
        <f>IF([1]AIX!I232=0,"",[1]AIX!I232)</f>
        <v>18479.43</v>
      </c>
      <c r="V231" s="22" t="str">
        <f t="shared" si="54"/>
        <v/>
      </c>
      <c r="W231" s="24" t="str">
        <f>IF([2]AIX!I233=0,"",[2]AIX!I233)</f>
        <v/>
      </c>
      <c r="X231" s="17" t="str">
        <f t="shared" si="58"/>
        <v/>
      </c>
      <c r="AJ231" s="39"/>
      <c r="AL231" s="5">
        <v>46250</v>
      </c>
      <c r="AM231" s="23">
        <f>IF([1]AIX!J232=0,"",[1]AIX!J232)</f>
        <v>1113</v>
      </c>
      <c r="AN231" s="22" t="str">
        <f t="shared" si="55"/>
        <v/>
      </c>
      <c r="AO231" s="24" t="str">
        <f>IF([2]AIX!J233=0,"",[2]AIX!J233)</f>
        <v/>
      </c>
      <c r="AP231" s="17" t="str">
        <f t="shared" si="59"/>
        <v/>
      </c>
      <c r="BB231" s="39"/>
      <c r="BD231" s="5">
        <v>46250</v>
      </c>
      <c r="BE231" s="42">
        <f t="shared" si="61"/>
        <v>16.893701707097932</v>
      </c>
      <c r="BF231" s="22" t="str">
        <f t="shared" si="56"/>
        <v/>
      </c>
      <c r="BG231" s="43" t="str">
        <f t="shared" si="62"/>
        <v/>
      </c>
      <c r="BH231" s="17" t="str">
        <f t="shared" si="60"/>
        <v/>
      </c>
      <c r="BT231" s="39"/>
    </row>
    <row r="232" spans="2:72">
      <c r="B232" s="5">
        <v>46251</v>
      </c>
      <c r="C232" s="24">
        <f>IF([1]AIX!H233=0,"",[1]AIX!H233)</f>
        <v>21410.39</v>
      </c>
      <c r="D232" s="22" t="str">
        <f t="shared" si="53"/>
        <v/>
      </c>
      <c r="E232" s="21" t="str">
        <f>IF([2]AIX!H234=0,"",[2]AIX!H234)</f>
        <v/>
      </c>
      <c r="F232" s="17" t="str">
        <f t="shared" si="57"/>
        <v/>
      </c>
      <c r="R232" s="39"/>
      <c r="T232" s="5">
        <v>46251</v>
      </c>
      <c r="U232" s="24">
        <f>IF([1]AIX!I233=0,"",[1]AIX!I233)</f>
        <v>20983.37</v>
      </c>
      <c r="V232" s="22" t="str">
        <f t="shared" si="54"/>
        <v/>
      </c>
      <c r="W232" s="21" t="str">
        <f>IF([2]AIX!I234=0,"",[2]AIX!I234)</f>
        <v/>
      </c>
      <c r="X232" s="17" t="str">
        <f t="shared" si="58"/>
        <v/>
      </c>
      <c r="AJ232" s="39"/>
      <c r="AL232" s="5">
        <v>46251</v>
      </c>
      <c r="AM232" s="24">
        <f>IF([1]AIX!J233=0,"",[1]AIX!J233)</f>
        <v>1182</v>
      </c>
      <c r="AN232" s="22" t="str">
        <f t="shared" si="55"/>
        <v/>
      </c>
      <c r="AO232" s="21" t="str">
        <f>IF([2]AIX!J234=0,"",[2]AIX!J234)</f>
        <v/>
      </c>
      <c r="AP232" s="17" t="str">
        <f t="shared" si="59"/>
        <v/>
      </c>
      <c r="BB232" s="39"/>
      <c r="BD232" s="5">
        <v>46251</v>
      </c>
      <c r="BE232" s="43">
        <f t="shared" si="61"/>
        <v>18.113697123519458</v>
      </c>
      <c r="BF232" s="22" t="str">
        <f t="shared" si="56"/>
        <v/>
      </c>
      <c r="BG232" s="41" t="str">
        <f t="shared" si="62"/>
        <v/>
      </c>
      <c r="BH232" s="17" t="str">
        <f t="shared" si="60"/>
        <v/>
      </c>
      <c r="BT232" s="39"/>
    </row>
    <row r="233" spans="2:72">
      <c r="B233" s="5">
        <v>46252</v>
      </c>
      <c r="C233" s="21">
        <f>IF([1]AIX!H234=0,"",[1]AIX!H234)</f>
        <v>16499</v>
      </c>
      <c r="D233" s="22" t="str">
        <f t="shared" ref="D233:D296" si="63">IF(E232="","",C233)</f>
        <v/>
      </c>
      <c r="E233" s="23" t="str">
        <f>IF([2]AIX!H235=0,"",[2]AIX!H235)</f>
        <v/>
      </c>
      <c r="F233" s="17" t="str">
        <f t="shared" si="57"/>
        <v/>
      </c>
      <c r="R233" s="39"/>
      <c r="T233" s="5">
        <v>46252</v>
      </c>
      <c r="U233" s="21">
        <f>IF([1]AIX!I234=0,"",[1]AIX!I234)</f>
        <v>16235.17</v>
      </c>
      <c r="V233" s="22" t="str">
        <f t="shared" ref="V233:V296" si="64">IF(W232="","",U233)</f>
        <v/>
      </c>
      <c r="W233" s="23" t="str">
        <f>IF([2]AIX!I235=0,"",[2]AIX!I235)</f>
        <v/>
      </c>
      <c r="X233" s="17" t="str">
        <f t="shared" si="58"/>
        <v/>
      </c>
      <c r="AJ233" s="39"/>
      <c r="AL233" s="5">
        <v>46252</v>
      </c>
      <c r="AM233" s="21">
        <f>IF([1]AIX!J234=0,"",[1]AIX!J234)</f>
        <v>937</v>
      </c>
      <c r="AN233" s="22" t="str">
        <f t="shared" ref="AN233:AN296" si="65">IF(AO232="","",AM233)</f>
        <v/>
      </c>
      <c r="AO233" s="23" t="str">
        <f>IF([2]AIX!J235=0,"",[2]AIX!J235)</f>
        <v/>
      </c>
      <c r="AP233" s="17" t="str">
        <f t="shared" si="59"/>
        <v/>
      </c>
      <c r="BB233" s="39"/>
      <c r="BD233" s="5">
        <v>46252</v>
      </c>
      <c r="BE233" s="41">
        <f t="shared" si="61"/>
        <v>17.608324439701175</v>
      </c>
      <c r="BF233" s="22" t="str">
        <f t="shared" ref="BF233:BF296" si="66">IF(BG232="","",BE233)</f>
        <v/>
      </c>
      <c r="BG233" s="42" t="str">
        <f t="shared" si="62"/>
        <v/>
      </c>
      <c r="BH233" s="17" t="str">
        <f t="shared" si="60"/>
        <v/>
      </c>
      <c r="BT233" s="39"/>
    </row>
    <row r="234" spans="2:72">
      <c r="B234" s="5">
        <v>46253</v>
      </c>
      <c r="C234" s="23">
        <f>IF([1]AIX!H235=0,"",[1]AIX!H235)</f>
        <v>14582.14</v>
      </c>
      <c r="D234" s="22" t="str">
        <f t="shared" si="63"/>
        <v/>
      </c>
      <c r="E234" s="23" t="str">
        <f>IF([2]AIX!H236=0,"",[2]AIX!H236)</f>
        <v/>
      </c>
      <c r="F234" s="17" t="str">
        <f t="shared" si="57"/>
        <v/>
      </c>
      <c r="R234" s="39"/>
      <c r="T234" s="5">
        <v>46253</v>
      </c>
      <c r="U234" s="23">
        <f>IF([1]AIX!I235=0,"",[1]AIX!I235)</f>
        <v>14277.95</v>
      </c>
      <c r="V234" s="22" t="str">
        <f t="shared" si="64"/>
        <v/>
      </c>
      <c r="W234" s="23" t="str">
        <f>IF([2]AIX!I236=0,"",[2]AIX!I236)</f>
        <v/>
      </c>
      <c r="X234" s="17" t="str">
        <f t="shared" si="58"/>
        <v/>
      </c>
      <c r="AJ234" s="39"/>
      <c r="AL234" s="5">
        <v>46253</v>
      </c>
      <c r="AM234" s="23">
        <f>IF([1]AIX!J235=0,"",[1]AIX!J235)</f>
        <v>852</v>
      </c>
      <c r="AN234" s="22" t="str">
        <f t="shared" si="65"/>
        <v/>
      </c>
      <c r="AO234" s="23" t="str">
        <f>IF([2]AIX!J236=0,"",[2]AIX!J236)</f>
        <v/>
      </c>
      <c r="AP234" s="17" t="str">
        <f t="shared" si="59"/>
        <v/>
      </c>
      <c r="BB234" s="39"/>
      <c r="BD234" s="5">
        <v>46253</v>
      </c>
      <c r="BE234" s="42">
        <f t="shared" si="61"/>
        <v>17.115187793427229</v>
      </c>
      <c r="BF234" s="22" t="str">
        <f t="shared" si="66"/>
        <v/>
      </c>
      <c r="BG234" s="42" t="str">
        <f t="shared" si="62"/>
        <v/>
      </c>
      <c r="BH234" s="17" t="str">
        <f t="shared" si="60"/>
        <v/>
      </c>
      <c r="BT234" s="39"/>
    </row>
    <row r="235" spans="2:72">
      <c r="B235" s="5">
        <v>46254</v>
      </c>
      <c r="C235" s="23">
        <f>IF([1]AIX!H236=0,"",[1]AIX!H236)</f>
        <v>14905</v>
      </c>
      <c r="D235" s="22" t="str">
        <f t="shared" si="63"/>
        <v/>
      </c>
      <c r="E235" s="23" t="str">
        <f>IF([2]AIX!H237=0,"",[2]AIX!H237)</f>
        <v/>
      </c>
      <c r="F235" s="17" t="str">
        <f t="shared" si="57"/>
        <v/>
      </c>
      <c r="R235" s="39"/>
      <c r="T235" s="5">
        <v>46254</v>
      </c>
      <c r="U235" s="23">
        <f>IF([1]AIX!I236=0,"",[1]AIX!I236)</f>
        <v>14630.36</v>
      </c>
      <c r="V235" s="22" t="str">
        <f t="shared" si="64"/>
        <v/>
      </c>
      <c r="W235" s="23" t="str">
        <f>IF([2]AIX!I237=0,"",[2]AIX!I237)</f>
        <v/>
      </c>
      <c r="X235" s="17" t="str">
        <f t="shared" si="58"/>
        <v/>
      </c>
      <c r="AJ235" s="39"/>
      <c r="AL235" s="5">
        <v>46254</v>
      </c>
      <c r="AM235" s="23">
        <f>IF([1]AIX!J236=0,"",[1]AIX!J236)</f>
        <v>840</v>
      </c>
      <c r="AN235" s="22" t="str">
        <f t="shared" si="65"/>
        <v/>
      </c>
      <c r="AO235" s="23" t="str">
        <f>IF([2]AIX!J237=0,"",[2]AIX!J237)</f>
        <v/>
      </c>
      <c r="AP235" s="17" t="str">
        <f t="shared" si="59"/>
        <v/>
      </c>
      <c r="BB235" s="39"/>
      <c r="BD235" s="5">
        <v>46254</v>
      </c>
      <c r="BE235" s="42">
        <f t="shared" si="61"/>
        <v>17.74404761904762</v>
      </c>
      <c r="BF235" s="22" t="str">
        <f t="shared" si="66"/>
        <v/>
      </c>
      <c r="BG235" s="42" t="str">
        <f t="shared" si="62"/>
        <v/>
      </c>
      <c r="BH235" s="17" t="str">
        <f t="shared" si="60"/>
        <v/>
      </c>
      <c r="BT235" s="39"/>
    </row>
    <row r="236" spans="2:72">
      <c r="B236" s="5">
        <v>46255</v>
      </c>
      <c r="C236" s="23">
        <f>IF([1]AIX!H237=0,"",[1]AIX!H237)</f>
        <v>16627.939999999999</v>
      </c>
      <c r="D236" s="22" t="str">
        <f t="shared" si="63"/>
        <v/>
      </c>
      <c r="E236" s="23" t="str">
        <f>IF([2]AIX!H238=0,"",[2]AIX!H238)</f>
        <v/>
      </c>
      <c r="F236" s="17" t="str">
        <f t="shared" si="57"/>
        <v/>
      </c>
      <c r="R236" s="39"/>
      <c r="T236" s="5">
        <v>46255</v>
      </c>
      <c r="U236" s="23">
        <f>IF([1]AIX!I237=0,"",[1]AIX!I237)</f>
        <v>16246.35</v>
      </c>
      <c r="V236" s="22" t="str">
        <f t="shared" si="64"/>
        <v/>
      </c>
      <c r="W236" s="23" t="str">
        <f>IF([2]AIX!I238=0,"",[2]AIX!I238)</f>
        <v/>
      </c>
      <c r="X236" s="17" t="str">
        <f t="shared" si="58"/>
        <v/>
      </c>
      <c r="AJ236" s="39"/>
      <c r="AL236" s="5">
        <v>46255</v>
      </c>
      <c r="AM236" s="23">
        <f>IF([1]AIX!J237=0,"",[1]AIX!J237)</f>
        <v>957</v>
      </c>
      <c r="AN236" s="22" t="str">
        <f t="shared" si="65"/>
        <v/>
      </c>
      <c r="AO236" s="23" t="str">
        <f>IF([2]AIX!J238=0,"",[2]AIX!J238)</f>
        <v/>
      </c>
      <c r="AP236" s="17" t="str">
        <f t="shared" si="59"/>
        <v/>
      </c>
      <c r="BB236" s="39"/>
      <c r="BD236" s="5">
        <v>46255</v>
      </c>
      <c r="BE236" s="42">
        <f t="shared" si="61"/>
        <v>17.37506792058516</v>
      </c>
      <c r="BF236" s="22" t="str">
        <f t="shared" si="66"/>
        <v/>
      </c>
      <c r="BG236" s="42" t="str">
        <f t="shared" si="62"/>
        <v/>
      </c>
      <c r="BH236" s="17" t="str">
        <f t="shared" si="60"/>
        <v/>
      </c>
      <c r="BT236" s="39"/>
    </row>
    <row r="237" spans="2:72">
      <c r="B237" s="5">
        <v>46256</v>
      </c>
      <c r="C237" s="23">
        <f>IF([1]AIX!H238=0,"",[1]AIX!H238)</f>
        <v>17125.77</v>
      </c>
      <c r="D237" s="22" t="str">
        <f t="shared" si="63"/>
        <v/>
      </c>
      <c r="E237" s="23" t="str">
        <f>IF([2]AIX!H239=0,"",[2]AIX!H239)</f>
        <v/>
      </c>
      <c r="F237" s="17" t="str">
        <f t="shared" si="57"/>
        <v/>
      </c>
      <c r="R237" s="39"/>
      <c r="T237" s="5">
        <v>46256</v>
      </c>
      <c r="U237" s="23">
        <f>IF([1]AIX!I238=0,"",[1]AIX!I238)</f>
        <v>16840.740000000002</v>
      </c>
      <c r="V237" s="22" t="str">
        <f t="shared" si="64"/>
        <v/>
      </c>
      <c r="W237" s="23" t="str">
        <f>IF([2]AIX!I239=0,"",[2]AIX!I239)</f>
        <v/>
      </c>
      <c r="X237" s="17" t="str">
        <f t="shared" si="58"/>
        <v/>
      </c>
      <c r="AJ237" s="39"/>
      <c r="AL237" s="5">
        <v>46256</v>
      </c>
      <c r="AM237" s="23">
        <f>IF([1]AIX!J238=0,"",[1]AIX!J238)</f>
        <v>1016</v>
      </c>
      <c r="AN237" s="22" t="str">
        <f t="shared" si="65"/>
        <v/>
      </c>
      <c r="AO237" s="23" t="str">
        <f>IF([2]AIX!J239=0,"",[2]AIX!J239)</f>
        <v/>
      </c>
      <c r="AP237" s="17" t="str">
        <f t="shared" si="59"/>
        <v/>
      </c>
      <c r="BB237" s="39"/>
      <c r="BD237" s="5">
        <v>46256</v>
      </c>
      <c r="BE237" s="42">
        <f t="shared" si="61"/>
        <v>16.856072834645669</v>
      </c>
      <c r="BF237" s="22" t="str">
        <f t="shared" si="66"/>
        <v/>
      </c>
      <c r="BG237" s="42" t="str">
        <f t="shared" si="62"/>
        <v/>
      </c>
      <c r="BH237" s="17" t="str">
        <f t="shared" si="60"/>
        <v/>
      </c>
      <c r="BT237" s="39"/>
    </row>
    <row r="238" spans="2:72">
      <c r="B238" s="5">
        <v>46257</v>
      </c>
      <c r="C238" s="23">
        <f>IF([1]AIX!H239=0,"",[1]AIX!H239)</f>
        <v>18936.41</v>
      </c>
      <c r="D238" s="22" t="str">
        <f t="shared" si="63"/>
        <v/>
      </c>
      <c r="E238" s="24" t="str">
        <f>IF([2]AIX!H240=0,"",[2]AIX!H240)</f>
        <v/>
      </c>
      <c r="F238" s="17" t="str">
        <f t="shared" si="57"/>
        <v/>
      </c>
      <c r="R238" s="39"/>
      <c r="T238" s="5">
        <v>46257</v>
      </c>
      <c r="U238" s="23">
        <f>IF([1]AIX!I239=0,"",[1]AIX!I239)</f>
        <v>18607.07</v>
      </c>
      <c r="V238" s="22" t="str">
        <f t="shared" si="64"/>
        <v/>
      </c>
      <c r="W238" s="24" t="str">
        <f>IF([2]AIX!I240=0,"",[2]AIX!I240)</f>
        <v/>
      </c>
      <c r="X238" s="17" t="str">
        <f t="shared" si="58"/>
        <v/>
      </c>
      <c r="AJ238" s="39"/>
      <c r="AL238" s="5">
        <v>46257</v>
      </c>
      <c r="AM238" s="23">
        <f>IF([1]AIX!J239=0,"",[1]AIX!J239)</f>
        <v>1070</v>
      </c>
      <c r="AN238" s="22" t="str">
        <f t="shared" si="65"/>
        <v/>
      </c>
      <c r="AO238" s="24" t="str">
        <f>IF([2]AIX!J240=0,"",[2]AIX!J240)</f>
        <v/>
      </c>
      <c r="AP238" s="17" t="str">
        <f t="shared" si="59"/>
        <v/>
      </c>
      <c r="BB238" s="39"/>
      <c r="BD238" s="5">
        <v>46257</v>
      </c>
      <c r="BE238" s="42">
        <f t="shared" si="61"/>
        <v>17.697579439252337</v>
      </c>
      <c r="BF238" s="22" t="str">
        <f t="shared" si="66"/>
        <v/>
      </c>
      <c r="BG238" s="43" t="str">
        <f t="shared" si="62"/>
        <v/>
      </c>
      <c r="BH238" s="17" t="str">
        <f t="shared" si="60"/>
        <v/>
      </c>
      <c r="BT238" s="39"/>
    </row>
    <row r="239" spans="2:72">
      <c r="B239" s="5">
        <v>46258</v>
      </c>
      <c r="C239" s="24">
        <f>IF([1]AIX!H240=0,"",[1]AIX!H240)</f>
        <v>21493.55</v>
      </c>
      <c r="D239" s="22" t="str">
        <f t="shared" si="63"/>
        <v/>
      </c>
      <c r="E239" s="21" t="str">
        <f>IF([2]AIX!H241=0,"",[2]AIX!H241)</f>
        <v/>
      </c>
      <c r="F239" s="17" t="str">
        <f t="shared" si="57"/>
        <v/>
      </c>
      <c r="R239" s="39"/>
      <c r="T239" s="5">
        <v>46258</v>
      </c>
      <c r="U239" s="24">
        <f>IF([1]AIX!I240=0,"",[1]AIX!I240)</f>
        <v>21141.35</v>
      </c>
      <c r="V239" s="22" t="str">
        <f t="shared" si="64"/>
        <v/>
      </c>
      <c r="W239" s="21" t="str">
        <f>IF([2]AIX!I241=0,"",[2]AIX!I241)</f>
        <v/>
      </c>
      <c r="X239" s="17" t="str">
        <f t="shared" si="58"/>
        <v/>
      </c>
      <c r="AJ239" s="39"/>
      <c r="AL239" s="5">
        <v>46258</v>
      </c>
      <c r="AM239" s="24">
        <f>IF([1]AIX!J240=0,"",[1]AIX!J240)</f>
        <v>1160</v>
      </c>
      <c r="AN239" s="22" t="str">
        <f t="shared" si="65"/>
        <v/>
      </c>
      <c r="AO239" s="21" t="str">
        <f>IF([2]AIX!J241=0,"",[2]AIX!J241)</f>
        <v/>
      </c>
      <c r="AP239" s="17" t="str">
        <f t="shared" si="59"/>
        <v/>
      </c>
      <c r="BB239" s="39"/>
      <c r="BD239" s="5">
        <v>46258</v>
      </c>
      <c r="BE239" s="43">
        <f t="shared" si="61"/>
        <v>18.528922413793104</v>
      </c>
      <c r="BF239" s="22" t="str">
        <f t="shared" si="66"/>
        <v/>
      </c>
      <c r="BG239" s="41" t="str">
        <f t="shared" si="62"/>
        <v/>
      </c>
      <c r="BH239" s="17" t="str">
        <f t="shared" si="60"/>
        <v/>
      </c>
      <c r="BT239" s="39"/>
    </row>
    <row r="240" spans="2:72">
      <c r="B240" s="5">
        <v>46259</v>
      </c>
      <c r="C240" s="21">
        <f>IF([1]AIX!H241=0,"",[1]AIX!H241)</f>
        <v>14240.95</v>
      </c>
      <c r="D240" s="22" t="str">
        <f t="shared" si="63"/>
        <v/>
      </c>
      <c r="E240" s="23" t="str">
        <f>IF([2]AIX!H242=0,"",[2]AIX!H242)</f>
        <v/>
      </c>
      <c r="F240" s="17" t="str">
        <f t="shared" si="57"/>
        <v/>
      </c>
      <c r="R240" s="39"/>
      <c r="T240" s="5">
        <v>46259</v>
      </c>
      <c r="U240" s="21">
        <f>IF([1]AIX!I241=0,"",[1]AIX!I241)</f>
        <v>13967.38</v>
      </c>
      <c r="V240" s="22" t="str">
        <f t="shared" si="64"/>
        <v/>
      </c>
      <c r="W240" s="23" t="str">
        <f>IF([2]AIX!I242=0,"",[2]AIX!I242)</f>
        <v/>
      </c>
      <c r="X240" s="17" t="str">
        <f t="shared" si="58"/>
        <v/>
      </c>
      <c r="AJ240" s="39"/>
      <c r="AL240" s="5">
        <v>46259</v>
      </c>
      <c r="AM240" s="21">
        <f>IF([1]AIX!J241=0,"",[1]AIX!J241)</f>
        <v>917</v>
      </c>
      <c r="AN240" s="22" t="str">
        <f t="shared" si="65"/>
        <v/>
      </c>
      <c r="AO240" s="23" t="str">
        <f>IF([2]AIX!J242=0,"",[2]AIX!J242)</f>
        <v/>
      </c>
      <c r="AP240" s="17" t="str">
        <f t="shared" si="59"/>
        <v/>
      </c>
      <c r="BB240" s="39"/>
      <c r="BD240" s="5">
        <v>46259</v>
      </c>
      <c r="BE240" s="41">
        <f t="shared" si="61"/>
        <v>15.529934569247548</v>
      </c>
      <c r="BF240" s="22" t="str">
        <f t="shared" si="66"/>
        <v/>
      </c>
      <c r="BG240" s="42" t="str">
        <f t="shared" si="62"/>
        <v/>
      </c>
      <c r="BH240" s="17" t="str">
        <f t="shared" si="60"/>
        <v/>
      </c>
      <c r="BT240" s="39"/>
    </row>
    <row r="241" spans="2:72">
      <c r="B241" s="5">
        <v>46260</v>
      </c>
      <c r="C241" s="23">
        <f>IF([1]AIX!H242=0,"",[1]AIX!H242)</f>
        <v>14440.61</v>
      </c>
      <c r="D241" s="22" t="str">
        <f t="shared" si="63"/>
        <v/>
      </c>
      <c r="E241" s="23" t="str">
        <f>IF([2]AIX!H243=0,"",[2]AIX!H243)</f>
        <v/>
      </c>
      <c r="F241" s="17" t="str">
        <f t="shared" si="57"/>
        <v/>
      </c>
      <c r="R241" s="39"/>
      <c r="T241" s="5">
        <v>46260</v>
      </c>
      <c r="U241" s="23">
        <f>IF([1]AIX!I242=0,"",[1]AIX!I242)</f>
        <v>14152.78</v>
      </c>
      <c r="V241" s="22" t="str">
        <f t="shared" si="64"/>
        <v/>
      </c>
      <c r="W241" s="23" t="str">
        <f>IF([2]AIX!I243=0,"",[2]AIX!I243)</f>
        <v/>
      </c>
      <c r="X241" s="17" t="str">
        <f t="shared" si="58"/>
        <v/>
      </c>
      <c r="AJ241" s="39"/>
      <c r="AL241" s="5">
        <v>46260</v>
      </c>
      <c r="AM241" s="23">
        <f>IF([1]AIX!J242=0,"",[1]AIX!J242)</f>
        <v>901</v>
      </c>
      <c r="AN241" s="22" t="str">
        <f t="shared" si="65"/>
        <v/>
      </c>
      <c r="AO241" s="23" t="str">
        <f>IF([2]AIX!J243=0,"",[2]AIX!J243)</f>
        <v/>
      </c>
      <c r="AP241" s="17" t="str">
        <f t="shared" si="59"/>
        <v/>
      </c>
      <c r="BB241" s="39"/>
      <c r="BD241" s="5">
        <v>46260</v>
      </c>
      <c r="BE241" s="42">
        <f t="shared" si="61"/>
        <v>16.027314095449501</v>
      </c>
      <c r="BF241" s="22" t="str">
        <f t="shared" si="66"/>
        <v/>
      </c>
      <c r="BG241" s="42" t="str">
        <f t="shared" si="62"/>
        <v/>
      </c>
      <c r="BH241" s="17" t="str">
        <f t="shared" si="60"/>
        <v/>
      </c>
      <c r="BT241" s="39"/>
    </row>
    <row r="242" spans="2:72">
      <c r="B242" s="5">
        <v>46261</v>
      </c>
      <c r="C242" s="23">
        <f>IF([1]AIX!H243=0,"",[1]AIX!H243)</f>
        <v>12797.2</v>
      </c>
      <c r="D242" s="22" t="str">
        <f t="shared" si="63"/>
        <v/>
      </c>
      <c r="E242" s="23" t="str">
        <f>IF([2]AIX!H244=0,"",[2]AIX!H244)</f>
        <v/>
      </c>
      <c r="F242" s="17" t="str">
        <f t="shared" si="57"/>
        <v/>
      </c>
      <c r="R242" s="39"/>
      <c r="T242" s="5">
        <v>46261</v>
      </c>
      <c r="U242" s="23">
        <f>IF([1]AIX!I243=0,"",[1]AIX!I243)</f>
        <v>12574.12</v>
      </c>
      <c r="V242" s="22" t="str">
        <f t="shared" si="64"/>
        <v/>
      </c>
      <c r="W242" s="23" t="str">
        <f>IF([2]AIX!I244=0,"",[2]AIX!I244)</f>
        <v/>
      </c>
      <c r="X242" s="17" t="str">
        <f t="shared" si="58"/>
        <v/>
      </c>
      <c r="AJ242" s="39"/>
      <c r="AL242" s="5">
        <v>46261</v>
      </c>
      <c r="AM242" s="23">
        <f>IF([1]AIX!J243=0,"",[1]AIX!J243)</f>
        <v>799</v>
      </c>
      <c r="AN242" s="22" t="str">
        <f t="shared" si="65"/>
        <v/>
      </c>
      <c r="AO242" s="23" t="str">
        <f>IF([2]AIX!J244=0,"",[2]AIX!J244)</f>
        <v/>
      </c>
      <c r="AP242" s="17" t="str">
        <f t="shared" si="59"/>
        <v/>
      </c>
      <c r="BB242" s="39"/>
      <c r="BD242" s="5">
        <v>46261</v>
      </c>
      <c r="BE242" s="42">
        <f t="shared" si="61"/>
        <v>16.016520650813519</v>
      </c>
      <c r="BF242" s="22" t="str">
        <f t="shared" si="66"/>
        <v/>
      </c>
      <c r="BG242" s="42" t="str">
        <f t="shared" si="62"/>
        <v/>
      </c>
      <c r="BH242" s="17" t="str">
        <f t="shared" si="60"/>
        <v/>
      </c>
      <c r="BT242" s="39"/>
    </row>
    <row r="243" spans="2:72">
      <c r="B243" s="5">
        <v>46262</v>
      </c>
      <c r="C243" s="23">
        <f>IF([1]AIX!H244=0,"",[1]AIX!H244)</f>
        <v>13877.46</v>
      </c>
      <c r="D243" s="22" t="str">
        <f t="shared" si="63"/>
        <v/>
      </c>
      <c r="E243" s="23" t="str">
        <f>IF([2]AIX!H245=0,"",[2]AIX!H245)</f>
        <v/>
      </c>
      <c r="F243" s="17" t="str">
        <f t="shared" si="57"/>
        <v/>
      </c>
      <c r="R243" s="39"/>
      <c r="T243" s="5">
        <v>46262</v>
      </c>
      <c r="U243" s="23">
        <f>IF([1]AIX!I244=0,"",[1]AIX!I244)</f>
        <v>13628.93</v>
      </c>
      <c r="V243" s="22" t="str">
        <f t="shared" si="64"/>
        <v/>
      </c>
      <c r="W243" s="23" t="str">
        <f>IF([2]AIX!I245=0,"",[2]AIX!I245)</f>
        <v/>
      </c>
      <c r="X243" s="17" t="str">
        <f t="shared" si="58"/>
        <v/>
      </c>
      <c r="AJ243" s="39"/>
      <c r="AL243" s="5">
        <v>46262</v>
      </c>
      <c r="AM243" s="23">
        <f>IF([1]AIX!J244=0,"",[1]AIX!J244)</f>
        <v>814</v>
      </c>
      <c r="AN243" s="22" t="str">
        <f t="shared" si="65"/>
        <v/>
      </c>
      <c r="AO243" s="23" t="str">
        <f>IF([2]AIX!J245=0,"",[2]AIX!J245)</f>
        <v/>
      </c>
      <c r="AP243" s="17" t="str">
        <f t="shared" si="59"/>
        <v/>
      </c>
      <c r="BB243" s="39"/>
      <c r="BD243" s="5">
        <v>46262</v>
      </c>
      <c r="BE243" s="42">
        <f t="shared" si="61"/>
        <v>17.048476658476659</v>
      </c>
      <c r="BF243" s="22" t="str">
        <f t="shared" si="66"/>
        <v/>
      </c>
      <c r="BG243" s="42" t="str">
        <f t="shared" si="62"/>
        <v/>
      </c>
      <c r="BH243" s="17" t="str">
        <f t="shared" si="60"/>
        <v/>
      </c>
      <c r="BT243" s="39"/>
    </row>
    <row r="244" spans="2:72">
      <c r="B244" s="5">
        <v>46263</v>
      </c>
      <c r="C244" s="23">
        <f>IF([1]AIX!H245=0,"",[1]AIX!H245)</f>
        <v>16925.45</v>
      </c>
      <c r="D244" s="22" t="str">
        <f t="shared" si="63"/>
        <v/>
      </c>
      <c r="E244" s="23" t="str">
        <f>IF([2]AIX!H246=0,"",[2]AIX!H246)</f>
        <v/>
      </c>
      <c r="F244" s="17" t="str">
        <f t="shared" si="57"/>
        <v/>
      </c>
      <c r="R244" s="39"/>
      <c r="T244" s="5">
        <v>46263</v>
      </c>
      <c r="U244" s="23">
        <f>IF([1]AIX!I245=0,"",[1]AIX!I245)</f>
        <v>16632.490000000002</v>
      </c>
      <c r="V244" s="22" t="str">
        <f t="shared" si="64"/>
        <v/>
      </c>
      <c r="W244" s="23" t="str">
        <f>IF([2]AIX!I246=0,"",[2]AIX!I246)</f>
        <v/>
      </c>
      <c r="X244" s="17" t="str">
        <f t="shared" si="58"/>
        <v/>
      </c>
      <c r="AJ244" s="39"/>
      <c r="AL244" s="5">
        <v>46263</v>
      </c>
      <c r="AM244" s="23">
        <f>IF([1]AIX!J245=0,"",[1]AIX!J245)</f>
        <v>980</v>
      </c>
      <c r="AN244" s="22" t="str">
        <f t="shared" si="65"/>
        <v/>
      </c>
      <c r="AO244" s="23" t="str">
        <f>IF([2]AIX!J246=0,"",[2]AIX!J246)</f>
        <v/>
      </c>
      <c r="AP244" s="17" t="str">
        <f t="shared" si="59"/>
        <v/>
      </c>
      <c r="BB244" s="39"/>
      <c r="BD244" s="5">
        <v>46263</v>
      </c>
      <c r="BE244" s="42">
        <f t="shared" si="61"/>
        <v>17.270867346938775</v>
      </c>
      <c r="BF244" s="22" t="str">
        <f t="shared" si="66"/>
        <v/>
      </c>
      <c r="BG244" s="42" t="str">
        <f t="shared" si="62"/>
        <v/>
      </c>
      <c r="BH244" s="17" t="str">
        <f t="shared" si="60"/>
        <v/>
      </c>
      <c r="BT244" s="39"/>
    </row>
    <row r="245" spans="2:72">
      <c r="B245" s="5">
        <v>46264</v>
      </c>
      <c r="C245" s="23">
        <f>IF([1]AIX!H246=0,"",[1]AIX!H246)</f>
        <v>15878.94</v>
      </c>
      <c r="D245" s="22" t="str">
        <f t="shared" si="63"/>
        <v/>
      </c>
      <c r="E245" s="24" t="str">
        <f>IF([2]AIX!H247=0,"",[2]AIX!H247)</f>
        <v/>
      </c>
      <c r="F245" s="17" t="str">
        <f t="shared" si="57"/>
        <v/>
      </c>
      <c r="R245" s="39"/>
      <c r="T245" s="5">
        <v>46264</v>
      </c>
      <c r="U245" s="23">
        <f>IF([1]AIX!I246=0,"",[1]AIX!I246)</f>
        <v>15643.5</v>
      </c>
      <c r="V245" s="22" t="str">
        <f t="shared" si="64"/>
        <v/>
      </c>
      <c r="W245" s="24" t="str">
        <f>IF([2]AIX!I247=0,"",[2]AIX!I247)</f>
        <v/>
      </c>
      <c r="X245" s="17" t="str">
        <f t="shared" si="58"/>
        <v/>
      </c>
      <c r="AJ245" s="39"/>
      <c r="AL245" s="5">
        <v>46264</v>
      </c>
      <c r="AM245" s="23">
        <f>IF([1]AIX!J246=0,"",[1]AIX!J246)</f>
        <v>957</v>
      </c>
      <c r="AN245" s="22" t="str">
        <f t="shared" si="65"/>
        <v/>
      </c>
      <c r="AO245" s="24" t="str">
        <f>IF([2]AIX!J247=0,"",[2]AIX!J247)</f>
        <v/>
      </c>
      <c r="AP245" s="17" t="str">
        <f t="shared" si="59"/>
        <v/>
      </c>
      <c r="BB245" s="39"/>
      <c r="BD245" s="5">
        <v>46264</v>
      </c>
      <c r="BE245" s="42">
        <f t="shared" si="61"/>
        <v>16.59241379310345</v>
      </c>
      <c r="BF245" s="22" t="str">
        <f t="shared" si="66"/>
        <v/>
      </c>
      <c r="BG245" s="43" t="str">
        <f t="shared" si="62"/>
        <v/>
      </c>
      <c r="BH245" s="17" t="str">
        <f t="shared" si="60"/>
        <v/>
      </c>
      <c r="BT245" s="39"/>
    </row>
    <row r="246" spans="2:72">
      <c r="B246" s="5">
        <v>46265</v>
      </c>
      <c r="C246" s="24">
        <f>IF([1]AIX!H247=0,"",[1]AIX!H247)</f>
        <v>19051.8</v>
      </c>
      <c r="D246" s="22" t="str">
        <f t="shared" si="63"/>
        <v/>
      </c>
      <c r="E246" s="21" t="str">
        <f>IF([2]AIX!H248=0,"",[2]AIX!H248)</f>
        <v/>
      </c>
      <c r="F246" s="17" t="str">
        <f t="shared" si="57"/>
        <v/>
      </c>
      <c r="R246" s="39"/>
      <c r="T246" s="5">
        <v>46265</v>
      </c>
      <c r="U246" s="24">
        <f>IF([1]AIX!I247=0,"",[1]AIX!I247)</f>
        <v>18746.3</v>
      </c>
      <c r="V246" s="22" t="str">
        <f t="shared" si="64"/>
        <v/>
      </c>
      <c r="W246" s="21" t="str">
        <f>IF([2]AIX!I248=0,"",[2]AIX!I248)</f>
        <v/>
      </c>
      <c r="X246" s="17" t="str">
        <f t="shared" si="58"/>
        <v/>
      </c>
      <c r="AJ246" s="39"/>
      <c r="AL246" s="5">
        <v>46265</v>
      </c>
      <c r="AM246" s="24">
        <f>IF([1]AIX!J247=0,"",[1]AIX!J247)</f>
        <v>1038</v>
      </c>
      <c r="AN246" s="22" t="str">
        <f t="shared" si="65"/>
        <v/>
      </c>
      <c r="AO246" s="21" t="str">
        <f>IF([2]AIX!J248=0,"",[2]AIX!J248)</f>
        <v/>
      </c>
      <c r="AP246" s="17" t="str">
        <f t="shared" si="59"/>
        <v/>
      </c>
      <c r="BB246" s="39"/>
      <c r="BD246" s="5">
        <v>46265</v>
      </c>
      <c r="BE246" s="43">
        <f t="shared" si="61"/>
        <v>18.354335260115608</v>
      </c>
      <c r="BF246" s="22" t="str">
        <f t="shared" si="66"/>
        <v/>
      </c>
      <c r="BG246" s="41" t="str">
        <f t="shared" si="62"/>
        <v/>
      </c>
      <c r="BH246" s="17" t="str">
        <f t="shared" si="60"/>
        <v/>
      </c>
      <c r="BT246" s="39"/>
    </row>
    <row r="247" spans="2:72">
      <c r="B247" s="5">
        <v>46266</v>
      </c>
      <c r="C247" s="21">
        <f>IF([1]AIX!H248=0,"",[1]AIX!H248)</f>
        <v>10939.31</v>
      </c>
      <c r="D247" s="22" t="str">
        <f t="shared" si="63"/>
        <v/>
      </c>
      <c r="E247" s="23" t="str">
        <f>IF([2]AIX!H249=0,"",[2]AIX!H249)</f>
        <v/>
      </c>
      <c r="F247" s="17" t="str">
        <f t="shared" si="57"/>
        <v/>
      </c>
      <c r="R247" s="39"/>
      <c r="T247" s="5">
        <v>46266</v>
      </c>
      <c r="U247" s="21">
        <f>IF([1]AIX!I248=0,"",[1]AIX!I248)</f>
        <v>10768.55</v>
      </c>
      <c r="V247" s="22" t="str">
        <f t="shared" si="64"/>
        <v/>
      </c>
      <c r="W247" s="23" t="str">
        <f>IF([2]AIX!I249=0,"",[2]AIX!I249)</f>
        <v/>
      </c>
      <c r="X247" s="17" t="str">
        <f t="shared" si="58"/>
        <v/>
      </c>
      <c r="AJ247" s="39"/>
      <c r="AL247" s="5">
        <v>46266</v>
      </c>
      <c r="AM247" s="21">
        <f>IF([1]AIX!J248=0,"",[1]AIX!J248)</f>
        <v>613</v>
      </c>
      <c r="AN247" s="22" t="str">
        <f t="shared" si="65"/>
        <v/>
      </c>
      <c r="AO247" s="23" t="str">
        <f>IF([2]AIX!J249=0,"",[2]AIX!J249)</f>
        <v/>
      </c>
      <c r="AP247" s="17" t="str">
        <f t="shared" si="59"/>
        <v/>
      </c>
      <c r="BB247" s="39"/>
      <c r="BD247" s="5">
        <v>46266</v>
      </c>
      <c r="BE247" s="41">
        <f t="shared" si="61"/>
        <v>17.845530179445351</v>
      </c>
      <c r="BF247" s="22" t="str">
        <f t="shared" si="66"/>
        <v/>
      </c>
      <c r="BG247" s="42" t="str">
        <f t="shared" si="62"/>
        <v/>
      </c>
      <c r="BH247" s="17" t="str">
        <f t="shared" si="60"/>
        <v/>
      </c>
      <c r="BT247" s="39"/>
    </row>
    <row r="248" spans="2:72">
      <c r="B248" s="5">
        <v>46267</v>
      </c>
      <c r="C248" s="23">
        <f>IF([1]AIX!H249=0,"",[1]AIX!H249)</f>
        <v>10004.48</v>
      </c>
      <c r="D248" s="22" t="str">
        <f t="shared" si="63"/>
        <v/>
      </c>
      <c r="E248" s="23" t="str">
        <f>IF([2]AIX!H250=0,"",[2]AIX!H250)</f>
        <v/>
      </c>
      <c r="F248" s="17" t="str">
        <f t="shared" si="57"/>
        <v/>
      </c>
      <c r="R248" s="39"/>
      <c r="T248" s="5">
        <v>46267</v>
      </c>
      <c r="U248" s="23">
        <f>IF([1]AIX!I249=0,"",[1]AIX!I249)</f>
        <v>9764.81</v>
      </c>
      <c r="V248" s="22" t="str">
        <f t="shared" si="64"/>
        <v/>
      </c>
      <c r="W248" s="23" t="str">
        <f>IF([2]AIX!I250=0,"",[2]AIX!I250)</f>
        <v/>
      </c>
      <c r="X248" s="17" t="str">
        <f t="shared" si="58"/>
        <v/>
      </c>
      <c r="AJ248" s="39"/>
      <c r="AL248" s="5">
        <v>46267</v>
      </c>
      <c r="AM248" s="23">
        <f>IF([1]AIX!J249=0,"",[1]AIX!J249)</f>
        <v>586</v>
      </c>
      <c r="AN248" s="22" t="str">
        <f t="shared" si="65"/>
        <v/>
      </c>
      <c r="AO248" s="23" t="str">
        <f>IF([2]AIX!J250=0,"",[2]AIX!J250)</f>
        <v/>
      </c>
      <c r="AP248" s="17" t="str">
        <f t="shared" si="59"/>
        <v/>
      </c>
      <c r="BB248" s="39"/>
      <c r="BD248" s="5">
        <v>46267</v>
      </c>
      <c r="BE248" s="42">
        <f t="shared" si="61"/>
        <v>17.072491467576793</v>
      </c>
      <c r="BF248" s="22" t="str">
        <f t="shared" si="66"/>
        <v/>
      </c>
      <c r="BG248" s="42" t="str">
        <f t="shared" si="62"/>
        <v/>
      </c>
      <c r="BH248" s="17" t="str">
        <f t="shared" si="60"/>
        <v/>
      </c>
      <c r="BT248" s="39"/>
    </row>
    <row r="249" spans="2:72">
      <c r="B249" s="5">
        <v>46268</v>
      </c>
      <c r="C249" s="23">
        <f>IF([1]AIX!H250=0,"",[1]AIX!H250)</f>
        <v>12769.55</v>
      </c>
      <c r="D249" s="22" t="str">
        <f t="shared" si="63"/>
        <v/>
      </c>
      <c r="E249" s="23" t="str">
        <f>IF([2]AIX!H251=0,"",[2]AIX!H251)</f>
        <v/>
      </c>
      <c r="F249" s="17" t="str">
        <f t="shared" si="57"/>
        <v/>
      </c>
      <c r="R249" s="39"/>
      <c r="T249" s="5">
        <v>46268</v>
      </c>
      <c r="U249" s="23">
        <f>IF([1]AIX!I250=0,"",[1]AIX!I250)</f>
        <v>12400.36</v>
      </c>
      <c r="V249" s="22" t="str">
        <f t="shared" si="64"/>
        <v/>
      </c>
      <c r="W249" s="23" t="str">
        <f>IF([2]AIX!I251=0,"",[2]AIX!I251)</f>
        <v/>
      </c>
      <c r="X249" s="17" t="str">
        <f t="shared" si="58"/>
        <v/>
      </c>
      <c r="AJ249" s="39"/>
      <c r="AL249" s="5">
        <v>46268</v>
      </c>
      <c r="AM249" s="23">
        <f>IF([1]AIX!J250=0,"",[1]AIX!J250)</f>
        <v>761</v>
      </c>
      <c r="AN249" s="22" t="str">
        <f t="shared" si="65"/>
        <v/>
      </c>
      <c r="AO249" s="23" t="str">
        <f>IF([2]AIX!J251=0,"",[2]AIX!J251)</f>
        <v/>
      </c>
      <c r="AP249" s="17" t="str">
        <f t="shared" si="59"/>
        <v/>
      </c>
      <c r="BB249" s="39"/>
      <c r="BD249" s="5">
        <v>46268</v>
      </c>
      <c r="BE249" s="42">
        <f t="shared" si="61"/>
        <v>16.779960578186596</v>
      </c>
      <c r="BF249" s="22" t="str">
        <f t="shared" si="66"/>
        <v/>
      </c>
      <c r="BG249" s="42" t="str">
        <f t="shared" si="62"/>
        <v/>
      </c>
      <c r="BH249" s="17" t="str">
        <f t="shared" si="60"/>
        <v/>
      </c>
      <c r="BT249" s="39"/>
    </row>
    <row r="250" spans="2:72">
      <c r="B250" s="5">
        <v>46269</v>
      </c>
      <c r="C250" s="23">
        <f>IF([1]AIX!H251=0,"",[1]AIX!H251)</f>
        <v>10847.76</v>
      </c>
      <c r="D250" s="22" t="str">
        <f t="shared" si="63"/>
        <v/>
      </c>
      <c r="E250" s="23" t="str">
        <f>IF([2]AIX!H252=0,"",[2]AIX!H252)</f>
        <v/>
      </c>
      <c r="F250" s="17" t="str">
        <f t="shared" si="57"/>
        <v/>
      </c>
      <c r="R250" s="39"/>
      <c r="T250" s="5">
        <v>46269</v>
      </c>
      <c r="U250" s="23">
        <f>IF([1]AIX!I251=0,"",[1]AIX!I251)</f>
        <v>10560.59</v>
      </c>
      <c r="V250" s="22" t="str">
        <f t="shared" si="64"/>
        <v/>
      </c>
      <c r="W250" s="23" t="str">
        <f>IF([2]AIX!I252=0,"",[2]AIX!I252)</f>
        <v/>
      </c>
      <c r="X250" s="17" t="str">
        <f t="shared" si="58"/>
        <v/>
      </c>
      <c r="AJ250" s="39"/>
      <c r="AL250" s="5">
        <v>46269</v>
      </c>
      <c r="AM250" s="23">
        <f>IF([1]AIX!J251=0,"",[1]AIX!J251)</f>
        <v>612</v>
      </c>
      <c r="AN250" s="22" t="str">
        <f t="shared" si="65"/>
        <v/>
      </c>
      <c r="AO250" s="23" t="str">
        <f>IF([2]AIX!J252=0,"",[2]AIX!J252)</f>
        <v/>
      </c>
      <c r="AP250" s="17" t="str">
        <f t="shared" si="59"/>
        <v/>
      </c>
      <c r="BB250" s="39"/>
      <c r="BD250" s="5">
        <v>46269</v>
      </c>
      <c r="BE250" s="42">
        <f t="shared" si="61"/>
        <v>17.725098039215688</v>
      </c>
      <c r="BF250" s="22" t="str">
        <f t="shared" si="66"/>
        <v/>
      </c>
      <c r="BG250" s="42" t="str">
        <f t="shared" si="62"/>
        <v/>
      </c>
      <c r="BH250" s="17" t="str">
        <f t="shared" si="60"/>
        <v/>
      </c>
      <c r="BT250" s="39"/>
    </row>
    <row r="251" spans="2:72">
      <c r="B251" s="5">
        <v>46270</v>
      </c>
      <c r="C251" s="23">
        <f>IF([1]AIX!H252=0,"",[1]AIX!H252)</f>
        <v>16293.91</v>
      </c>
      <c r="D251" s="22" t="str">
        <f t="shared" si="63"/>
        <v/>
      </c>
      <c r="E251" s="23" t="str">
        <f>IF([2]AIX!H253=0,"",[2]AIX!H253)</f>
        <v/>
      </c>
      <c r="F251" s="17" t="str">
        <f t="shared" si="57"/>
        <v/>
      </c>
      <c r="R251" s="39"/>
      <c r="T251" s="5">
        <v>46270</v>
      </c>
      <c r="U251" s="23">
        <f>IF([1]AIX!I252=0,"",[1]AIX!I252)</f>
        <v>15875.09</v>
      </c>
      <c r="V251" s="22" t="str">
        <f t="shared" si="64"/>
        <v/>
      </c>
      <c r="W251" s="23" t="str">
        <f>IF([2]AIX!I253=0,"",[2]AIX!I253)</f>
        <v/>
      </c>
      <c r="X251" s="17" t="str">
        <f t="shared" si="58"/>
        <v/>
      </c>
      <c r="AJ251" s="39"/>
      <c r="AL251" s="5">
        <v>46270</v>
      </c>
      <c r="AM251" s="23">
        <f>IF([1]AIX!J252=0,"",[1]AIX!J252)</f>
        <v>971</v>
      </c>
      <c r="AN251" s="22" t="str">
        <f t="shared" si="65"/>
        <v/>
      </c>
      <c r="AO251" s="23" t="str">
        <f>IF([2]AIX!J253=0,"",[2]AIX!J253)</f>
        <v/>
      </c>
      <c r="AP251" s="17" t="str">
        <f t="shared" si="59"/>
        <v/>
      </c>
      <c r="BB251" s="39"/>
      <c r="BD251" s="5">
        <v>46270</v>
      </c>
      <c r="BE251" s="42">
        <f t="shared" si="61"/>
        <v>16.780545829042225</v>
      </c>
      <c r="BF251" s="22" t="str">
        <f t="shared" si="66"/>
        <v/>
      </c>
      <c r="BG251" s="42" t="str">
        <f t="shared" si="62"/>
        <v/>
      </c>
      <c r="BH251" s="17" t="str">
        <f t="shared" si="60"/>
        <v/>
      </c>
      <c r="BT251" s="39"/>
    </row>
    <row r="252" spans="2:72">
      <c r="B252" s="5">
        <v>46271</v>
      </c>
      <c r="C252" s="23">
        <f>IF([1]AIX!H253=0,"",[1]AIX!H253)</f>
        <v>17416.21</v>
      </c>
      <c r="D252" s="22" t="str">
        <f t="shared" si="63"/>
        <v/>
      </c>
      <c r="E252" s="24" t="str">
        <f>IF([2]AIX!H254=0,"",[2]AIX!H254)</f>
        <v/>
      </c>
      <c r="F252" s="17" t="str">
        <f t="shared" si="57"/>
        <v/>
      </c>
      <c r="R252" s="39"/>
      <c r="T252" s="5">
        <v>46271</v>
      </c>
      <c r="U252" s="23">
        <f>IF([1]AIX!I253=0,"",[1]AIX!I253)</f>
        <v>16941.63</v>
      </c>
      <c r="V252" s="22" t="str">
        <f t="shared" si="64"/>
        <v/>
      </c>
      <c r="W252" s="24" t="str">
        <f>IF([2]AIX!I254=0,"",[2]AIX!I254)</f>
        <v/>
      </c>
      <c r="X252" s="17" t="str">
        <f t="shared" si="58"/>
        <v/>
      </c>
      <c r="AJ252" s="39"/>
      <c r="AL252" s="5">
        <v>46271</v>
      </c>
      <c r="AM252" s="23">
        <f>IF([1]AIX!J253=0,"",[1]AIX!J253)</f>
        <v>1011</v>
      </c>
      <c r="AN252" s="22" t="str">
        <f t="shared" si="65"/>
        <v/>
      </c>
      <c r="AO252" s="24" t="str">
        <f>IF([2]AIX!J254=0,"",[2]AIX!J254)</f>
        <v/>
      </c>
      <c r="AP252" s="17" t="str">
        <f t="shared" si="59"/>
        <v/>
      </c>
      <c r="BB252" s="39"/>
      <c r="BD252" s="5">
        <v>46271</v>
      </c>
      <c r="BE252" s="42">
        <f t="shared" si="61"/>
        <v>17.226716122650839</v>
      </c>
      <c r="BF252" s="22" t="str">
        <f t="shared" si="66"/>
        <v/>
      </c>
      <c r="BG252" s="43" t="str">
        <f t="shared" si="62"/>
        <v/>
      </c>
      <c r="BH252" s="17" t="str">
        <f t="shared" si="60"/>
        <v/>
      </c>
      <c r="BT252" s="39"/>
    </row>
    <row r="253" spans="2:72">
      <c r="B253" s="5">
        <v>46272</v>
      </c>
      <c r="C253" s="24">
        <f>IF([1]AIX!H254=0,"",[1]AIX!H254)</f>
        <v>20013.68</v>
      </c>
      <c r="D253" s="22" t="str">
        <f t="shared" si="63"/>
        <v/>
      </c>
      <c r="E253" s="21" t="str">
        <f>IF([2]AIX!H255=0,"",[2]AIX!H255)</f>
        <v/>
      </c>
      <c r="F253" s="17" t="str">
        <f t="shared" si="57"/>
        <v/>
      </c>
      <c r="R253" s="39"/>
      <c r="T253" s="5">
        <v>46272</v>
      </c>
      <c r="U253" s="24">
        <f>IF([1]AIX!I254=0,"",[1]AIX!I254)</f>
        <v>19490.32</v>
      </c>
      <c r="V253" s="22" t="str">
        <f t="shared" si="64"/>
        <v/>
      </c>
      <c r="W253" s="21" t="str">
        <f>IF([2]AIX!I255=0,"",[2]AIX!I255)</f>
        <v/>
      </c>
      <c r="X253" s="17" t="str">
        <f t="shared" si="58"/>
        <v/>
      </c>
      <c r="AJ253" s="39"/>
      <c r="AL253" s="5">
        <v>46272</v>
      </c>
      <c r="AM253" s="24">
        <f>IF([1]AIX!J254=0,"",[1]AIX!J254)</f>
        <v>1041</v>
      </c>
      <c r="AN253" s="22" t="str">
        <f t="shared" si="65"/>
        <v/>
      </c>
      <c r="AO253" s="21" t="str">
        <f>IF([2]AIX!J255=0,"",[2]AIX!J255)</f>
        <v/>
      </c>
      <c r="AP253" s="17" t="str">
        <f t="shared" si="59"/>
        <v/>
      </c>
      <c r="BB253" s="39"/>
      <c r="BD253" s="5">
        <v>46272</v>
      </c>
      <c r="BE253" s="43">
        <f t="shared" si="61"/>
        <v>19.225437079731027</v>
      </c>
      <c r="BF253" s="22" t="str">
        <f t="shared" si="66"/>
        <v/>
      </c>
      <c r="BG253" s="41" t="str">
        <f t="shared" si="62"/>
        <v/>
      </c>
      <c r="BH253" s="17" t="str">
        <f t="shared" si="60"/>
        <v/>
      </c>
      <c r="BT253" s="39"/>
    </row>
    <row r="254" spans="2:72">
      <c r="B254" s="5">
        <v>46273</v>
      </c>
      <c r="C254" s="21">
        <f>IF([1]AIX!H255=0,"",[1]AIX!H255)</f>
        <v>9371.2999999999993</v>
      </c>
      <c r="D254" s="22" t="str">
        <f t="shared" si="63"/>
        <v/>
      </c>
      <c r="E254" s="23" t="str">
        <f>IF([2]AIX!H256=0,"",[2]AIX!H256)</f>
        <v/>
      </c>
      <c r="F254" s="17" t="str">
        <f t="shared" si="57"/>
        <v/>
      </c>
      <c r="R254" s="39"/>
      <c r="T254" s="5">
        <v>46273</v>
      </c>
      <c r="U254" s="21">
        <f>IF([1]AIX!I255=0,"",[1]AIX!I255)</f>
        <v>9088.14</v>
      </c>
      <c r="V254" s="22" t="str">
        <f t="shared" si="64"/>
        <v/>
      </c>
      <c r="W254" s="23" t="str">
        <f>IF([2]AIX!I256=0,"",[2]AIX!I256)</f>
        <v/>
      </c>
      <c r="X254" s="17" t="str">
        <f t="shared" si="58"/>
        <v/>
      </c>
      <c r="AJ254" s="39"/>
      <c r="AL254" s="5">
        <v>46273</v>
      </c>
      <c r="AM254" s="21">
        <f>IF([1]AIX!J255=0,"",[1]AIX!J255)</f>
        <v>555</v>
      </c>
      <c r="AN254" s="22" t="str">
        <f t="shared" si="65"/>
        <v/>
      </c>
      <c r="AO254" s="23" t="str">
        <f>IF([2]AIX!J256=0,"",[2]AIX!J256)</f>
        <v/>
      </c>
      <c r="AP254" s="17" t="str">
        <f t="shared" si="59"/>
        <v/>
      </c>
      <c r="BB254" s="39"/>
      <c r="BD254" s="5">
        <v>46273</v>
      </c>
      <c r="BE254" s="41">
        <f t="shared" si="61"/>
        <v>16.885225225225224</v>
      </c>
      <c r="BF254" s="22" t="str">
        <f t="shared" si="66"/>
        <v/>
      </c>
      <c r="BG254" s="42" t="str">
        <f t="shared" si="62"/>
        <v/>
      </c>
      <c r="BH254" s="17" t="str">
        <f t="shared" si="60"/>
        <v/>
      </c>
      <c r="BT254" s="39"/>
    </row>
    <row r="255" spans="2:72">
      <c r="B255" s="5">
        <v>46274</v>
      </c>
      <c r="C255" s="23">
        <f>IF([1]AIX!H256=0,"",[1]AIX!H256)</f>
        <v>10689.14</v>
      </c>
      <c r="D255" s="22" t="str">
        <f t="shared" si="63"/>
        <v/>
      </c>
      <c r="E255" s="23" t="str">
        <f>IF([2]AIX!H257=0,"",[2]AIX!H257)</f>
        <v/>
      </c>
      <c r="F255" s="17" t="str">
        <f t="shared" si="57"/>
        <v/>
      </c>
      <c r="R255" s="39"/>
      <c r="T255" s="5">
        <v>46274</v>
      </c>
      <c r="U255" s="23">
        <f>IF([1]AIX!I256=0,"",[1]AIX!I256)</f>
        <v>10444.549999999999</v>
      </c>
      <c r="V255" s="22" t="str">
        <f t="shared" si="64"/>
        <v/>
      </c>
      <c r="W255" s="23" t="str">
        <f>IF([2]AIX!I257=0,"",[2]AIX!I257)</f>
        <v/>
      </c>
      <c r="X255" s="17" t="str">
        <f t="shared" si="58"/>
        <v/>
      </c>
      <c r="AJ255" s="39"/>
      <c r="AL255" s="5">
        <v>46274</v>
      </c>
      <c r="AM255" s="23">
        <f>IF([1]AIX!J256=0,"",[1]AIX!J256)</f>
        <v>645</v>
      </c>
      <c r="AN255" s="22" t="str">
        <f t="shared" si="65"/>
        <v/>
      </c>
      <c r="AO255" s="23" t="str">
        <f>IF([2]AIX!J257=0,"",[2]AIX!J257)</f>
        <v/>
      </c>
      <c r="AP255" s="17" t="str">
        <f t="shared" si="59"/>
        <v/>
      </c>
      <c r="BB255" s="39"/>
      <c r="BD255" s="5">
        <v>46274</v>
      </c>
      <c r="BE255" s="42">
        <f t="shared" si="61"/>
        <v>16.572310077519379</v>
      </c>
      <c r="BF255" s="22" t="str">
        <f t="shared" si="66"/>
        <v/>
      </c>
      <c r="BG255" s="42" t="str">
        <f t="shared" si="62"/>
        <v/>
      </c>
      <c r="BH255" s="17" t="str">
        <f t="shared" si="60"/>
        <v/>
      </c>
      <c r="BT255" s="39"/>
    </row>
    <row r="256" spans="2:72">
      <c r="B256" s="5">
        <v>46275</v>
      </c>
      <c r="C256" s="23">
        <f>IF([1]AIX!H257=0,"",[1]AIX!H257)</f>
        <v>12405.81</v>
      </c>
      <c r="D256" s="22" t="str">
        <f t="shared" si="63"/>
        <v/>
      </c>
      <c r="E256" s="23" t="str">
        <f>IF([2]AIX!H258=0,"",[2]AIX!H258)</f>
        <v/>
      </c>
      <c r="F256" s="17" t="str">
        <f t="shared" si="57"/>
        <v/>
      </c>
      <c r="R256" s="39"/>
      <c r="T256" s="5">
        <v>46275</v>
      </c>
      <c r="U256" s="23">
        <f>IF([1]AIX!I257=0,"",[1]AIX!I257)</f>
        <v>12191.47</v>
      </c>
      <c r="V256" s="22" t="str">
        <f t="shared" si="64"/>
        <v/>
      </c>
      <c r="W256" s="23" t="str">
        <f>IF([2]AIX!I258=0,"",[2]AIX!I258)</f>
        <v/>
      </c>
      <c r="X256" s="17" t="str">
        <f t="shared" si="58"/>
        <v/>
      </c>
      <c r="AJ256" s="39"/>
      <c r="AL256" s="5">
        <v>46275</v>
      </c>
      <c r="AM256" s="23">
        <f>IF([1]AIX!J257=0,"",[1]AIX!J257)</f>
        <v>735</v>
      </c>
      <c r="AN256" s="22" t="str">
        <f t="shared" si="65"/>
        <v/>
      </c>
      <c r="AO256" s="23" t="str">
        <f>IF([2]AIX!J258=0,"",[2]AIX!J258)</f>
        <v/>
      </c>
      <c r="AP256" s="17" t="str">
        <f t="shared" si="59"/>
        <v/>
      </c>
      <c r="BB256" s="39"/>
      <c r="BD256" s="5">
        <v>46275</v>
      </c>
      <c r="BE256" s="42">
        <f t="shared" si="61"/>
        <v>16.87865306122449</v>
      </c>
      <c r="BF256" s="22" t="str">
        <f t="shared" si="66"/>
        <v/>
      </c>
      <c r="BG256" s="42" t="str">
        <f t="shared" si="62"/>
        <v/>
      </c>
      <c r="BH256" s="17" t="str">
        <f t="shared" si="60"/>
        <v/>
      </c>
      <c r="BT256" s="39"/>
    </row>
    <row r="257" spans="2:72">
      <c r="B257" s="5">
        <v>46276</v>
      </c>
      <c r="C257" s="23">
        <f>IF([1]AIX!H258=0,"",[1]AIX!H258)</f>
        <v>10274.219999999999</v>
      </c>
      <c r="D257" s="22" t="str">
        <f t="shared" si="63"/>
        <v/>
      </c>
      <c r="E257" s="23" t="str">
        <f>IF([2]AIX!H259=0,"",[2]AIX!H259)</f>
        <v/>
      </c>
      <c r="F257" s="17" t="str">
        <f t="shared" si="57"/>
        <v/>
      </c>
      <c r="R257" s="39"/>
      <c r="T257" s="5">
        <v>46276</v>
      </c>
      <c r="U257" s="23">
        <f>IF([1]AIX!I258=0,"",[1]AIX!I258)</f>
        <v>10114.459999999999</v>
      </c>
      <c r="V257" s="22" t="str">
        <f t="shared" si="64"/>
        <v/>
      </c>
      <c r="W257" s="23" t="str">
        <f>IF([2]AIX!I259=0,"",[2]AIX!I259)</f>
        <v/>
      </c>
      <c r="X257" s="17" t="str">
        <f t="shared" si="58"/>
        <v/>
      </c>
      <c r="AJ257" s="39"/>
      <c r="AL257" s="5">
        <v>46276</v>
      </c>
      <c r="AM257" s="23">
        <f>IF([1]AIX!J258=0,"",[1]AIX!J258)</f>
        <v>637</v>
      </c>
      <c r="AN257" s="22" t="str">
        <f t="shared" si="65"/>
        <v/>
      </c>
      <c r="AO257" s="23" t="str">
        <f>IF([2]AIX!J259=0,"",[2]AIX!J259)</f>
        <v/>
      </c>
      <c r="AP257" s="17" t="str">
        <f t="shared" si="59"/>
        <v/>
      </c>
      <c r="BB257" s="39"/>
      <c r="BD257" s="5">
        <v>46276</v>
      </c>
      <c r="BE257" s="42">
        <f t="shared" si="61"/>
        <v>16.129073783359498</v>
      </c>
      <c r="BF257" s="22" t="str">
        <f t="shared" si="66"/>
        <v/>
      </c>
      <c r="BG257" s="42" t="str">
        <f t="shared" si="62"/>
        <v/>
      </c>
      <c r="BH257" s="17" t="str">
        <f t="shared" si="60"/>
        <v/>
      </c>
      <c r="BT257" s="39"/>
    </row>
    <row r="258" spans="2:72">
      <c r="B258" s="5">
        <v>46277</v>
      </c>
      <c r="C258" s="23">
        <f>IF([1]AIX!H259=0,"",[1]AIX!H259)</f>
        <v>14496.8</v>
      </c>
      <c r="D258" s="22" t="str">
        <f t="shared" si="63"/>
        <v/>
      </c>
      <c r="E258" s="23" t="str">
        <f>IF([2]AIX!H260=0,"",[2]AIX!H260)</f>
        <v/>
      </c>
      <c r="F258" s="17" t="str">
        <f t="shared" si="57"/>
        <v/>
      </c>
      <c r="R258" s="39"/>
      <c r="T258" s="5">
        <v>46277</v>
      </c>
      <c r="U258" s="23">
        <f>IF([1]AIX!I259=0,"",[1]AIX!I259)</f>
        <v>14325.68</v>
      </c>
      <c r="V258" s="22" t="str">
        <f t="shared" si="64"/>
        <v/>
      </c>
      <c r="W258" s="23" t="str">
        <f>IF([2]AIX!I260=0,"",[2]AIX!I260)</f>
        <v/>
      </c>
      <c r="X258" s="17" t="str">
        <f t="shared" si="58"/>
        <v/>
      </c>
      <c r="AJ258" s="39"/>
      <c r="AL258" s="5">
        <v>46277</v>
      </c>
      <c r="AM258" s="23">
        <f>IF([1]AIX!J259=0,"",[1]AIX!J259)</f>
        <v>910</v>
      </c>
      <c r="AN258" s="22" t="str">
        <f t="shared" si="65"/>
        <v/>
      </c>
      <c r="AO258" s="23" t="str">
        <f>IF([2]AIX!J260=0,"",[2]AIX!J260)</f>
        <v/>
      </c>
      <c r="AP258" s="17" t="str">
        <f t="shared" si="59"/>
        <v/>
      </c>
      <c r="BB258" s="39"/>
      <c r="BD258" s="5">
        <v>46277</v>
      </c>
      <c r="BE258" s="42">
        <f t="shared" si="61"/>
        <v>15.930549450549449</v>
      </c>
      <c r="BF258" s="22" t="str">
        <f t="shared" si="66"/>
        <v/>
      </c>
      <c r="BG258" s="42" t="str">
        <f t="shared" si="62"/>
        <v/>
      </c>
      <c r="BH258" s="17" t="str">
        <f t="shared" si="60"/>
        <v/>
      </c>
      <c r="BT258" s="39"/>
    </row>
    <row r="259" spans="2:72">
      <c r="B259" s="5">
        <v>46278</v>
      </c>
      <c r="C259" s="23">
        <f>IF([1]AIX!H260=0,"",[1]AIX!H260)</f>
        <v>15636.38</v>
      </c>
      <c r="D259" s="22" t="str">
        <f t="shared" si="63"/>
        <v/>
      </c>
      <c r="E259" s="24" t="str">
        <f>IF([2]AIX!H261=0,"",[2]AIX!H261)</f>
        <v/>
      </c>
      <c r="F259" s="17" t="str">
        <f t="shared" si="57"/>
        <v/>
      </c>
      <c r="R259" s="39"/>
      <c r="T259" s="5">
        <v>46278</v>
      </c>
      <c r="U259" s="23">
        <f>IF([1]AIX!I260=0,"",[1]AIX!I260)</f>
        <v>15338.41</v>
      </c>
      <c r="V259" s="22" t="str">
        <f t="shared" si="64"/>
        <v/>
      </c>
      <c r="W259" s="24" t="str">
        <f>IF([2]AIX!I261=0,"",[2]AIX!I261)</f>
        <v/>
      </c>
      <c r="X259" s="17" t="str">
        <f t="shared" si="58"/>
        <v/>
      </c>
      <c r="AJ259" s="39"/>
      <c r="AL259" s="5">
        <v>46278</v>
      </c>
      <c r="AM259" s="23">
        <f>IF([1]AIX!J260=0,"",[1]AIX!J260)</f>
        <v>920</v>
      </c>
      <c r="AN259" s="22" t="str">
        <f t="shared" si="65"/>
        <v/>
      </c>
      <c r="AO259" s="24" t="str">
        <f>IF([2]AIX!J261=0,"",[2]AIX!J261)</f>
        <v/>
      </c>
      <c r="AP259" s="17" t="str">
        <f t="shared" si="59"/>
        <v/>
      </c>
      <c r="BB259" s="39"/>
      <c r="BD259" s="5">
        <v>46278</v>
      </c>
      <c r="BE259" s="42">
        <f t="shared" si="61"/>
        <v>16.996065217391305</v>
      </c>
      <c r="BF259" s="22" t="str">
        <f t="shared" si="66"/>
        <v/>
      </c>
      <c r="BG259" s="43" t="str">
        <f t="shared" si="62"/>
        <v/>
      </c>
      <c r="BH259" s="17" t="str">
        <f t="shared" si="60"/>
        <v/>
      </c>
      <c r="BT259" s="39"/>
    </row>
    <row r="260" spans="2:72">
      <c r="B260" s="5">
        <v>46279</v>
      </c>
      <c r="C260" s="24">
        <f>IF([1]AIX!H261=0,"",[1]AIX!H261)</f>
        <v>17604.849999999999</v>
      </c>
      <c r="D260" s="22" t="str">
        <f t="shared" si="63"/>
        <v/>
      </c>
      <c r="E260" s="21" t="str">
        <f>IF([2]AIX!H262=0,"",[2]AIX!H262)</f>
        <v/>
      </c>
      <c r="F260" s="17" t="str">
        <f t="shared" ref="F260:F323" si="67">IF(E260="","",(E260/C261)-1)</f>
        <v/>
      </c>
      <c r="R260" s="39"/>
      <c r="T260" s="5">
        <v>46279</v>
      </c>
      <c r="U260" s="24">
        <f>IF([1]AIX!I261=0,"",[1]AIX!I261)</f>
        <v>17288.41</v>
      </c>
      <c r="V260" s="22" t="str">
        <f t="shared" si="64"/>
        <v/>
      </c>
      <c r="W260" s="21" t="str">
        <f>IF([2]AIX!I262=0,"",[2]AIX!I262)</f>
        <v/>
      </c>
      <c r="X260" s="17" t="str">
        <f t="shared" ref="X260:X323" si="68">IF(W260="","",(W260/U261)-1)</f>
        <v/>
      </c>
      <c r="AJ260" s="39"/>
      <c r="AL260" s="5">
        <v>46279</v>
      </c>
      <c r="AM260" s="24">
        <f>IF([1]AIX!J261=0,"",[1]AIX!J261)</f>
        <v>954</v>
      </c>
      <c r="AN260" s="22" t="str">
        <f t="shared" si="65"/>
        <v/>
      </c>
      <c r="AO260" s="21" t="str">
        <f>IF([2]AIX!J262=0,"",[2]AIX!J262)</f>
        <v/>
      </c>
      <c r="AP260" s="17" t="str">
        <f t="shared" ref="AP260:AP323" si="69">IF(AO260="","",(AO260/AM261)-1)</f>
        <v/>
      </c>
      <c r="BB260" s="39"/>
      <c r="BD260" s="5">
        <v>46279</v>
      </c>
      <c r="BE260" s="43">
        <f t="shared" si="61"/>
        <v>18.45372117400419</v>
      </c>
      <c r="BF260" s="22" t="str">
        <f t="shared" si="66"/>
        <v/>
      </c>
      <c r="BG260" s="41" t="str">
        <f t="shared" si="62"/>
        <v/>
      </c>
      <c r="BH260" s="17" t="str">
        <f t="shared" ref="BH260:BH323" si="70">IF(BG260="","",(BG260/BE261)-1)</f>
        <v/>
      </c>
      <c r="BT260" s="39"/>
    </row>
    <row r="261" spans="2:72">
      <c r="B261" s="5">
        <v>46280</v>
      </c>
      <c r="C261" s="21">
        <f>IF([1]AIX!H262=0,"",[1]AIX!H262)</f>
        <v>7918.14</v>
      </c>
      <c r="D261" s="22" t="str">
        <f t="shared" si="63"/>
        <v/>
      </c>
      <c r="E261" s="23" t="str">
        <f>IF([2]AIX!H263=0,"",[2]AIX!H263)</f>
        <v/>
      </c>
      <c r="F261" s="17" t="str">
        <f t="shared" si="67"/>
        <v/>
      </c>
      <c r="R261" s="39"/>
      <c r="T261" s="5">
        <v>46280</v>
      </c>
      <c r="U261" s="21">
        <f>IF([1]AIX!I262=0,"",[1]AIX!I262)</f>
        <v>7820.89</v>
      </c>
      <c r="V261" s="22" t="str">
        <f t="shared" si="64"/>
        <v/>
      </c>
      <c r="W261" s="23" t="str">
        <f>IF([2]AIX!I263=0,"",[2]AIX!I263)</f>
        <v/>
      </c>
      <c r="X261" s="17" t="str">
        <f t="shared" si="68"/>
        <v/>
      </c>
      <c r="AJ261" s="39"/>
      <c r="AL261" s="5">
        <v>46280</v>
      </c>
      <c r="AM261" s="21">
        <f>IF([1]AIX!J262=0,"",[1]AIX!J262)</f>
        <v>494</v>
      </c>
      <c r="AN261" s="22" t="str">
        <f t="shared" si="65"/>
        <v/>
      </c>
      <c r="AO261" s="23" t="str">
        <f>IF([2]AIX!J263=0,"",[2]AIX!J263)</f>
        <v/>
      </c>
      <c r="AP261" s="17" t="str">
        <f t="shared" si="69"/>
        <v/>
      </c>
      <c r="BB261" s="39"/>
      <c r="BD261" s="5">
        <v>46280</v>
      </c>
      <c r="BE261" s="41">
        <f t="shared" ref="BE261:BE324" si="71">IFERROR(C261/AM261,"")</f>
        <v>16.028623481781377</v>
      </c>
      <c r="BF261" s="22" t="str">
        <f t="shared" si="66"/>
        <v/>
      </c>
      <c r="BG261" s="42" t="str">
        <f t="shared" ref="BG261:BG324" si="72">IFERROR(E261/AO261,"")</f>
        <v/>
      </c>
      <c r="BH261" s="17" t="str">
        <f t="shared" si="70"/>
        <v/>
      </c>
      <c r="BT261" s="39"/>
    </row>
    <row r="262" spans="2:72">
      <c r="B262" s="5">
        <v>46281</v>
      </c>
      <c r="C262" s="23">
        <f>IF([1]AIX!H263=0,"",[1]AIX!H263)</f>
        <v>9404.73</v>
      </c>
      <c r="D262" s="22" t="str">
        <f t="shared" si="63"/>
        <v/>
      </c>
      <c r="E262" s="23" t="str">
        <f>IF([2]AIX!H264=0,"",[2]AIX!H264)</f>
        <v/>
      </c>
      <c r="F262" s="17" t="str">
        <f t="shared" si="67"/>
        <v/>
      </c>
      <c r="R262" s="39"/>
      <c r="T262" s="5">
        <v>46281</v>
      </c>
      <c r="U262" s="23">
        <f>IF([1]AIX!I263=0,"",[1]AIX!I263)</f>
        <v>9293.83</v>
      </c>
      <c r="V262" s="22" t="str">
        <f t="shared" si="64"/>
        <v/>
      </c>
      <c r="W262" s="23" t="str">
        <f>IF([2]AIX!I264=0,"",[2]AIX!I264)</f>
        <v/>
      </c>
      <c r="X262" s="17" t="str">
        <f t="shared" si="68"/>
        <v/>
      </c>
      <c r="AJ262" s="39"/>
      <c r="AL262" s="5">
        <v>46281</v>
      </c>
      <c r="AM262" s="23">
        <f>IF([1]AIX!J263=0,"",[1]AIX!J263)</f>
        <v>578</v>
      </c>
      <c r="AN262" s="22" t="str">
        <f t="shared" si="65"/>
        <v/>
      </c>
      <c r="AO262" s="23" t="str">
        <f>IF([2]AIX!J264=0,"",[2]AIX!J264)</f>
        <v/>
      </c>
      <c r="AP262" s="17" t="str">
        <f t="shared" si="69"/>
        <v/>
      </c>
      <c r="BB262" s="39"/>
      <c r="BD262" s="5">
        <v>46281</v>
      </c>
      <c r="BE262" s="42">
        <f t="shared" si="71"/>
        <v>16.271159169550174</v>
      </c>
      <c r="BF262" s="22" t="str">
        <f t="shared" si="66"/>
        <v/>
      </c>
      <c r="BG262" s="42" t="str">
        <f t="shared" si="72"/>
        <v/>
      </c>
      <c r="BH262" s="17" t="str">
        <f t="shared" si="70"/>
        <v/>
      </c>
      <c r="BT262" s="39"/>
    </row>
    <row r="263" spans="2:72">
      <c r="B263" s="5">
        <v>46282</v>
      </c>
      <c r="C263" s="23">
        <f>IF([1]AIX!H264=0,"",[1]AIX!H264)</f>
        <v>12226.09</v>
      </c>
      <c r="D263" s="22" t="str">
        <f t="shared" si="63"/>
        <v/>
      </c>
      <c r="E263" s="23" t="str">
        <f>IF([2]AIX!H265=0,"",[2]AIX!H265)</f>
        <v/>
      </c>
      <c r="F263" s="17" t="str">
        <f t="shared" si="67"/>
        <v/>
      </c>
      <c r="R263" s="39"/>
      <c r="T263" s="5">
        <v>46282</v>
      </c>
      <c r="U263" s="23">
        <f>IF([1]AIX!I264=0,"",[1]AIX!I264)</f>
        <v>12031.5</v>
      </c>
      <c r="V263" s="22" t="str">
        <f t="shared" si="64"/>
        <v/>
      </c>
      <c r="W263" s="23" t="str">
        <f>IF([2]AIX!I265=0,"",[2]AIX!I265)</f>
        <v/>
      </c>
      <c r="X263" s="17" t="str">
        <f t="shared" si="68"/>
        <v/>
      </c>
      <c r="AJ263" s="39"/>
      <c r="AL263" s="5">
        <v>46282</v>
      </c>
      <c r="AM263" s="23">
        <f>IF([1]AIX!J264=0,"",[1]AIX!J264)</f>
        <v>739</v>
      </c>
      <c r="AN263" s="22" t="str">
        <f t="shared" si="65"/>
        <v/>
      </c>
      <c r="AO263" s="23" t="str">
        <f>IF([2]AIX!J265=0,"",[2]AIX!J265)</f>
        <v/>
      </c>
      <c r="AP263" s="17" t="str">
        <f t="shared" si="69"/>
        <v/>
      </c>
      <c r="BB263" s="39"/>
      <c r="BD263" s="5">
        <v>46282</v>
      </c>
      <c r="BE263" s="42">
        <f t="shared" si="71"/>
        <v>16.544100135317997</v>
      </c>
      <c r="BF263" s="22" t="str">
        <f t="shared" si="66"/>
        <v/>
      </c>
      <c r="BG263" s="42" t="str">
        <f t="shared" si="72"/>
        <v/>
      </c>
      <c r="BH263" s="17" t="str">
        <f t="shared" si="70"/>
        <v/>
      </c>
      <c r="BT263" s="39"/>
    </row>
    <row r="264" spans="2:72">
      <c r="B264" s="5">
        <v>46283</v>
      </c>
      <c r="C264" s="23">
        <f>IF([1]AIX!H265=0,"",[1]AIX!H265)</f>
        <v>11337.1</v>
      </c>
      <c r="D264" s="22" t="str">
        <f t="shared" si="63"/>
        <v/>
      </c>
      <c r="E264" s="23" t="str">
        <f>IF([2]AIX!H266=0,"",[2]AIX!H266)</f>
        <v/>
      </c>
      <c r="F264" s="17" t="str">
        <f t="shared" si="67"/>
        <v/>
      </c>
      <c r="R264" s="39"/>
      <c r="T264" s="5">
        <v>46283</v>
      </c>
      <c r="U264" s="23">
        <f>IF([1]AIX!I265=0,"",[1]AIX!I265)</f>
        <v>11163.31</v>
      </c>
      <c r="V264" s="22" t="str">
        <f t="shared" si="64"/>
        <v/>
      </c>
      <c r="W264" s="23" t="str">
        <f>IF([2]AIX!I266=0,"",[2]AIX!I266)</f>
        <v/>
      </c>
      <c r="X264" s="17" t="str">
        <f t="shared" si="68"/>
        <v/>
      </c>
      <c r="AJ264" s="39"/>
      <c r="AL264" s="5">
        <v>46283</v>
      </c>
      <c r="AM264" s="23">
        <f>IF([1]AIX!J265=0,"",[1]AIX!J265)</f>
        <v>702</v>
      </c>
      <c r="AN264" s="22" t="str">
        <f t="shared" si="65"/>
        <v/>
      </c>
      <c r="AO264" s="23" t="str">
        <f>IF([2]AIX!J266=0,"",[2]AIX!J266)</f>
        <v/>
      </c>
      <c r="AP264" s="17" t="str">
        <f t="shared" si="69"/>
        <v/>
      </c>
      <c r="BB264" s="39"/>
      <c r="BD264" s="5">
        <v>46283</v>
      </c>
      <c r="BE264" s="42">
        <f t="shared" si="71"/>
        <v>16.149715099715099</v>
      </c>
      <c r="BF264" s="22" t="str">
        <f t="shared" si="66"/>
        <v/>
      </c>
      <c r="BG264" s="42" t="str">
        <f t="shared" si="72"/>
        <v/>
      </c>
      <c r="BH264" s="17" t="str">
        <f t="shared" si="70"/>
        <v/>
      </c>
      <c r="BT264" s="39"/>
    </row>
    <row r="265" spans="2:72">
      <c r="B265" s="5">
        <v>46284</v>
      </c>
      <c r="C265" s="23">
        <f>IF([1]AIX!H266=0,"",[1]AIX!H266)</f>
        <v>15004.18</v>
      </c>
      <c r="D265" s="22" t="str">
        <f t="shared" si="63"/>
        <v/>
      </c>
      <c r="E265" s="23" t="str">
        <f>IF([2]AIX!H267=0,"",[2]AIX!H267)</f>
        <v/>
      </c>
      <c r="F265" s="17" t="str">
        <f t="shared" si="67"/>
        <v/>
      </c>
      <c r="R265" s="39"/>
      <c r="T265" s="5">
        <v>46284</v>
      </c>
      <c r="U265" s="23">
        <f>IF([1]AIX!I266=0,"",[1]AIX!I266)</f>
        <v>14783.55</v>
      </c>
      <c r="V265" s="22" t="str">
        <f t="shared" si="64"/>
        <v/>
      </c>
      <c r="W265" s="23" t="str">
        <f>IF([2]AIX!I267=0,"",[2]AIX!I267)</f>
        <v/>
      </c>
      <c r="X265" s="17" t="str">
        <f t="shared" si="68"/>
        <v/>
      </c>
      <c r="AJ265" s="39"/>
      <c r="AL265" s="5">
        <v>46284</v>
      </c>
      <c r="AM265" s="23">
        <f>IF([1]AIX!J266=0,"",[1]AIX!J266)</f>
        <v>922</v>
      </c>
      <c r="AN265" s="22" t="str">
        <f t="shared" si="65"/>
        <v/>
      </c>
      <c r="AO265" s="23" t="str">
        <f>IF([2]AIX!J267=0,"",[2]AIX!J267)</f>
        <v/>
      </c>
      <c r="AP265" s="17" t="str">
        <f t="shared" si="69"/>
        <v/>
      </c>
      <c r="BB265" s="39"/>
      <c r="BD265" s="5">
        <v>46284</v>
      </c>
      <c r="BE265" s="42">
        <f t="shared" si="71"/>
        <v>16.273514099783082</v>
      </c>
      <c r="BF265" s="22" t="str">
        <f t="shared" si="66"/>
        <v/>
      </c>
      <c r="BG265" s="42" t="str">
        <f t="shared" si="72"/>
        <v/>
      </c>
      <c r="BH265" s="17" t="str">
        <f t="shared" si="70"/>
        <v/>
      </c>
      <c r="BT265" s="39"/>
    </row>
    <row r="266" spans="2:72">
      <c r="B266" s="5">
        <v>46285</v>
      </c>
      <c r="C266" s="23">
        <f>IF([1]AIX!H267=0,"",[1]AIX!H267)</f>
        <v>17312.02</v>
      </c>
      <c r="D266" s="22" t="str">
        <f t="shared" si="63"/>
        <v/>
      </c>
      <c r="E266" s="24" t="str">
        <f>IF([2]AIX!H268=0,"",[2]AIX!H268)</f>
        <v/>
      </c>
      <c r="F266" s="17" t="str">
        <f t="shared" si="67"/>
        <v/>
      </c>
      <c r="R266" s="39"/>
      <c r="T266" s="5">
        <v>46285</v>
      </c>
      <c r="U266" s="23">
        <f>IF([1]AIX!I267=0,"",[1]AIX!I267)</f>
        <v>17043.25</v>
      </c>
      <c r="V266" s="22" t="str">
        <f t="shared" si="64"/>
        <v/>
      </c>
      <c r="W266" s="24" t="str">
        <f>IF([2]AIX!I268=0,"",[2]AIX!I268)</f>
        <v/>
      </c>
      <c r="X266" s="17" t="str">
        <f t="shared" si="68"/>
        <v/>
      </c>
      <c r="AJ266" s="39"/>
      <c r="AL266" s="5">
        <v>46285</v>
      </c>
      <c r="AM266" s="23">
        <f>IF([1]AIX!J267=0,"",[1]AIX!J267)</f>
        <v>1092</v>
      </c>
      <c r="AN266" s="22" t="str">
        <f t="shared" si="65"/>
        <v/>
      </c>
      <c r="AO266" s="24" t="str">
        <f>IF([2]AIX!J268=0,"",[2]AIX!J268)</f>
        <v/>
      </c>
      <c r="AP266" s="17" t="str">
        <f t="shared" si="69"/>
        <v/>
      </c>
      <c r="BB266" s="39"/>
      <c r="BD266" s="5">
        <v>46285</v>
      </c>
      <c r="BE266" s="42">
        <f t="shared" si="71"/>
        <v>15.853498168498168</v>
      </c>
      <c r="BF266" s="22" t="str">
        <f t="shared" si="66"/>
        <v/>
      </c>
      <c r="BG266" s="43" t="str">
        <f t="shared" si="72"/>
        <v/>
      </c>
      <c r="BH266" s="17" t="str">
        <f t="shared" si="70"/>
        <v/>
      </c>
      <c r="BT266" s="39"/>
    </row>
    <row r="267" spans="2:72">
      <c r="B267" s="5">
        <v>46286</v>
      </c>
      <c r="C267" s="24">
        <f>IF([1]AIX!H268=0,"",[1]AIX!H268)</f>
        <v>16339.7</v>
      </c>
      <c r="D267" s="22" t="str">
        <f t="shared" si="63"/>
        <v/>
      </c>
      <c r="E267" s="21" t="str">
        <f>IF([2]AIX!H269=0,"",[2]AIX!H269)</f>
        <v/>
      </c>
      <c r="F267" s="17" t="str">
        <f t="shared" si="67"/>
        <v/>
      </c>
      <c r="R267" s="39"/>
      <c r="T267" s="5">
        <v>46286</v>
      </c>
      <c r="U267" s="24">
        <f>IF([1]AIX!I268=0,"",[1]AIX!I268)</f>
        <v>16021.41</v>
      </c>
      <c r="V267" s="22" t="str">
        <f t="shared" si="64"/>
        <v/>
      </c>
      <c r="W267" s="21" t="str">
        <f>IF([2]AIX!I269=0,"",[2]AIX!I269)</f>
        <v/>
      </c>
      <c r="X267" s="17" t="str">
        <f t="shared" si="68"/>
        <v/>
      </c>
      <c r="AJ267" s="39"/>
      <c r="AL267" s="5">
        <v>46286</v>
      </c>
      <c r="AM267" s="24">
        <f>IF([1]AIX!J268=0,"",[1]AIX!J268)</f>
        <v>809</v>
      </c>
      <c r="AN267" s="22" t="str">
        <f t="shared" si="65"/>
        <v/>
      </c>
      <c r="AO267" s="21" t="str">
        <f>IF([2]AIX!J269=0,"",[2]AIX!J269)</f>
        <v/>
      </c>
      <c r="AP267" s="17" t="str">
        <f t="shared" si="69"/>
        <v/>
      </c>
      <c r="BB267" s="39"/>
      <c r="BD267" s="5">
        <v>46286</v>
      </c>
      <c r="BE267" s="43">
        <f t="shared" si="71"/>
        <v>20.197404202719408</v>
      </c>
      <c r="BF267" s="22" t="str">
        <f t="shared" si="66"/>
        <v/>
      </c>
      <c r="BG267" s="41" t="str">
        <f t="shared" si="72"/>
        <v/>
      </c>
      <c r="BH267" s="17" t="str">
        <f t="shared" si="70"/>
        <v/>
      </c>
      <c r="BT267" s="39"/>
    </row>
    <row r="268" spans="2:72">
      <c r="B268" s="5">
        <v>46287</v>
      </c>
      <c r="C268" s="21">
        <f>IF([1]AIX!H269=0,"",[1]AIX!H269)</f>
        <v>8681.9599999999991</v>
      </c>
      <c r="D268" s="22" t="str">
        <f t="shared" si="63"/>
        <v/>
      </c>
      <c r="E268" s="23" t="str">
        <f>IF([2]AIX!H270=0,"",[2]AIX!H270)</f>
        <v/>
      </c>
      <c r="F268" s="17" t="str">
        <f t="shared" si="67"/>
        <v/>
      </c>
      <c r="R268" s="39"/>
      <c r="T268" s="5">
        <v>46287</v>
      </c>
      <c r="U268" s="21">
        <f>IF([1]AIX!I269=0,"",[1]AIX!I269)</f>
        <v>8568.3799999999992</v>
      </c>
      <c r="V268" s="22" t="str">
        <f t="shared" si="64"/>
        <v/>
      </c>
      <c r="W268" s="23" t="str">
        <f>IF([2]AIX!I270=0,"",[2]AIX!I270)</f>
        <v/>
      </c>
      <c r="X268" s="17" t="str">
        <f t="shared" si="68"/>
        <v/>
      </c>
      <c r="AJ268" s="39"/>
      <c r="AL268" s="5">
        <v>46287</v>
      </c>
      <c r="AM268" s="21">
        <f>IF([1]AIX!J269=0,"",[1]AIX!J269)</f>
        <v>496</v>
      </c>
      <c r="AN268" s="22" t="str">
        <f t="shared" si="65"/>
        <v/>
      </c>
      <c r="AO268" s="23" t="str">
        <f>IF([2]AIX!J270=0,"",[2]AIX!J270)</f>
        <v/>
      </c>
      <c r="AP268" s="17" t="str">
        <f t="shared" si="69"/>
        <v/>
      </c>
      <c r="BB268" s="39"/>
      <c r="BD268" s="5">
        <v>46287</v>
      </c>
      <c r="BE268" s="41">
        <f t="shared" si="71"/>
        <v>17.503951612903226</v>
      </c>
      <c r="BF268" s="22" t="str">
        <f t="shared" si="66"/>
        <v/>
      </c>
      <c r="BG268" s="42" t="str">
        <f t="shared" si="72"/>
        <v/>
      </c>
      <c r="BH268" s="17" t="str">
        <f t="shared" si="70"/>
        <v/>
      </c>
      <c r="BT268" s="39"/>
    </row>
    <row r="269" spans="2:72">
      <c r="B269" s="5">
        <v>46288</v>
      </c>
      <c r="C269" s="23">
        <f>IF([1]AIX!H270=0,"",[1]AIX!H270)</f>
        <v>8430.61</v>
      </c>
      <c r="D269" s="22" t="str">
        <f t="shared" si="63"/>
        <v/>
      </c>
      <c r="E269" s="23" t="str">
        <f>IF([2]AIX!H271=0,"",[2]AIX!H271)</f>
        <v/>
      </c>
      <c r="F269" s="17" t="str">
        <f t="shared" si="67"/>
        <v/>
      </c>
      <c r="R269" s="39"/>
      <c r="T269" s="5">
        <v>46288</v>
      </c>
      <c r="U269" s="23">
        <f>IF([1]AIX!I270=0,"",[1]AIX!I270)</f>
        <v>8284.93</v>
      </c>
      <c r="V269" s="22" t="str">
        <f t="shared" si="64"/>
        <v/>
      </c>
      <c r="W269" s="23" t="str">
        <f>IF([2]AIX!I271=0,"",[2]AIX!I271)</f>
        <v/>
      </c>
      <c r="X269" s="17" t="str">
        <f t="shared" si="68"/>
        <v/>
      </c>
      <c r="AJ269" s="39"/>
      <c r="AL269" s="5">
        <v>46288</v>
      </c>
      <c r="AM269" s="23">
        <f>IF([1]AIX!J270=0,"",[1]AIX!J270)</f>
        <v>497</v>
      </c>
      <c r="AN269" s="22" t="str">
        <f t="shared" si="65"/>
        <v/>
      </c>
      <c r="AO269" s="23" t="str">
        <f>IF([2]AIX!J271=0,"",[2]AIX!J271)</f>
        <v/>
      </c>
      <c r="AP269" s="17" t="str">
        <f t="shared" si="69"/>
        <v/>
      </c>
      <c r="BB269" s="39"/>
      <c r="BD269" s="5">
        <v>46288</v>
      </c>
      <c r="BE269" s="42">
        <f t="shared" si="71"/>
        <v>16.962997987927565</v>
      </c>
      <c r="BF269" s="22" t="str">
        <f t="shared" si="66"/>
        <v/>
      </c>
      <c r="BG269" s="42" t="str">
        <f t="shared" si="72"/>
        <v/>
      </c>
      <c r="BH269" s="17" t="str">
        <f t="shared" si="70"/>
        <v/>
      </c>
      <c r="BT269" s="39"/>
    </row>
    <row r="270" spans="2:72">
      <c r="B270" s="5">
        <v>46289</v>
      </c>
      <c r="C270" s="23">
        <f>IF([1]AIX!H271=0,"",[1]AIX!H271)</f>
        <v>9321.2000000000007</v>
      </c>
      <c r="D270" s="22" t="str">
        <f t="shared" si="63"/>
        <v/>
      </c>
      <c r="E270" s="23" t="str">
        <f>IF([2]AIX!H272=0,"",[2]AIX!H272)</f>
        <v/>
      </c>
      <c r="F270" s="17" t="str">
        <f t="shared" si="67"/>
        <v/>
      </c>
      <c r="R270" s="39"/>
      <c r="T270" s="5">
        <v>46289</v>
      </c>
      <c r="U270" s="23">
        <f>IF([1]AIX!I271=0,"",[1]AIX!I271)</f>
        <v>9102.5499999999993</v>
      </c>
      <c r="V270" s="22" t="str">
        <f t="shared" si="64"/>
        <v/>
      </c>
      <c r="W270" s="23" t="str">
        <f>IF([2]AIX!I272=0,"",[2]AIX!I272)</f>
        <v/>
      </c>
      <c r="X270" s="17" t="str">
        <f t="shared" si="68"/>
        <v/>
      </c>
      <c r="AJ270" s="39"/>
      <c r="AL270" s="5">
        <v>46289</v>
      </c>
      <c r="AM270" s="23">
        <f>IF([1]AIX!J271=0,"",[1]AIX!J271)</f>
        <v>538</v>
      </c>
      <c r="AN270" s="22" t="str">
        <f t="shared" si="65"/>
        <v/>
      </c>
      <c r="AO270" s="23" t="str">
        <f>IF([2]AIX!J272=0,"",[2]AIX!J272)</f>
        <v/>
      </c>
      <c r="AP270" s="17" t="str">
        <f t="shared" si="69"/>
        <v/>
      </c>
      <c r="BB270" s="39"/>
      <c r="BD270" s="5">
        <v>46289</v>
      </c>
      <c r="BE270" s="42">
        <f t="shared" si="71"/>
        <v>17.325650557620818</v>
      </c>
      <c r="BF270" s="22" t="str">
        <f t="shared" si="66"/>
        <v/>
      </c>
      <c r="BG270" s="42" t="str">
        <f t="shared" si="72"/>
        <v/>
      </c>
      <c r="BH270" s="17" t="str">
        <f t="shared" si="70"/>
        <v/>
      </c>
      <c r="BT270" s="39"/>
    </row>
    <row r="271" spans="2:72">
      <c r="B271" s="5">
        <v>46290</v>
      </c>
      <c r="C271" s="23">
        <f>IF([1]AIX!H272=0,"",[1]AIX!H272)</f>
        <v>9870.24</v>
      </c>
      <c r="D271" s="22" t="str">
        <f t="shared" si="63"/>
        <v/>
      </c>
      <c r="E271" s="23" t="str">
        <f>IF([2]AIX!H273=0,"",[2]AIX!H273)</f>
        <v/>
      </c>
      <c r="F271" s="17" t="str">
        <f t="shared" si="67"/>
        <v/>
      </c>
      <c r="R271" s="39"/>
      <c r="T271" s="5">
        <v>46290</v>
      </c>
      <c r="U271" s="23">
        <f>IF([1]AIX!I272=0,"",[1]AIX!I272)</f>
        <v>9671.84</v>
      </c>
      <c r="V271" s="22" t="str">
        <f t="shared" si="64"/>
        <v/>
      </c>
      <c r="W271" s="23" t="str">
        <f>IF([2]AIX!I273=0,"",[2]AIX!I273)</f>
        <v/>
      </c>
      <c r="X271" s="17" t="str">
        <f t="shared" si="68"/>
        <v/>
      </c>
      <c r="AJ271" s="39"/>
      <c r="AL271" s="5">
        <v>46290</v>
      </c>
      <c r="AM271" s="23">
        <f>IF([1]AIX!J272=0,"",[1]AIX!J272)</f>
        <v>570</v>
      </c>
      <c r="AN271" s="22" t="str">
        <f t="shared" si="65"/>
        <v/>
      </c>
      <c r="AO271" s="23" t="str">
        <f>IF([2]AIX!J273=0,"",[2]AIX!J273)</f>
        <v/>
      </c>
      <c r="AP271" s="17" t="str">
        <f t="shared" si="69"/>
        <v/>
      </c>
      <c r="BB271" s="39"/>
      <c r="BD271" s="5">
        <v>46290</v>
      </c>
      <c r="BE271" s="42">
        <f t="shared" si="71"/>
        <v>17.316210526315789</v>
      </c>
      <c r="BF271" s="22" t="str">
        <f t="shared" si="66"/>
        <v/>
      </c>
      <c r="BG271" s="42" t="str">
        <f t="shared" si="72"/>
        <v/>
      </c>
      <c r="BH271" s="17" t="str">
        <f t="shared" si="70"/>
        <v/>
      </c>
      <c r="BT271" s="39"/>
    </row>
    <row r="272" spans="2:72">
      <c r="B272" s="5">
        <v>46291</v>
      </c>
      <c r="C272" s="23">
        <f>IF([1]AIX!H273=0,"",[1]AIX!H273)</f>
        <v>13408.31</v>
      </c>
      <c r="D272" s="22" t="str">
        <f t="shared" si="63"/>
        <v/>
      </c>
      <c r="E272" s="23" t="str">
        <f>IF([2]AIX!H274=0,"",[2]AIX!H274)</f>
        <v/>
      </c>
      <c r="F272" s="17" t="str">
        <f t="shared" si="67"/>
        <v/>
      </c>
      <c r="R272" s="39"/>
      <c r="T272" s="5">
        <v>46291</v>
      </c>
      <c r="U272" s="23">
        <f>IF([1]AIX!I273=0,"",[1]AIX!I273)</f>
        <v>13057.4</v>
      </c>
      <c r="V272" s="22" t="str">
        <f t="shared" si="64"/>
        <v/>
      </c>
      <c r="W272" s="23" t="str">
        <f>IF([2]AIX!I274=0,"",[2]AIX!I274)</f>
        <v/>
      </c>
      <c r="X272" s="17" t="str">
        <f t="shared" si="68"/>
        <v/>
      </c>
      <c r="AJ272" s="39"/>
      <c r="AL272" s="5">
        <v>46291</v>
      </c>
      <c r="AM272" s="23">
        <f>IF([1]AIX!J273=0,"",[1]AIX!J273)</f>
        <v>787</v>
      </c>
      <c r="AN272" s="22" t="str">
        <f t="shared" si="65"/>
        <v/>
      </c>
      <c r="AO272" s="23" t="str">
        <f>IF([2]AIX!J274=0,"",[2]AIX!J274)</f>
        <v/>
      </c>
      <c r="AP272" s="17" t="str">
        <f t="shared" si="69"/>
        <v/>
      </c>
      <c r="BB272" s="39"/>
      <c r="BD272" s="5">
        <v>46291</v>
      </c>
      <c r="BE272" s="42">
        <f t="shared" si="71"/>
        <v>17.037242693773823</v>
      </c>
      <c r="BF272" s="22" t="str">
        <f t="shared" si="66"/>
        <v/>
      </c>
      <c r="BG272" s="42" t="str">
        <f t="shared" si="72"/>
        <v/>
      </c>
      <c r="BH272" s="17" t="str">
        <f t="shared" si="70"/>
        <v/>
      </c>
      <c r="BT272" s="39"/>
    </row>
    <row r="273" spans="2:72">
      <c r="B273" s="5">
        <v>46292</v>
      </c>
      <c r="C273" s="23">
        <f>IF([1]AIX!H274=0,"",[1]AIX!H274)</f>
        <v>14619.63</v>
      </c>
      <c r="D273" s="22" t="str">
        <f t="shared" si="63"/>
        <v/>
      </c>
      <c r="E273" s="24" t="str">
        <f>IF([2]AIX!H275=0,"",[2]AIX!H275)</f>
        <v/>
      </c>
      <c r="F273" s="17" t="str">
        <f t="shared" si="67"/>
        <v/>
      </c>
      <c r="R273" s="39"/>
      <c r="T273" s="5">
        <v>46292</v>
      </c>
      <c r="U273" s="23">
        <f>IF([1]AIX!I274=0,"",[1]AIX!I274)</f>
        <v>14304.84</v>
      </c>
      <c r="V273" s="22" t="str">
        <f t="shared" si="64"/>
        <v/>
      </c>
      <c r="W273" s="24" t="str">
        <f>IF([2]AIX!I275=0,"",[2]AIX!I275)</f>
        <v/>
      </c>
      <c r="X273" s="17" t="str">
        <f t="shared" si="68"/>
        <v/>
      </c>
      <c r="AJ273" s="39"/>
      <c r="AL273" s="5">
        <v>46292</v>
      </c>
      <c r="AM273" s="23">
        <f>IF([1]AIX!J274=0,"",[1]AIX!J274)</f>
        <v>865</v>
      </c>
      <c r="AN273" s="22" t="str">
        <f t="shared" si="65"/>
        <v/>
      </c>
      <c r="AO273" s="24" t="str">
        <f>IF([2]AIX!J275=0,"",[2]AIX!J275)</f>
        <v/>
      </c>
      <c r="AP273" s="17" t="str">
        <f t="shared" si="69"/>
        <v/>
      </c>
      <c r="BB273" s="39"/>
      <c r="BD273" s="5">
        <v>46292</v>
      </c>
      <c r="BE273" s="42">
        <f t="shared" si="71"/>
        <v>16.9013063583815</v>
      </c>
      <c r="BF273" s="22" t="str">
        <f t="shared" si="66"/>
        <v/>
      </c>
      <c r="BG273" s="43" t="str">
        <f t="shared" si="72"/>
        <v/>
      </c>
      <c r="BH273" s="17" t="str">
        <f t="shared" si="70"/>
        <v/>
      </c>
      <c r="BT273" s="39"/>
    </row>
    <row r="274" spans="2:72">
      <c r="B274" s="5">
        <v>46293</v>
      </c>
      <c r="C274" s="24">
        <f>IF([1]AIX!H275=0,"",[1]AIX!H275)</f>
        <v>16568.13</v>
      </c>
      <c r="D274" s="22" t="str">
        <f t="shared" si="63"/>
        <v/>
      </c>
      <c r="E274" s="21" t="str">
        <f>IF([2]AIX!H276=0,"",[2]AIX!H276)</f>
        <v/>
      </c>
      <c r="F274" s="17" t="str">
        <f t="shared" si="67"/>
        <v/>
      </c>
      <c r="R274" s="39"/>
      <c r="T274" s="5">
        <v>46293</v>
      </c>
      <c r="U274" s="24">
        <f>IF([1]AIX!I275=0,"",[1]AIX!I275)</f>
        <v>16051.62</v>
      </c>
      <c r="V274" s="22" t="str">
        <f t="shared" si="64"/>
        <v/>
      </c>
      <c r="W274" s="21" t="str">
        <f>IF([2]AIX!I276=0,"",[2]AIX!I276)</f>
        <v/>
      </c>
      <c r="X274" s="17" t="str">
        <f t="shared" si="68"/>
        <v/>
      </c>
      <c r="AJ274" s="39"/>
      <c r="AL274" s="5">
        <v>46293</v>
      </c>
      <c r="AM274" s="24">
        <f>IF([1]AIX!J275=0,"",[1]AIX!J275)</f>
        <v>904</v>
      </c>
      <c r="AN274" s="22" t="str">
        <f t="shared" si="65"/>
        <v/>
      </c>
      <c r="AO274" s="21" t="str">
        <f>IF([2]AIX!J276=0,"",[2]AIX!J276)</f>
        <v/>
      </c>
      <c r="AP274" s="17" t="str">
        <f t="shared" si="69"/>
        <v/>
      </c>
      <c r="BB274" s="39"/>
      <c r="BD274" s="5">
        <v>46293</v>
      </c>
      <c r="BE274" s="43">
        <f t="shared" si="71"/>
        <v>18.327577433628321</v>
      </c>
      <c r="BF274" s="22" t="str">
        <f t="shared" si="66"/>
        <v/>
      </c>
      <c r="BG274" s="41" t="str">
        <f t="shared" si="72"/>
        <v/>
      </c>
      <c r="BH274" s="17" t="str">
        <f t="shared" si="70"/>
        <v/>
      </c>
      <c r="BT274" s="39"/>
    </row>
    <row r="275" spans="2:72">
      <c r="B275" s="5">
        <v>46294</v>
      </c>
      <c r="C275" s="21">
        <f>IF([1]AIX!H276=0,"",[1]AIX!H276)</f>
        <v>8896.44</v>
      </c>
      <c r="D275" s="22" t="str">
        <f t="shared" si="63"/>
        <v/>
      </c>
      <c r="E275" s="23" t="str">
        <f>IF([2]AIX!H277=0,"",[2]AIX!H277)</f>
        <v/>
      </c>
      <c r="F275" s="17" t="str">
        <f t="shared" si="67"/>
        <v/>
      </c>
      <c r="R275" s="39"/>
      <c r="T275" s="5">
        <v>46294</v>
      </c>
      <c r="U275" s="21">
        <f>IF([1]AIX!I276=0,"",[1]AIX!I276)</f>
        <v>8710.5300000000007</v>
      </c>
      <c r="V275" s="22" t="str">
        <f t="shared" si="64"/>
        <v/>
      </c>
      <c r="W275" s="23" t="str">
        <f>IF([2]AIX!I277=0,"",[2]AIX!I277)</f>
        <v/>
      </c>
      <c r="X275" s="17" t="str">
        <f t="shared" si="68"/>
        <v/>
      </c>
      <c r="AJ275" s="39"/>
      <c r="AL275" s="5">
        <v>46294</v>
      </c>
      <c r="AM275" s="21">
        <f>IF([1]AIX!J276=0,"",[1]AIX!J276)</f>
        <v>532</v>
      </c>
      <c r="AN275" s="22" t="str">
        <f t="shared" si="65"/>
        <v/>
      </c>
      <c r="AO275" s="23" t="str">
        <f>IF([2]AIX!J277=0,"",[2]AIX!J277)</f>
        <v/>
      </c>
      <c r="AP275" s="17" t="str">
        <f t="shared" si="69"/>
        <v/>
      </c>
      <c r="BB275" s="39"/>
      <c r="BD275" s="5">
        <v>46294</v>
      </c>
      <c r="BE275" s="41">
        <f t="shared" si="71"/>
        <v>16.722631578947368</v>
      </c>
      <c r="BF275" s="22" t="str">
        <f t="shared" si="66"/>
        <v/>
      </c>
      <c r="BG275" s="42" t="str">
        <f t="shared" si="72"/>
        <v/>
      </c>
      <c r="BH275" s="17" t="str">
        <f t="shared" si="70"/>
        <v/>
      </c>
      <c r="BT275" s="39"/>
    </row>
    <row r="276" spans="2:72">
      <c r="B276" s="5">
        <v>46295</v>
      </c>
      <c r="C276" s="23">
        <f>IF([1]AIX!H277=0,"",[1]AIX!H277)</f>
        <v>9578.11</v>
      </c>
      <c r="D276" s="22" t="str">
        <f t="shared" si="63"/>
        <v/>
      </c>
      <c r="E276" s="23" t="str">
        <f>IF([2]AIX!H278=0,"",[2]AIX!H278)</f>
        <v/>
      </c>
      <c r="F276" s="17" t="str">
        <f t="shared" si="67"/>
        <v/>
      </c>
      <c r="R276" s="39"/>
      <c r="T276" s="5">
        <v>46295</v>
      </c>
      <c r="U276" s="23">
        <f>IF([1]AIX!I277=0,"",[1]AIX!I277)</f>
        <v>9324.94</v>
      </c>
      <c r="V276" s="22" t="str">
        <f t="shared" si="64"/>
        <v/>
      </c>
      <c r="W276" s="23" t="str">
        <f>IF([2]AIX!I278=0,"",[2]AIX!I278)</f>
        <v/>
      </c>
      <c r="X276" s="17" t="str">
        <f t="shared" si="68"/>
        <v/>
      </c>
      <c r="AJ276" s="39"/>
      <c r="AL276" s="5">
        <v>46295</v>
      </c>
      <c r="AM276" s="23">
        <f>IF([1]AIX!J277=0,"",[1]AIX!J277)</f>
        <v>559</v>
      </c>
      <c r="AN276" s="22" t="str">
        <f t="shared" si="65"/>
        <v/>
      </c>
      <c r="AO276" s="23" t="str">
        <f>IF([2]AIX!J278=0,"",[2]AIX!J278)</f>
        <v/>
      </c>
      <c r="AP276" s="17" t="str">
        <f t="shared" si="69"/>
        <v/>
      </c>
      <c r="BB276" s="39"/>
      <c r="BD276" s="5">
        <v>46295</v>
      </c>
      <c r="BE276" s="42">
        <f t="shared" si="71"/>
        <v>17.134364937388195</v>
      </c>
      <c r="BF276" s="22" t="str">
        <f t="shared" si="66"/>
        <v/>
      </c>
      <c r="BG276" s="42" t="str">
        <f t="shared" si="72"/>
        <v/>
      </c>
      <c r="BH276" s="17" t="str">
        <f t="shared" si="70"/>
        <v/>
      </c>
      <c r="BT276" s="39"/>
    </row>
    <row r="277" spans="2:72">
      <c r="B277" s="5">
        <v>46296</v>
      </c>
      <c r="C277" s="23">
        <f>IF([1]AIX!H278=0,"",[1]AIX!H278)</f>
        <v>11321.38</v>
      </c>
      <c r="D277" s="22" t="str">
        <f t="shared" si="63"/>
        <v/>
      </c>
      <c r="E277" s="23" t="str">
        <f>IF([2]AIX!H279=0,"",[2]AIX!H279)</f>
        <v/>
      </c>
      <c r="F277" s="17" t="str">
        <f t="shared" si="67"/>
        <v/>
      </c>
      <c r="R277" s="39"/>
      <c r="T277" s="5">
        <v>46296</v>
      </c>
      <c r="U277" s="23">
        <f>IF([1]AIX!I278=0,"",[1]AIX!I278)</f>
        <v>10995.76</v>
      </c>
      <c r="V277" s="22" t="str">
        <f t="shared" si="64"/>
        <v/>
      </c>
      <c r="W277" s="23" t="str">
        <f>IF([2]AIX!I279=0,"",[2]AIX!I279)</f>
        <v/>
      </c>
      <c r="X277" s="17" t="str">
        <f t="shared" si="68"/>
        <v/>
      </c>
      <c r="AJ277" s="39"/>
      <c r="AL277" s="5">
        <v>46296</v>
      </c>
      <c r="AM277" s="23">
        <f>IF([1]AIX!J278=0,"",[1]AIX!J278)</f>
        <v>664</v>
      </c>
      <c r="AN277" s="22" t="str">
        <f t="shared" si="65"/>
        <v/>
      </c>
      <c r="AO277" s="23" t="str">
        <f>IF([2]AIX!J279=0,"",[2]AIX!J279)</f>
        <v/>
      </c>
      <c r="AP277" s="17" t="str">
        <f t="shared" si="69"/>
        <v/>
      </c>
      <c r="BB277" s="39"/>
      <c r="BD277" s="5">
        <v>46296</v>
      </c>
      <c r="BE277" s="42">
        <f t="shared" si="71"/>
        <v>17.05027108433735</v>
      </c>
      <c r="BF277" s="22" t="str">
        <f t="shared" si="66"/>
        <v/>
      </c>
      <c r="BG277" s="42" t="str">
        <f t="shared" si="72"/>
        <v/>
      </c>
      <c r="BH277" s="17" t="str">
        <f t="shared" si="70"/>
        <v/>
      </c>
      <c r="BT277" s="39"/>
    </row>
    <row r="278" spans="2:72">
      <c r="B278" s="5">
        <v>46297</v>
      </c>
      <c r="C278" s="23">
        <f>IF([1]AIX!H279=0,"",[1]AIX!H279)</f>
        <v>10334.620000000001</v>
      </c>
      <c r="D278" s="22" t="str">
        <f t="shared" si="63"/>
        <v/>
      </c>
      <c r="E278" s="23" t="str">
        <f>IF([2]AIX!H280=0,"",[2]AIX!H280)</f>
        <v/>
      </c>
      <c r="F278" s="17" t="str">
        <f t="shared" si="67"/>
        <v/>
      </c>
      <c r="R278" s="39"/>
      <c r="T278" s="5">
        <v>46297</v>
      </c>
      <c r="U278" s="23">
        <f>IF([1]AIX!I279=0,"",[1]AIX!I279)</f>
        <v>10152.06</v>
      </c>
      <c r="V278" s="22" t="str">
        <f t="shared" si="64"/>
        <v/>
      </c>
      <c r="W278" s="23" t="str">
        <f>IF([2]AIX!I280=0,"",[2]AIX!I280)</f>
        <v/>
      </c>
      <c r="X278" s="17" t="str">
        <f t="shared" si="68"/>
        <v/>
      </c>
      <c r="AJ278" s="39"/>
      <c r="AL278" s="5">
        <v>46297</v>
      </c>
      <c r="AM278" s="23">
        <f>IF([1]AIX!J279=0,"",[1]AIX!J279)</f>
        <v>612</v>
      </c>
      <c r="AN278" s="22" t="str">
        <f t="shared" si="65"/>
        <v/>
      </c>
      <c r="AO278" s="23" t="str">
        <f>IF([2]AIX!J280=0,"",[2]AIX!J280)</f>
        <v/>
      </c>
      <c r="AP278" s="17" t="str">
        <f t="shared" si="69"/>
        <v/>
      </c>
      <c r="BB278" s="39"/>
      <c r="BD278" s="5">
        <v>46297</v>
      </c>
      <c r="BE278" s="42">
        <f t="shared" si="71"/>
        <v>16.886633986928107</v>
      </c>
      <c r="BF278" s="22" t="str">
        <f t="shared" si="66"/>
        <v/>
      </c>
      <c r="BG278" s="42" t="str">
        <f t="shared" si="72"/>
        <v/>
      </c>
      <c r="BH278" s="17" t="str">
        <f t="shared" si="70"/>
        <v/>
      </c>
      <c r="BT278" s="39"/>
    </row>
    <row r="279" spans="2:72">
      <c r="B279" s="5">
        <v>46298</v>
      </c>
      <c r="C279" s="23">
        <f>IF([1]AIX!H280=0,"",[1]AIX!H280)</f>
        <v>14629.24</v>
      </c>
      <c r="D279" s="22" t="str">
        <f t="shared" si="63"/>
        <v/>
      </c>
      <c r="E279" s="23" t="str">
        <f>IF([2]AIX!H281=0,"",[2]AIX!H281)</f>
        <v/>
      </c>
      <c r="F279" s="17" t="str">
        <f t="shared" si="67"/>
        <v/>
      </c>
      <c r="R279" s="39"/>
      <c r="T279" s="5">
        <v>46298</v>
      </c>
      <c r="U279" s="23">
        <f>IF([1]AIX!I280=0,"",[1]AIX!I280)</f>
        <v>14299.47</v>
      </c>
      <c r="V279" s="22" t="str">
        <f t="shared" si="64"/>
        <v/>
      </c>
      <c r="W279" s="23" t="str">
        <f>IF([2]AIX!I281=0,"",[2]AIX!I281)</f>
        <v/>
      </c>
      <c r="X279" s="17" t="str">
        <f t="shared" si="68"/>
        <v/>
      </c>
      <c r="AJ279" s="39"/>
      <c r="AL279" s="5">
        <v>46298</v>
      </c>
      <c r="AM279" s="23">
        <f>IF([1]AIX!J280=0,"",[1]AIX!J280)</f>
        <v>918</v>
      </c>
      <c r="AN279" s="22" t="str">
        <f t="shared" si="65"/>
        <v/>
      </c>
      <c r="AO279" s="23" t="str">
        <f>IF([2]AIX!J281=0,"",[2]AIX!J281)</f>
        <v/>
      </c>
      <c r="AP279" s="17" t="str">
        <f t="shared" si="69"/>
        <v/>
      </c>
      <c r="BB279" s="39"/>
      <c r="BD279" s="5">
        <v>46298</v>
      </c>
      <c r="BE279" s="42">
        <f t="shared" si="71"/>
        <v>15.93599128540305</v>
      </c>
      <c r="BF279" s="22" t="str">
        <f t="shared" si="66"/>
        <v/>
      </c>
      <c r="BG279" s="42" t="str">
        <f t="shared" si="72"/>
        <v/>
      </c>
      <c r="BH279" s="17" t="str">
        <f t="shared" si="70"/>
        <v/>
      </c>
      <c r="BT279" s="39"/>
    </row>
    <row r="280" spans="2:72">
      <c r="B280" s="5">
        <v>46299</v>
      </c>
      <c r="C280" s="23">
        <f>IF([1]AIX!H281=0,"",[1]AIX!H281)</f>
        <v>19434.18</v>
      </c>
      <c r="D280" s="22" t="str">
        <f t="shared" si="63"/>
        <v/>
      </c>
      <c r="E280" s="24" t="str">
        <f>IF([2]AIX!H282=0,"",[2]AIX!H282)</f>
        <v/>
      </c>
      <c r="F280" s="17" t="str">
        <f t="shared" si="67"/>
        <v/>
      </c>
      <c r="R280" s="39"/>
      <c r="T280" s="5">
        <v>46299</v>
      </c>
      <c r="U280" s="23">
        <f>IF([1]AIX!I281=0,"",[1]AIX!I281)</f>
        <v>19053.740000000002</v>
      </c>
      <c r="V280" s="22" t="str">
        <f t="shared" si="64"/>
        <v/>
      </c>
      <c r="W280" s="24" t="str">
        <f>IF([2]AIX!I282=0,"",[2]AIX!I282)</f>
        <v/>
      </c>
      <c r="X280" s="17" t="str">
        <f t="shared" si="68"/>
        <v/>
      </c>
      <c r="AJ280" s="39"/>
      <c r="AL280" s="5">
        <v>46299</v>
      </c>
      <c r="AM280" s="23">
        <f>IF([1]AIX!J281=0,"",[1]AIX!J281)</f>
        <v>1017</v>
      </c>
      <c r="AN280" s="22" t="str">
        <f t="shared" si="65"/>
        <v/>
      </c>
      <c r="AO280" s="24" t="str">
        <f>IF([2]AIX!J282=0,"",[2]AIX!J282)</f>
        <v/>
      </c>
      <c r="AP280" s="17" t="str">
        <f t="shared" si="69"/>
        <v/>
      </c>
      <c r="BB280" s="39"/>
      <c r="BD280" s="5">
        <v>46299</v>
      </c>
      <c r="BE280" s="42">
        <f t="shared" si="71"/>
        <v>19.109321533923303</v>
      </c>
      <c r="BF280" s="22" t="str">
        <f t="shared" si="66"/>
        <v/>
      </c>
      <c r="BG280" s="43" t="str">
        <f t="shared" si="72"/>
        <v/>
      </c>
      <c r="BH280" s="17" t="str">
        <f t="shared" si="70"/>
        <v/>
      </c>
      <c r="BT280" s="39"/>
    </row>
    <row r="281" spans="2:72">
      <c r="B281" s="5">
        <v>46300</v>
      </c>
      <c r="C281" s="24">
        <f>IF([1]AIX!H282=0,"",[1]AIX!H282)</f>
        <v>18969.04</v>
      </c>
      <c r="D281" s="22" t="str">
        <f t="shared" si="63"/>
        <v/>
      </c>
      <c r="E281" s="21" t="str">
        <f>IF([2]AIX!H283=0,"",[2]AIX!H283)</f>
        <v/>
      </c>
      <c r="F281" s="17" t="str">
        <f t="shared" si="67"/>
        <v/>
      </c>
      <c r="R281" s="39"/>
      <c r="T281" s="5">
        <v>46300</v>
      </c>
      <c r="U281" s="24">
        <f>IF([1]AIX!I282=0,"",[1]AIX!I282)</f>
        <v>18582.22</v>
      </c>
      <c r="V281" s="22" t="str">
        <f t="shared" si="64"/>
        <v/>
      </c>
      <c r="W281" s="21" t="str">
        <f>IF([2]AIX!I283=0,"",[2]AIX!I283)</f>
        <v/>
      </c>
      <c r="X281" s="17" t="str">
        <f t="shared" si="68"/>
        <v/>
      </c>
      <c r="AJ281" s="39"/>
      <c r="AL281" s="5">
        <v>46300</v>
      </c>
      <c r="AM281" s="24">
        <f>IF([1]AIX!J282=0,"",[1]AIX!J282)</f>
        <v>962</v>
      </c>
      <c r="AN281" s="22" t="str">
        <f t="shared" si="65"/>
        <v/>
      </c>
      <c r="AO281" s="21" t="str">
        <f>IF([2]AIX!J283=0,"",[2]AIX!J283)</f>
        <v/>
      </c>
      <c r="AP281" s="17" t="str">
        <f t="shared" si="69"/>
        <v/>
      </c>
      <c r="BB281" s="39"/>
      <c r="BD281" s="5">
        <v>46300</v>
      </c>
      <c r="BE281" s="43">
        <f t="shared" si="71"/>
        <v>19.7183367983368</v>
      </c>
      <c r="BF281" s="22" t="str">
        <f t="shared" si="66"/>
        <v/>
      </c>
      <c r="BG281" s="41" t="str">
        <f t="shared" si="72"/>
        <v/>
      </c>
      <c r="BH281" s="17" t="str">
        <f t="shared" si="70"/>
        <v/>
      </c>
      <c r="BT281" s="39"/>
    </row>
    <row r="282" spans="2:72">
      <c r="B282" s="5">
        <v>46301</v>
      </c>
      <c r="C282" s="21">
        <f>IF([1]AIX!H283=0,"",[1]AIX!H283)</f>
        <v>9903.06</v>
      </c>
      <c r="D282" s="22" t="str">
        <f t="shared" si="63"/>
        <v/>
      </c>
      <c r="E282" s="23" t="str">
        <f>IF([2]AIX!H284=0,"",[2]AIX!H284)</f>
        <v/>
      </c>
      <c r="F282" s="17" t="str">
        <f t="shared" si="67"/>
        <v/>
      </c>
      <c r="R282" s="39"/>
      <c r="T282" s="5">
        <v>46301</v>
      </c>
      <c r="U282" s="21">
        <f>IF([1]AIX!I283=0,"",[1]AIX!I283)</f>
        <v>9771.9</v>
      </c>
      <c r="V282" s="22" t="str">
        <f t="shared" si="64"/>
        <v/>
      </c>
      <c r="W282" s="23" t="str">
        <f>IF([2]AIX!I284=0,"",[2]AIX!I284)</f>
        <v/>
      </c>
      <c r="X282" s="17" t="str">
        <f t="shared" si="68"/>
        <v/>
      </c>
      <c r="AJ282" s="39"/>
      <c r="AL282" s="5">
        <v>46301</v>
      </c>
      <c r="AM282" s="21">
        <f>IF([1]AIX!J283=0,"",[1]AIX!J283)</f>
        <v>607</v>
      </c>
      <c r="AN282" s="22" t="str">
        <f t="shared" si="65"/>
        <v/>
      </c>
      <c r="AO282" s="23" t="str">
        <f>IF([2]AIX!J284=0,"",[2]AIX!J284)</f>
        <v/>
      </c>
      <c r="AP282" s="17" t="str">
        <f t="shared" si="69"/>
        <v/>
      </c>
      <c r="BB282" s="39"/>
      <c r="BD282" s="5">
        <v>46301</v>
      </c>
      <c r="BE282" s="41">
        <f t="shared" si="71"/>
        <v>16.31476112026359</v>
      </c>
      <c r="BF282" s="22" t="str">
        <f t="shared" si="66"/>
        <v/>
      </c>
      <c r="BG282" s="42" t="str">
        <f t="shared" si="72"/>
        <v/>
      </c>
      <c r="BH282" s="17" t="str">
        <f t="shared" si="70"/>
        <v/>
      </c>
      <c r="BT282" s="39"/>
    </row>
    <row r="283" spans="2:72">
      <c r="B283" s="5">
        <v>46302</v>
      </c>
      <c r="C283" s="23">
        <f>IF([1]AIX!H284=0,"",[1]AIX!H284)</f>
        <v>10391.34</v>
      </c>
      <c r="D283" s="22" t="str">
        <f t="shared" si="63"/>
        <v/>
      </c>
      <c r="E283" s="23" t="str">
        <f>IF([2]AIX!H285=0,"",[2]AIX!H285)</f>
        <v/>
      </c>
      <c r="F283" s="17" t="str">
        <f t="shared" si="67"/>
        <v/>
      </c>
      <c r="R283" s="39"/>
      <c r="T283" s="5">
        <v>46302</v>
      </c>
      <c r="U283" s="23">
        <f>IF([1]AIX!I284=0,"",[1]AIX!I284)</f>
        <v>10185.17</v>
      </c>
      <c r="V283" s="22" t="str">
        <f t="shared" si="64"/>
        <v/>
      </c>
      <c r="W283" s="23" t="str">
        <f>IF([2]AIX!I285=0,"",[2]AIX!I285)</f>
        <v/>
      </c>
      <c r="X283" s="17" t="str">
        <f t="shared" si="68"/>
        <v/>
      </c>
      <c r="AJ283" s="39"/>
      <c r="AL283" s="5">
        <v>46302</v>
      </c>
      <c r="AM283" s="23">
        <f>IF([1]AIX!J284=0,"",[1]AIX!J284)</f>
        <v>586</v>
      </c>
      <c r="AN283" s="22" t="str">
        <f t="shared" si="65"/>
        <v/>
      </c>
      <c r="AO283" s="23" t="str">
        <f>IF([2]AIX!J285=0,"",[2]AIX!J285)</f>
        <v/>
      </c>
      <c r="AP283" s="17" t="str">
        <f t="shared" si="69"/>
        <v/>
      </c>
      <c r="BB283" s="39"/>
      <c r="BD283" s="5">
        <v>46302</v>
      </c>
      <c r="BE283" s="42">
        <f t="shared" si="71"/>
        <v>17.732662116040956</v>
      </c>
      <c r="BF283" s="22" t="str">
        <f t="shared" si="66"/>
        <v/>
      </c>
      <c r="BG283" s="42" t="str">
        <f t="shared" si="72"/>
        <v/>
      </c>
      <c r="BH283" s="17" t="str">
        <f t="shared" si="70"/>
        <v/>
      </c>
      <c r="BT283" s="39"/>
    </row>
    <row r="284" spans="2:72">
      <c r="B284" s="5">
        <v>46303</v>
      </c>
      <c r="C284" s="23">
        <f>IF([1]AIX!H285=0,"",[1]AIX!H285)</f>
        <v>12249.4</v>
      </c>
      <c r="D284" s="22" t="str">
        <f t="shared" si="63"/>
        <v/>
      </c>
      <c r="E284" s="23" t="str">
        <f>IF([2]AIX!H286=0,"",[2]AIX!H286)</f>
        <v/>
      </c>
      <c r="F284" s="17" t="str">
        <f t="shared" si="67"/>
        <v/>
      </c>
      <c r="R284" s="39"/>
      <c r="T284" s="5">
        <v>46303</v>
      </c>
      <c r="U284" s="23">
        <f>IF([1]AIX!I285=0,"",[1]AIX!I285)</f>
        <v>11967.27</v>
      </c>
      <c r="V284" s="22" t="str">
        <f t="shared" si="64"/>
        <v/>
      </c>
      <c r="W284" s="23" t="str">
        <f>IF([2]AIX!I286=0,"",[2]AIX!I286)</f>
        <v/>
      </c>
      <c r="X284" s="17" t="str">
        <f t="shared" si="68"/>
        <v/>
      </c>
      <c r="AJ284" s="39"/>
      <c r="AL284" s="5">
        <v>46303</v>
      </c>
      <c r="AM284" s="23">
        <f>IF([1]AIX!J285=0,"",[1]AIX!J285)</f>
        <v>699</v>
      </c>
      <c r="AN284" s="22" t="str">
        <f t="shared" si="65"/>
        <v/>
      </c>
      <c r="AO284" s="23" t="str">
        <f>IF([2]AIX!J286=0,"",[2]AIX!J286)</f>
        <v/>
      </c>
      <c r="AP284" s="17" t="str">
        <f t="shared" si="69"/>
        <v/>
      </c>
      <c r="BB284" s="39"/>
      <c r="BD284" s="5">
        <v>46303</v>
      </c>
      <c r="BE284" s="42">
        <f t="shared" si="71"/>
        <v>17.5241773962804</v>
      </c>
      <c r="BF284" s="22" t="str">
        <f t="shared" si="66"/>
        <v/>
      </c>
      <c r="BG284" s="42" t="str">
        <f t="shared" si="72"/>
        <v/>
      </c>
      <c r="BH284" s="17" t="str">
        <f t="shared" si="70"/>
        <v/>
      </c>
      <c r="BT284" s="39"/>
    </row>
    <row r="285" spans="2:72">
      <c r="B285" s="5">
        <v>46304</v>
      </c>
      <c r="C285" s="23">
        <f>IF([1]AIX!H286=0,"",[1]AIX!H286)</f>
        <v>10189.32</v>
      </c>
      <c r="D285" s="22" t="str">
        <f t="shared" si="63"/>
        <v/>
      </c>
      <c r="E285" s="23" t="str">
        <f>IF([2]AIX!H287=0,"",[2]AIX!H287)</f>
        <v/>
      </c>
      <c r="F285" s="17" t="str">
        <f t="shared" si="67"/>
        <v/>
      </c>
      <c r="R285" s="39"/>
      <c r="T285" s="5">
        <v>46304</v>
      </c>
      <c r="U285" s="23">
        <f>IF([1]AIX!I286=0,"",[1]AIX!I286)</f>
        <v>10036.11</v>
      </c>
      <c r="V285" s="22" t="str">
        <f t="shared" si="64"/>
        <v/>
      </c>
      <c r="W285" s="23" t="str">
        <f>IF([2]AIX!I287=0,"",[2]AIX!I287)</f>
        <v/>
      </c>
      <c r="X285" s="17" t="str">
        <f t="shared" si="68"/>
        <v/>
      </c>
      <c r="AJ285" s="39"/>
      <c r="AL285" s="5">
        <v>46304</v>
      </c>
      <c r="AM285" s="23">
        <f>IF([1]AIX!J286=0,"",[1]AIX!J286)</f>
        <v>613</v>
      </c>
      <c r="AN285" s="22" t="str">
        <f t="shared" si="65"/>
        <v/>
      </c>
      <c r="AO285" s="23" t="str">
        <f>IF([2]AIX!J287=0,"",[2]AIX!J287)</f>
        <v/>
      </c>
      <c r="AP285" s="17" t="str">
        <f t="shared" si="69"/>
        <v/>
      </c>
      <c r="BB285" s="39"/>
      <c r="BD285" s="5">
        <v>46304</v>
      </c>
      <c r="BE285" s="42">
        <f t="shared" si="71"/>
        <v>16.622055464926589</v>
      </c>
      <c r="BF285" s="22" t="str">
        <f t="shared" si="66"/>
        <v/>
      </c>
      <c r="BG285" s="42" t="str">
        <f t="shared" si="72"/>
        <v/>
      </c>
      <c r="BH285" s="17" t="str">
        <f t="shared" si="70"/>
        <v/>
      </c>
      <c r="BT285" s="39"/>
    </row>
    <row r="286" spans="2:72">
      <c r="B286" s="5">
        <v>46305</v>
      </c>
      <c r="C286" s="23">
        <f>IF([1]AIX!H287=0,"",[1]AIX!H287)</f>
        <v>14424.17</v>
      </c>
      <c r="D286" s="22" t="str">
        <f t="shared" si="63"/>
        <v/>
      </c>
      <c r="E286" s="23" t="str">
        <f>IF([2]AIX!H288=0,"",[2]AIX!H288)</f>
        <v/>
      </c>
      <c r="F286" s="17" t="str">
        <f t="shared" si="67"/>
        <v/>
      </c>
      <c r="R286" s="39"/>
      <c r="T286" s="5">
        <v>46305</v>
      </c>
      <c r="U286" s="23">
        <f>IF([1]AIX!I287=0,"",[1]AIX!I287)</f>
        <v>14156.41</v>
      </c>
      <c r="V286" s="22" t="str">
        <f t="shared" si="64"/>
        <v/>
      </c>
      <c r="W286" s="23" t="str">
        <f>IF([2]AIX!I288=0,"",[2]AIX!I288)</f>
        <v/>
      </c>
      <c r="X286" s="17" t="str">
        <f t="shared" si="68"/>
        <v/>
      </c>
      <c r="AJ286" s="39"/>
      <c r="AL286" s="5">
        <v>46305</v>
      </c>
      <c r="AM286" s="23">
        <f>IF([1]AIX!J287=0,"",[1]AIX!J287)</f>
        <v>856</v>
      </c>
      <c r="AN286" s="22" t="str">
        <f t="shared" si="65"/>
        <v/>
      </c>
      <c r="AO286" s="23" t="str">
        <f>IF([2]AIX!J288=0,"",[2]AIX!J288)</f>
        <v/>
      </c>
      <c r="AP286" s="17" t="str">
        <f t="shared" si="69"/>
        <v/>
      </c>
      <c r="BB286" s="39"/>
      <c r="BD286" s="5">
        <v>46305</v>
      </c>
      <c r="BE286" s="42">
        <f t="shared" si="71"/>
        <v>16.850665887850468</v>
      </c>
      <c r="BF286" s="22" t="str">
        <f t="shared" si="66"/>
        <v/>
      </c>
      <c r="BG286" s="42" t="str">
        <f t="shared" si="72"/>
        <v/>
      </c>
      <c r="BH286" s="17" t="str">
        <f t="shared" si="70"/>
        <v/>
      </c>
      <c r="BT286" s="39"/>
    </row>
    <row r="287" spans="2:72">
      <c r="B287" s="5">
        <v>46306</v>
      </c>
      <c r="C287" s="23">
        <f>IF([1]AIX!H288=0,"",[1]AIX!H288)</f>
        <v>16719.48</v>
      </c>
      <c r="D287" s="22" t="str">
        <f t="shared" si="63"/>
        <v/>
      </c>
      <c r="E287" s="24" t="str">
        <f>IF([2]AIX!H289=0,"",[2]AIX!H289)</f>
        <v/>
      </c>
      <c r="F287" s="17" t="str">
        <f t="shared" si="67"/>
        <v/>
      </c>
      <c r="R287" s="39"/>
      <c r="T287" s="5">
        <v>46306</v>
      </c>
      <c r="U287" s="23">
        <f>IF([1]AIX!I288=0,"",[1]AIX!I288)</f>
        <v>16379.59</v>
      </c>
      <c r="V287" s="22" t="str">
        <f t="shared" si="64"/>
        <v/>
      </c>
      <c r="W287" s="24" t="str">
        <f>IF([2]AIX!I289=0,"",[2]AIX!I289)</f>
        <v/>
      </c>
      <c r="X287" s="17" t="str">
        <f t="shared" si="68"/>
        <v/>
      </c>
      <c r="AJ287" s="39"/>
      <c r="AL287" s="5">
        <v>46306</v>
      </c>
      <c r="AM287" s="23">
        <f>IF([1]AIX!J288=0,"",[1]AIX!J288)</f>
        <v>933</v>
      </c>
      <c r="AN287" s="22" t="str">
        <f t="shared" si="65"/>
        <v/>
      </c>
      <c r="AO287" s="24" t="str">
        <f>IF([2]AIX!J289=0,"",[2]AIX!J289)</f>
        <v/>
      </c>
      <c r="AP287" s="17" t="str">
        <f t="shared" si="69"/>
        <v/>
      </c>
      <c r="BB287" s="39"/>
      <c r="BD287" s="5">
        <v>46306</v>
      </c>
      <c r="BE287" s="42">
        <f t="shared" si="71"/>
        <v>17.920128617363343</v>
      </c>
      <c r="BF287" s="22" t="str">
        <f t="shared" si="66"/>
        <v/>
      </c>
      <c r="BG287" s="43" t="str">
        <f t="shared" si="72"/>
        <v/>
      </c>
      <c r="BH287" s="17" t="str">
        <f t="shared" si="70"/>
        <v/>
      </c>
      <c r="BT287" s="39"/>
    </row>
    <row r="288" spans="2:72">
      <c r="B288" s="5">
        <v>46307</v>
      </c>
      <c r="C288" s="24">
        <f>IF([1]AIX!H289=0,"",[1]AIX!H289)</f>
        <v>17704.82</v>
      </c>
      <c r="D288" s="22" t="str">
        <f t="shared" si="63"/>
        <v/>
      </c>
      <c r="E288" s="21" t="str">
        <f>IF([2]AIX!H290=0,"",[2]AIX!H290)</f>
        <v/>
      </c>
      <c r="F288" s="17" t="str">
        <f t="shared" si="67"/>
        <v/>
      </c>
      <c r="R288" s="39"/>
      <c r="T288" s="5">
        <v>46307</v>
      </c>
      <c r="U288" s="24">
        <f>IF([1]AIX!I289=0,"",[1]AIX!I289)</f>
        <v>17416.29</v>
      </c>
      <c r="V288" s="22" t="str">
        <f t="shared" si="64"/>
        <v/>
      </c>
      <c r="W288" s="21" t="str">
        <f>IF([2]AIX!I290=0,"",[2]AIX!I290)</f>
        <v/>
      </c>
      <c r="X288" s="17" t="str">
        <f t="shared" si="68"/>
        <v/>
      </c>
      <c r="AJ288" s="39"/>
      <c r="AL288" s="5">
        <v>46307</v>
      </c>
      <c r="AM288" s="24">
        <f>IF([1]AIX!J289=0,"",[1]AIX!J289)</f>
        <v>928</v>
      </c>
      <c r="AN288" s="22" t="str">
        <f t="shared" si="65"/>
        <v/>
      </c>
      <c r="AO288" s="21" t="str">
        <f>IF([2]AIX!J290=0,"",[2]AIX!J290)</f>
        <v/>
      </c>
      <c r="AP288" s="17" t="str">
        <f t="shared" si="69"/>
        <v/>
      </c>
      <c r="BB288" s="39"/>
      <c r="BD288" s="5">
        <v>46307</v>
      </c>
      <c r="BE288" s="43">
        <f t="shared" si="71"/>
        <v>19.078469827586208</v>
      </c>
      <c r="BF288" s="22" t="str">
        <f t="shared" si="66"/>
        <v/>
      </c>
      <c r="BG288" s="41" t="str">
        <f t="shared" si="72"/>
        <v/>
      </c>
      <c r="BH288" s="17" t="str">
        <f t="shared" si="70"/>
        <v/>
      </c>
      <c r="BT288" s="39"/>
    </row>
    <row r="289" spans="2:72">
      <c r="B289" s="5">
        <v>46308</v>
      </c>
      <c r="C289" s="21">
        <f>IF([1]AIX!H290=0,"",[1]AIX!H290)</f>
        <v>8324.81</v>
      </c>
      <c r="D289" s="22" t="str">
        <f t="shared" si="63"/>
        <v/>
      </c>
      <c r="E289" s="23" t="str">
        <f>IF([2]AIX!H291=0,"",[2]AIX!H291)</f>
        <v/>
      </c>
      <c r="F289" s="17" t="str">
        <f t="shared" si="67"/>
        <v/>
      </c>
      <c r="R289" s="39"/>
      <c r="T289" s="5">
        <v>46308</v>
      </c>
      <c r="U289" s="21">
        <f>IF([1]AIX!I290=0,"",[1]AIX!I290)</f>
        <v>8151.46</v>
      </c>
      <c r="V289" s="22" t="str">
        <f t="shared" si="64"/>
        <v/>
      </c>
      <c r="W289" s="23" t="str">
        <f>IF([2]AIX!I291=0,"",[2]AIX!I291)</f>
        <v/>
      </c>
      <c r="X289" s="17" t="str">
        <f t="shared" si="68"/>
        <v/>
      </c>
      <c r="AJ289" s="39"/>
      <c r="AL289" s="5">
        <v>46308</v>
      </c>
      <c r="AM289" s="21">
        <f>IF([1]AIX!J290=0,"",[1]AIX!J290)</f>
        <v>489</v>
      </c>
      <c r="AN289" s="22" t="str">
        <f t="shared" si="65"/>
        <v/>
      </c>
      <c r="AO289" s="23" t="str">
        <f>IF([2]AIX!J291=0,"",[2]AIX!J291)</f>
        <v/>
      </c>
      <c r="AP289" s="17" t="str">
        <f t="shared" si="69"/>
        <v/>
      </c>
      <c r="BB289" s="39"/>
      <c r="BD289" s="5">
        <v>46308</v>
      </c>
      <c r="BE289" s="41">
        <f t="shared" si="71"/>
        <v>17.024151329243352</v>
      </c>
      <c r="BF289" s="22" t="str">
        <f t="shared" si="66"/>
        <v/>
      </c>
      <c r="BG289" s="42" t="str">
        <f t="shared" si="72"/>
        <v/>
      </c>
      <c r="BH289" s="17" t="str">
        <f t="shared" si="70"/>
        <v/>
      </c>
      <c r="BT289" s="39"/>
    </row>
    <row r="290" spans="2:72">
      <c r="B290" s="5">
        <v>46309</v>
      </c>
      <c r="C290" s="23">
        <f>IF([1]AIX!H291=0,"",[1]AIX!H291)</f>
        <v>9124.92</v>
      </c>
      <c r="D290" s="22" t="str">
        <f t="shared" si="63"/>
        <v/>
      </c>
      <c r="E290" s="23" t="str">
        <f>IF([2]AIX!H292=0,"",[2]AIX!H292)</f>
        <v/>
      </c>
      <c r="F290" s="17" t="str">
        <f t="shared" si="67"/>
        <v/>
      </c>
      <c r="R290" s="39"/>
      <c r="T290" s="5">
        <v>46309</v>
      </c>
      <c r="U290" s="23">
        <f>IF([1]AIX!I291=0,"",[1]AIX!I291)</f>
        <v>8989.84</v>
      </c>
      <c r="V290" s="22" t="str">
        <f t="shared" si="64"/>
        <v/>
      </c>
      <c r="W290" s="23" t="str">
        <f>IF([2]AIX!I292=0,"",[2]AIX!I292)</f>
        <v/>
      </c>
      <c r="X290" s="17" t="str">
        <f t="shared" si="68"/>
        <v/>
      </c>
      <c r="AJ290" s="39"/>
      <c r="AL290" s="5">
        <v>46309</v>
      </c>
      <c r="AM290" s="23">
        <f>IF([1]AIX!J291=0,"",[1]AIX!J291)</f>
        <v>544</v>
      </c>
      <c r="AN290" s="22" t="str">
        <f t="shared" si="65"/>
        <v/>
      </c>
      <c r="AO290" s="23" t="str">
        <f>IF([2]AIX!J292=0,"",[2]AIX!J292)</f>
        <v/>
      </c>
      <c r="AP290" s="17" t="str">
        <f t="shared" si="69"/>
        <v/>
      </c>
      <c r="BB290" s="39"/>
      <c r="BD290" s="5">
        <v>46309</v>
      </c>
      <c r="BE290" s="42">
        <f t="shared" si="71"/>
        <v>16.77375</v>
      </c>
      <c r="BF290" s="22" t="str">
        <f t="shared" si="66"/>
        <v/>
      </c>
      <c r="BG290" s="42" t="str">
        <f t="shared" si="72"/>
        <v/>
      </c>
      <c r="BH290" s="17" t="str">
        <f t="shared" si="70"/>
        <v/>
      </c>
      <c r="BT290" s="39"/>
    </row>
    <row r="291" spans="2:72">
      <c r="B291" s="5">
        <v>46310</v>
      </c>
      <c r="C291" s="23">
        <f>IF([1]AIX!H292=0,"",[1]AIX!H292)</f>
        <v>12247.69</v>
      </c>
      <c r="D291" s="22" t="str">
        <f t="shared" si="63"/>
        <v/>
      </c>
      <c r="E291" s="23" t="str">
        <f>IF([2]AIX!H293=0,"",[2]AIX!H293)</f>
        <v/>
      </c>
      <c r="F291" s="17" t="str">
        <f t="shared" si="67"/>
        <v/>
      </c>
      <c r="R291" s="39"/>
      <c r="T291" s="5">
        <v>46310</v>
      </c>
      <c r="U291" s="23">
        <f>IF([1]AIX!I292=0,"",[1]AIX!I292)</f>
        <v>12035.51</v>
      </c>
      <c r="V291" s="22" t="str">
        <f t="shared" si="64"/>
        <v/>
      </c>
      <c r="W291" s="23" t="str">
        <f>IF([2]AIX!I293=0,"",[2]AIX!I293)</f>
        <v/>
      </c>
      <c r="X291" s="17" t="str">
        <f t="shared" si="68"/>
        <v/>
      </c>
      <c r="AJ291" s="39"/>
      <c r="AL291" s="5">
        <v>46310</v>
      </c>
      <c r="AM291" s="23">
        <f>IF([1]AIX!J292=0,"",[1]AIX!J292)</f>
        <v>673</v>
      </c>
      <c r="AN291" s="22" t="str">
        <f t="shared" si="65"/>
        <v/>
      </c>
      <c r="AO291" s="23" t="str">
        <f>IF([2]AIX!J293=0,"",[2]AIX!J293)</f>
        <v/>
      </c>
      <c r="AP291" s="17" t="str">
        <f t="shared" si="69"/>
        <v/>
      </c>
      <c r="BB291" s="39"/>
      <c r="BD291" s="5">
        <v>46310</v>
      </c>
      <c r="BE291" s="42">
        <f t="shared" si="71"/>
        <v>18.198647845468056</v>
      </c>
      <c r="BF291" s="22" t="str">
        <f t="shared" si="66"/>
        <v/>
      </c>
      <c r="BG291" s="42" t="str">
        <f t="shared" si="72"/>
        <v/>
      </c>
      <c r="BH291" s="17" t="str">
        <f t="shared" si="70"/>
        <v/>
      </c>
      <c r="BT291" s="39"/>
    </row>
    <row r="292" spans="2:72">
      <c r="B292" s="5">
        <v>46311</v>
      </c>
      <c r="C292" s="23">
        <f>IF([1]AIX!H293=0,"",[1]AIX!H293)</f>
        <v>10983.81</v>
      </c>
      <c r="D292" s="22" t="str">
        <f t="shared" si="63"/>
        <v/>
      </c>
      <c r="E292" s="23" t="str">
        <f>IF([2]AIX!H294=0,"",[2]AIX!H294)</f>
        <v/>
      </c>
      <c r="F292" s="17" t="str">
        <f t="shared" si="67"/>
        <v/>
      </c>
      <c r="R292" s="39"/>
      <c r="T292" s="5">
        <v>46311</v>
      </c>
      <c r="U292" s="23">
        <f>IF([1]AIX!I293=0,"",[1]AIX!I293)</f>
        <v>10817.68</v>
      </c>
      <c r="V292" s="22" t="str">
        <f t="shared" si="64"/>
        <v/>
      </c>
      <c r="W292" s="23" t="str">
        <f>IF([2]AIX!I294=0,"",[2]AIX!I294)</f>
        <v/>
      </c>
      <c r="X292" s="17" t="str">
        <f t="shared" si="68"/>
        <v/>
      </c>
      <c r="AJ292" s="39"/>
      <c r="AL292" s="5">
        <v>46311</v>
      </c>
      <c r="AM292" s="23">
        <f>IF([1]AIX!J293=0,"",[1]AIX!J293)</f>
        <v>658</v>
      </c>
      <c r="AN292" s="22" t="str">
        <f t="shared" si="65"/>
        <v/>
      </c>
      <c r="AO292" s="23" t="str">
        <f>IF([2]AIX!J294=0,"",[2]AIX!J294)</f>
        <v/>
      </c>
      <c r="AP292" s="17" t="str">
        <f t="shared" si="69"/>
        <v/>
      </c>
      <c r="BB292" s="39"/>
      <c r="BD292" s="5">
        <v>46311</v>
      </c>
      <c r="BE292" s="42">
        <f t="shared" si="71"/>
        <v>16.692720364741639</v>
      </c>
      <c r="BF292" s="22" t="str">
        <f t="shared" si="66"/>
        <v/>
      </c>
      <c r="BG292" s="42" t="str">
        <f t="shared" si="72"/>
        <v/>
      </c>
      <c r="BH292" s="17" t="str">
        <f t="shared" si="70"/>
        <v/>
      </c>
      <c r="BT292" s="39"/>
    </row>
    <row r="293" spans="2:72">
      <c r="B293" s="5">
        <v>46312</v>
      </c>
      <c r="C293" s="23">
        <f>IF([1]AIX!H294=0,"",[1]AIX!H294)</f>
        <v>15087.41</v>
      </c>
      <c r="D293" s="22" t="str">
        <f t="shared" si="63"/>
        <v/>
      </c>
      <c r="E293" s="23" t="str">
        <f>IF([2]AIX!H295=0,"",[2]AIX!H295)</f>
        <v/>
      </c>
      <c r="F293" s="17" t="str">
        <f t="shared" si="67"/>
        <v/>
      </c>
      <c r="R293" s="39"/>
      <c r="T293" s="5">
        <v>46312</v>
      </c>
      <c r="U293" s="23">
        <f>IF([1]AIX!I294=0,"",[1]AIX!I294)</f>
        <v>14867.99</v>
      </c>
      <c r="V293" s="22" t="str">
        <f t="shared" si="64"/>
        <v/>
      </c>
      <c r="W293" s="23" t="str">
        <f>IF([2]AIX!I295=0,"",[2]AIX!I295)</f>
        <v/>
      </c>
      <c r="X293" s="17" t="str">
        <f t="shared" si="68"/>
        <v/>
      </c>
      <c r="AJ293" s="39"/>
      <c r="AL293" s="5">
        <v>46312</v>
      </c>
      <c r="AM293" s="23">
        <f>IF([1]AIX!J294=0,"",[1]AIX!J294)</f>
        <v>908</v>
      </c>
      <c r="AN293" s="22" t="str">
        <f t="shared" si="65"/>
        <v/>
      </c>
      <c r="AO293" s="23" t="str">
        <f>IF([2]AIX!J295=0,"",[2]AIX!J295)</f>
        <v/>
      </c>
      <c r="AP293" s="17" t="str">
        <f t="shared" si="69"/>
        <v/>
      </c>
      <c r="BB293" s="39"/>
      <c r="BD293" s="5">
        <v>46312</v>
      </c>
      <c r="BE293" s="42">
        <f t="shared" si="71"/>
        <v>16.616090308370044</v>
      </c>
      <c r="BF293" s="22" t="str">
        <f t="shared" si="66"/>
        <v/>
      </c>
      <c r="BG293" s="42" t="str">
        <f t="shared" si="72"/>
        <v/>
      </c>
      <c r="BH293" s="17" t="str">
        <f t="shared" si="70"/>
        <v/>
      </c>
      <c r="BT293" s="39"/>
    </row>
    <row r="294" spans="2:72">
      <c r="B294" s="5">
        <v>46313</v>
      </c>
      <c r="C294" s="23">
        <f>IF([1]AIX!H295=0,"",[1]AIX!H295)</f>
        <v>16275.09</v>
      </c>
      <c r="D294" s="22" t="str">
        <f t="shared" si="63"/>
        <v/>
      </c>
      <c r="E294" s="24" t="str">
        <f>IF([2]AIX!H296=0,"",[2]AIX!H296)</f>
        <v/>
      </c>
      <c r="F294" s="17" t="str">
        <f t="shared" si="67"/>
        <v/>
      </c>
      <c r="R294" s="39"/>
      <c r="T294" s="5">
        <v>46313</v>
      </c>
      <c r="U294" s="23">
        <f>IF([1]AIX!I295=0,"",[1]AIX!I295)</f>
        <v>15976.4</v>
      </c>
      <c r="V294" s="22" t="str">
        <f t="shared" si="64"/>
        <v/>
      </c>
      <c r="W294" s="24" t="str">
        <f>IF([2]AIX!I296=0,"",[2]AIX!I296)</f>
        <v/>
      </c>
      <c r="X294" s="17" t="str">
        <f t="shared" si="68"/>
        <v/>
      </c>
      <c r="AJ294" s="39"/>
      <c r="AL294" s="5">
        <v>46313</v>
      </c>
      <c r="AM294" s="23">
        <f>IF([1]AIX!J295=0,"",[1]AIX!J295)</f>
        <v>936</v>
      </c>
      <c r="AN294" s="22" t="str">
        <f t="shared" si="65"/>
        <v/>
      </c>
      <c r="AO294" s="24" t="str">
        <f>IF([2]AIX!J296=0,"",[2]AIX!J296)</f>
        <v/>
      </c>
      <c r="AP294" s="17" t="str">
        <f t="shared" si="69"/>
        <v/>
      </c>
      <c r="BB294" s="39"/>
      <c r="BD294" s="5">
        <v>46313</v>
      </c>
      <c r="BE294" s="42">
        <f t="shared" si="71"/>
        <v>17.387916666666666</v>
      </c>
      <c r="BF294" s="22" t="str">
        <f t="shared" si="66"/>
        <v/>
      </c>
      <c r="BG294" s="43" t="str">
        <f t="shared" si="72"/>
        <v/>
      </c>
      <c r="BH294" s="17" t="str">
        <f t="shared" si="70"/>
        <v/>
      </c>
      <c r="BT294" s="39"/>
    </row>
    <row r="295" spans="2:72">
      <c r="B295" s="5">
        <v>46314</v>
      </c>
      <c r="C295" s="24">
        <f>IF([1]AIX!H296=0,"",[1]AIX!H296)</f>
        <v>16199.81</v>
      </c>
      <c r="D295" s="22" t="str">
        <f t="shared" si="63"/>
        <v/>
      </c>
      <c r="E295" s="21" t="str">
        <f>IF([2]AIX!H297=0,"",[2]AIX!H297)</f>
        <v/>
      </c>
      <c r="F295" s="17" t="str">
        <f t="shared" si="67"/>
        <v/>
      </c>
      <c r="R295" s="39"/>
      <c r="T295" s="5">
        <v>46314</v>
      </c>
      <c r="U295" s="24">
        <f>IF([1]AIX!I296=0,"",[1]AIX!I296)</f>
        <v>15868.39</v>
      </c>
      <c r="V295" s="22" t="str">
        <f t="shared" si="64"/>
        <v/>
      </c>
      <c r="W295" s="21" t="str">
        <f>IF([2]AIX!I297=0,"",[2]AIX!I297)</f>
        <v/>
      </c>
      <c r="X295" s="17" t="str">
        <f t="shared" si="68"/>
        <v/>
      </c>
      <c r="AJ295" s="39"/>
      <c r="AL295" s="5">
        <v>46314</v>
      </c>
      <c r="AM295" s="24">
        <f>IF([1]AIX!J296=0,"",[1]AIX!J296)</f>
        <v>872</v>
      </c>
      <c r="AN295" s="22" t="str">
        <f t="shared" si="65"/>
        <v/>
      </c>
      <c r="AO295" s="21" t="str">
        <f>IF([2]AIX!J297=0,"",[2]AIX!J297)</f>
        <v/>
      </c>
      <c r="AP295" s="17" t="str">
        <f t="shared" si="69"/>
        <v/>
      </c>
      <c r="BB295" s="39"/>
      <c r="BD295" s="5">
        <v>46314</v>
      </c>
      <c r="BE295" s="43">
        <f t="shared" si="71"/>
        <v>18.577763761467889</v>
      </c>
      <c r="BF295" s="22" t="str">
        <f t="shared" si="66"/>
        <v/>
      </c>
      <c r="BG295" s="41" t="str">
        <f t="shared" si="72"/>
        <v/>
      </c>
      <c r="BH295" s="17" t="str">
        <f t="shared" si="70"/>
        <v/>
      </c>
      <c r="BT295" s="39"/>
    </row>
    <row r="296" spans="2:72">
      <c r="B296" s="5">
        <v>46315</v>
      </c>
      <c r="C296" s="21">
        <f>IF([1]AIX!H297=0,"",[1]AIX!H297)</f>
        <v>11440.24</v>
      </c>
      <c r="D296" s="22" t="str">
        <f t="shared" si="63"/>
        <v/>
      </c>
      <c r="E296" s="23" t="str">
        <f>IF([2]AIX!H298=0,"",[2]AIX!H298)</f>
        <v/>
      </c>
      <c r="F296" s="17" t="str">
        <f t="shared" si="67"/>
        <v/>
      </c>
      <c r="R296" s="39"/>
      <c r="T296" s="5">
        <v>46315</v>
      </c>
      <c r="U296" s="21">
        <f>IF([1]AIX!I297=0,"",[1]AIX!I297)</f>
        <v>11216.55</v>
      </c>
      <c r="V296" s="22" t="str">
        <f t="shared" si="64"/>
        <v/>
      </c>
      <c r="W296" s="23" t="str">
        <f>IF([2]AIX!I298=0,"",[2]AIX!I298)</f>
        <v/>
      </c>
      <c r="X296" s="17" t="str">
        <f t="shared" si="68"/>
        <v/>
      </c>
      <c r="AJ296" s="39"/>
      <c r="AL296" s="5">
        <v>46315</v>
      </c>
      <c r="AM296" s="21">
        <f>IF([1]AIX!J297=0,"",[1]AIX!J297)</f>
        <v>679</v>
      </c>
      <c r="AN296" s="22" t="str">
        <f t="shared" si="65"/>
        <v/>
      </c>
      <c r="AO296" s="23" t="str">
        <f>IF([2]AIX!J298=0,"",[2]AIX!J298)</f>
        <v/>
      </c>
      <c r="AP296" s="17" t="str">
        <f t="shared" si="69"/>
        <v/>
      </c>
      <c r="BB296" s="39"/>
      <c r="BD296" s="5">
        <v>46315</v>
      </c>
      <c r="BE296" s="41">
        <f t="shared" si="71"/>
        <v>16.848659793814434</v>
      </c>
      <c r="BF296" s="22" t="str">
        <f t="shared" si="66"/>
        <v/>
      </c>
      <c r="BG296" s="42" t="str">
        <f t="shared" si="72"/>
        <v/>
      </c>
      <c r="BH296" s="17" t="str">
        <f t="shared" si="70"/>
        <v/>
      </c>
      <c r="BT296" s="39"/>
    </row>
    <row r="297" spans="2:72">
      <c r="B297" s="5">
        <v>46316</v>
      </c>
      <c r="C297" s="23">
        <f>IF([1]AIX!H298=0,"",[1]AIX!H298)</f>
        <v>12549.04</v>
      </c>
      <c r="D297" s="22" t="str">
        <f t="shared" ref="D297:D360" si="73">IF(E296="","",C297)</f>
        <v/>
      </c>
      <c r="E297" s="23" t="str">
        <f>IF([2]AIX!H299=0,"",[2]AIX!H299)</f>
        <v/>
      </c>
      <c r="F297" s="17" t="str">
        <f t="shared" si="67"/>
        <v/>
      </c>
      <c r="R297" s="39"/>
      <c r="T297" s="5">
        <v>46316</v>
      </c>
      <c r="U297" s="23">
        <f>IF([1]AIX!I298=0,"",[1]AIX!I298)</f>
        <v>12294.22</v>
      </c>
      <c r="V297" s="22" t="str">
        <f t="shared" ref="V297:V360" si="74">IF(W296="","",U297)</f>
        <v/>
      </c>
      <c r="W297" s="23" t="str">
        <f>IF([2]AIX!I299=0,"",[2]AIX!I299)</f>
        <v/>
      </c>
      <c r="X297" s="17" t="str">
        <f t="shared" si="68"/>
        <v/>
      </c>
      <c r="AJ297" s="39"/>
      <c r="AL297" s="5">
        <v>46316</v>
      </c>
      <c r="AM297" s="23">
        <f>IF([1]AIX!J298=0,"",[1]AIX!J298)</f>
        <v>700</v>
      </c>
      <c r="AN297" s="22" t="str">
        <f t="shared" ref="AN297:AN360" si="75">IF(AO296="","",AM297)</f>
        <v/>
      </c>
      <c r="AO297" s="23" t="str">
        <f>IF([2]AIX!J299=0,"",[2]AIX!J299)</f>
        <v/>
      </c>
      <c r="AP297" s="17" t="str">
        <f t="shared" si="69"/>
        <v/>
      </c>
      <c r="BB297" s="39"/>
      <c r="BD297" s="5">
        <v>46316</v>
      </c>
      <c r="BE297" s="42">
        <f t="shared" si="71"/>
        <v>17.927200000000003</v>
      </c>
      <c r="BF297" s="22" t="str">
        <f t="shared" ref="BF297:BF360" si="76">IF(BG296="","",BE297)</f>
        <v/>
      </c>
      <c r="BG297" s="42" t="str">
        <f t="shared" si="72"/>
        <v/>
      </c>
      <c r="BH297" s="17" t="str">
        <f t="shared" si="70"/>
        <v/>
      </c>
      <c r="BT297" s="39"/>
    </row>
    <row r="298" spans="2:72">
      <c r="B298" s="5">
        <v>46317</v>
      </c>
      <c r="C298" s="23">
        <f>IF([1]AIX!H299=0,"",[1]AIX!H299)</f>
        <v>12054.2</v>
      </c>
      <c r="D298" s="22" t="str">
        <f t="shared" si="73"/>
        <v/>
      </c>
      <c r="E298" s="23" t="str">
        <f>IF([2]AIX!H300=0,"",[2]AIX!H300)</f>
        <v/>
      </c>
      <c r="F298" s="17" t="str">
        <f t="shared" si="67"/>
        <v/>
      </c>
      <c r="R298" s="39"/>
      <c r="T298" s="5">
        <v>46317</v>
      </c>
      <c r="U298" s="23">
        <f>IF([1]AIX!I299=0,"",[1]AIX!I299)</f>
        <v>11853.2</v>
      </c>
      <c r="V298" s="22" t="str">
        <f t="shared" si="74"/>
        <v/>
      </c>
      <c r="W298" s="23" t="str">
        <f>IF([2]AIX!I300=0,"",[2]AIX!I300)</f>
        <v/>
      </c>
      <c r="X298" s="17" t="str">
        <f t="shared" si="68"/>
        <v/>
      </c>
      <c r="AJ298" s="39"/>
      <c r="AL298" s="5">
        <v>46317</v>
      </c>
      <c r="AM298" s="23">
        <f>IF([1]AIX!J299=0,"",[1]AIX!J299)</f>
        <v>684</v>
      </c>
      <c r="AN298" s="22" t="str">
        <f t="shared" si="75"/>
        <v/>
      </c>
      <c r="AO298" s="23" t="str">
        <f>IF([2]AIX!J300=0,"",[2]AIX!J300)</f>
        <v/>
      </c>
      <c r="AP298" s="17" t="str">
        <f t="shared" si="69"/>
        <v/>
      </c>
      <c r="BB298" s="39"/>
      <c r="BD298" s="5">
        <v>46317</v>
      </c>
      <c r="BE298" s="42">
        <f t="shared" si="71"/>
        <v>17.623099415204681</v>
      </c>
      <c r="BF298" s="22" t="str">
        <f t="shared" si="76"/>
        <v/>
      </c>
      <c r="BG298" s="42" t="str">
        <f t="shared" si="72"/>
        <v/>
      </c>
      <c r="BH298" s="17" t="str">
        <f t="shared" si="70"/>
        <v/>
      </c>
      <c r="BT298" s="39"/>
    </row>
    <row r="299" spans="2:72">
      <c r="B299" s="5">
        <v>46318</v>
      </c>
      <c r="C299" s="23">
        <f>IF([1]AIX!H300=0,"",[1]AIX!H300)</f>
        <v>12265.69</v>
      </c>
      <c r="D299" s="22" t="str">
        <f t="shared" si="73"/>
        <v/>
      </c>
      <c r="E299" s="23" t="str">
        <f>IF([2]AIX!H301=0,"",[2]AIX!H301)</f>
        <v/>
      </c>
      <c r="F299" s="17" t="str">
        <f t="shared" si="67"/>
        <v/>
      </c>
      <c r="R299" s="39"/>
      <c r="T299" s="5">
        <v>46318</v>
      </c>
      <c r="U299" s="23">
        <f>IF([1]AIX!I300=0,"",[1]AIX!I300)</f>
        <v>12036.58</v>
      </c>
      <c r="V299" s="22" t="str">
        <f t="shared" si="74"/>
        <v/>
      </c>
      <c r="W299" s="23" t="str">
        <f>IF([2]AIX!I301=0,"",[2]AIX!I301)</f>
        <v/>
      </c>
      <c r="X299" s="17" t="str">
        <f t="shared" si="68"/>
        <v/>
      </c>
      <c r="AJ299" s="39"/>
      <c r="AL299" s="5">
        <v>46318</v>
      </c>
      <c r="AM299" s="23">
        <f>IF([1]AIX!J300=0,"",[1]AIX!J300)</f>
        <v>673</v>
      </c>
      <c r="AN299" s="22" t="str">
        <f t="shared" si="75"/>
        <v/>
      </c>
      <c r="AO299" s="23" t="str">
        <f>IF([2]AIX!J301=0,"",[2]AIX!J301)</f>
        <v/>
      </c>
      <c r="AP299" s="17" t="str">
        <f t="shared" si="69"/>
        <v/>
      </c>
      <c r="BB299" s="39"/>
      <c r="BD299" s="5">
        <v>46318</v>
      </c>
      <c r="BE299" s="42">
        <f t="shared" si="71"/>
        <v>18.225393759286778</v>
      </c>
      <c r="BF299" s="22" t="str">
        <f t="shared" si="76"/>
        <v/>
      </c>
      <c r="BG299" s="42" t="str">
        <f t="shared" si="72"/>
        <v/>
      </c>
      <c r="BH299" s="17" t="str">
        <f t="shared" si="70"/>
        <v/>
      </c>
      <c r="BT299" s="39"/>
    </row>
    <row r="300" spans="2:72">
      <c r="B300" s="5">
        <v>46319</v>
      </c>
      <c r="C300" s="23">
        <f>IF([1]AIX!H301=0,"",[1]AIX!H301)</f>
        <v>13355.94</v>
      </c>
      <c r="D300" s="22" t="str">
        <f t="shared" si="73"/>
        <v/>
      </c>
      <c r="E300" s="23" t="str">
        <f>IF([2]AIX!H302=0,"",[2]AIX!H302)</f>
        <v/>
      </c>
      <c r="F300" s="17" t="str">
        <f t="shared" si="67"/>
        <v/>
      </c>
      <c r="R300" s="39"/>
      <c r="T300" s="5">
        <v>46319</v>
      </c>
      <c r="U300" s="23">
        <f>IF([1]AIX!I301=0,"",[1]AIX!I301)</f>
        <v>13172.3</v>
      </c>
      <c r="V300" s="22" t="str">
        <f t="shared" si="74"/>
        <v/>
      </c>
      <c r="W300" s="23" t="str">
        <f>IF([2]AIX!I302=0,"",[2]AIX!I302)</f>
        <v/>
      </c>
      <c r="X300" s="17" t="str">
        <f t="shared" si="68"/>
        <v/>
      </c>
      <c r="AJ300" s="39"/>
      <c r="AL300" s="5">
        <v>46319</v>
      </c>
      <c r="AM300" s="23">
        <f>IF([1]AIX!J301=0,"",[1]AIX!J301)</f>
        <v>784</v>
      </c>
      <c r="AN300" s="22" t="str">
        <f t="shared" si="75"/>
        <v/>
      </c>
      <c r="AO300" s="23" t="str">
        <f>IF([2]AIX!J302=0,"",[2]AIX!J302)</f>
        <v/>
      </c>
      <c r="AP300" s="17" t="str">
        <f t="shared" si="69"/>
        <v/>
      </c>
      <c r="BB300" s="39"/>
      <c r="BD300" s="5">
        <v>46319</v>
      </c>
      <c r="BE300" s="42">
        <f t="shared" si="71"/>
        <v>17.035637755102041</v>
      </c>
      <c r="BF300" s="22" t="str">
        <f t="shared" si="76"/>
        <v/>
      </c>
      <c r="BG300" s="42" t="str">
        <f t="shared" si="72"/>
        <v/>
      </c>
      <c r="BH300" s="17" t="str">
        <f t="shared" si="70"/>
        <v/>
      </c>
      <c r="BT300" s="39"/>
    </row>
    <row r="301" spans="2:72">
      <c r="B301" s="5">
        <v>46320</v>
      </c>
      <c r="C301" s="23">
        <f>IF([1]AIX!H302=0,"",[1]AIX!H302)</f>
        <v>14290.15</v>
      </c>
      <c r="D301" s="22" t="str">
        <f t="shared" si="73"/>
        <v/>
      </c>
      <c r="E301" s="24" t="str">
        <f>IF([2]AIX!H303=0,"",[2]AIX!H303)</f>
        <v/>
      </c>
      <c r="F301" s="17" t="str">
        <f t="shared" si="67"/>
        <v/>
      </c>
      <c r="R301" s="39"/>
      <c r="T301" s="5">
        <v>46320</v>
      </c>
      <c r="U301" s="23">
        <f>IF([1]AIX!I302=0,"",[1]AIX!I302)</f>
        <v>14013.63</v>
      </c>
      <c r="V301" s="22" t="str">
        <f t="shared" si="74"/>
        <v/>
      </c>
      <c r="W301" s="24" t="str">
        <f>IF([2]AIX!I303=0,"",[2]AIX!I303)</f>
        <v/>
      </c>
      <c r="X301" s="17" t="str">
        <f t="shared" si="68"/>
        <v/>
      </c>
      <c r="AJ301" s="39"/>
      <c r="AL301" s="5">
        <v>46320</v>
      </c>
      <c r="AM301" s="23">
        <f>IF([1]AIX!J302=0,"",[1]AIX!J302)</f>
        <v>775</v>
      </c>
      <c r="AN301" s="22" t="str">
        <f t="shared" si="75"/>
        <v/>
      </c>
      <c r="AO301" s="24" t="str">
        <f>IF([2]AIX!J303=0,"",[2]AIX!J303)</f>
        <v/>
      </c>
      <c r="AP301" s="17" t="str">
        <f t="shared" si="69"/>
        <v/>
      </c>
      <c r="BB301" s="39"/>
      <c r="BD301" s="5">
        <v>46320</v>
      </c>
      <c r="BE301" s="42">
        <f t="shared" si="71"/>
        <v>18.438903225806452</v>
      </c>
      <c r="BF301" s="22" t="str">
        <f t="shared" si="76"/>
        <v/>
      </c>
      <c r="BG301" s="43" t="str">
        <f t="shared" si="72"/>
        <v/>
      </c>
      <c r="BH301" s="17" t="str">
        <f t="shared" si="70"/>
        <v/>
      </c>
      <c r="BT301" s="39"/>
    </row>
    <row r="302" spans="2:72">
      <c r="B302" s="5">
        <v>46321</v>
      </c>
      <c r="C302" s="24">
        <f>IF([1]AIX!H303=0,"",[1]AIX!H303)</f>
        <v>14715.75</v>
      </c>
      <c r="D302" s="22" t="str">
        <f t="shared" si="73"/>
        <v/>
      </c>
      <c r="E302" s="21" t="str">
        <f>IF([2]AIX!H304=0,"",[2]AIX!H304)</f>
        <v/>
      </c>
      <c r="F302" s="17" t="str">
        <f t="shared" si="67"/>
        <v/>
      </c>
      <c r="R302" s="39"/>
      <c r="T302" s="5">
        <v>46321</v>
      </c>
      <c r="U302" s="24">
        <f>IF([1]AIX!I303=0,"",[1]AIX!I303)</f>
        <v>14414.69</v>
      </c>
      <c r="V302" s="22" t="str">
        <f t="shared" si="74"/>
        <v/>
      </c>
      <c r="W302" s="21" t="str">
        <f>IF([2]AIX!I304=0,"",[2]AIX!I304)</f>
        <v/>
      </c>
      <c r="X302" s="17" t="str">
        <f t="shared" si="68"/>
        <v/>
      </c>
      <c r="AJ302" s="39"/>
      <c r="AL302" s="5">
        <v>46321</v>
      </c>
      <c r="AM302" s="24">
        <f>IF([1]AIX!J303=0,"",[1]AIX!J303)</f>
        <v>763</v>
      </c>
      <c r="AN302" s="22" t="str">
        <f t="shared" si="75"/>
        <v/>
      </c>
      <c r="AO302" s="21" t="str">
        <f>IF([2]AIX!J304=0,"",[2]AIX!J304)</f>
        <v/>
      </c>
      <c r="AP302" s="17" t="str">
        <f t="shared" si="69"/>
        <v/>
      </c>
      <c r="BB302" s="39"/>
      <c r="BD302" s="5">
        <v>46321</v>
      </c>
      <c r="BE302" s="43">
        <f t="shared" si="71"/>
        <v>19.286697247706421</v>
      </c>
      <c r="BF302" s="22" t="str">
        <f t="shared" si="76"/>
        <v/>
      </c>
      <c r="BG302" s="41" t="str">
        <f t="shared" si="72"/>
        <v/>
      </c>
      <c r="BH302" s="17" t="str">
        <f t="shared" si="70"/>
        <v/>
      </c>
      <c r="BT302" s="39"/>
    </row>
    <row r="303" spans="2:72">
      <c r="B303" s="5">
        <v>46322</v>
      </c>
      <c r="C303" s="21">
        <f>IF([1]AIX!H304=0,"",[1]AIX!H304)</f>
        <v>10599.29</v>
      </c>
      <c r="D303" s="22" t="str">
        <f t="shared" si="73"/>
        <v/>
      </c>
      <c r="E303" s="23" t="str">
        <f>IF([2]AIX!H305=0,"",[2]AIX!H305)</f>
        <v/>
      </c>
      <c r="F303" s="17" t="str">
        <f t="shared" si="67"/>
        <v/>
      </c>
      <c r="R303" s="39"/>
      <c r="T303" s="5">
        <v>46322</v>
      </c>
      <c r="U303" s="21">
        <f>IF([1]AIX!I304=0,"",[1]AIX!I304)</f>
        <v>10340.73</v>
      </c>
      <c r="V303" s="22" t="str">
        <f t="shared" si="74"/>
        <v/>
      </c>
      <c r="W303" s="23" t="str">
        <f>IF([2]AIX!I305=0,"",[2]AIX!I305)</f>
        <v/>
      </c>
      <c r="X303" s="17" t="str">
        <f t="shared" si="68"/>
        <v/>
      </c>
      <c r="AJ303" s="39"/>
      <c r="AL303" s="5">
        <v>46322</v>
      </c>
      <c r="AM303" s="21">
        <f>IF([1]AIX!J304=0,"",[1]AIX!J304)</f>
        <v>616</v>
      </c>
      <c r="AN303" s="22" t="str">
        <f t="shared" si="75"/>
        <v/>
      </c>
      <c r="AO303" s="23" t="str">
        <f>IF([2]AIX!J305=0,"",[2]AIX!J305)</f>
        <v/>
      </c>
      <c r="AP303" s="17" t="str">
        <f t="shared" si="69"/>
        <v/>
      </c>
      <c r="BB303" s="39"/>
      <c r="BD303" s="5">
        <v>46322</v>
      </c>
      <c r="BE303" s="41">
        <f t="shared" si="71"/>
        <v>17.206639610389612</v>
      </c>
      <c r="BF303" s="22" t="str">
        <f t="shared" si="76"/>
        <v/>
      </c>
      <c r="BG303" s="42" t="str">
        <f t="shared" si="72"/>
        <v/>
      </c>
      <c r="BH303" s="17" t="str">
        <f t="shared" si="70"/>
        <v/>
      </c>
      <c r="BT303" s="39"/>
    </row>
    <row r="304" spans="2:72">
      <c r="B304" s="5">
        <v>46323</v>
      </c>
      <c r="C304" s="23">
        <f>IF([1]AIX!H305=0,"",[1]AIX!H305)</f>
        <v>13357.94</v>
      </c>
      <c r="D304" s="22" t="str">
        <f t="shared" si="73"/>
        <v/>
      </c>
      <c r="E304" s="23" t="str">
        <f>IF([2]AIX!H306=0,"",[2]AIX!H306)</f>
        <v/>
      </c>
      <c r="F304" s="17" t="str">
        <f t="shared" si="67"/>
        <v/>
      </c>
      <c r="R304" s="39"/>
      <c r="T304" s="5">
        <v>46323</v>
      </c>
      <c r="U304" s="23">
        <f>IF([1]AIX!I305=0,"",[1]AIX!I305)</f>
        <v>13122.43</v>
      </c>
      <c r="V304" s="22" t="str">
        <f t="shared" si="74"/>
        <v/>
      </c>
      <c r="W304" s="23" t="str">
        <f>IF([2]AIX!I306=0,"",[2]AIX!I306)</f>
        <v/>
      </c>
      <c r="X304" s="17" t="str">
        <f t="shared" si="68"/>
        <v/>
      </c>
      <c r="AJ304" s="39"/>
      <c r="AL304" s="5">
        <v>46323</v>
      </c>
      <c r="AM304" s="23">
        <f>IF([1]AIX!J305=0,"",[1]AIX!J305)</f>
        <v>800</v>
      </c>
      <c r="AN304" s="22" t="str">
        <f t="shared" si="75"/>
        <v/>
      </c>
      <c r="AO304" s="23" t="str">
        <f>IF([2]AIX!J306=0,"",[2]AIX!J306)</f>
        <v/>
      </c>
      <c r="AP304" s="17" t="str">
        <f t="shared" si="69"/>
        <v/>
      </c>
      <c r="BB304" s="39"/>
      <c r="BD304" s="5">
        <v>46323</v>
      </c>
      <c r="BE304" s="42">
        <f t="shared" si="71"/>
        <v>16.697424999999999</v>
      </c>
      <c r="BF304" s="22" t="str">
        <f t="shared" si="76"/>
        <v/>
      </c>
      <c r="BG304" s="42" t="str">
        <f t="shared" si="72"/>
        <v/>
      </c>
      <c r="BH304" s="17" t="str">
        <f t="shared" si="70"/>
        <v/>
      </c>
      <c r="BT304" s="39"/>
    </row>
    <row r="305" spans="2:72">
      <c r="B305" s="5">
        <v>46324</v>
      </c>
      <c r="C305" s="23">
        <f>IF([1]AIX!H306=0,"",[1]AIX!H306)</f>
        <v>14052.76</v>
      </c>
      <c r="D305" s="22" t="str">
        <f t="shared" si="73"/>
        <v/>
      </c>
      <c r="E305" s="23" t="str">
        <f>IF([2]AIX!H307=0,"",[2]AIX!H307)</f>
        <v/>
      </c>
      <c r="F305" s="17" t="str">
        <f t="shared" si="67"/>
        <v/>
      </c>
      <c r="R305" s="39"/>
      <c r="T305" s="5">
        <v>46324</v>
      </c>
      <c r="U305" s="23">
        <f>IF([1]AIX!I306=0,"",[1]AIX!I306)</f>
        <v>13823.8</v>
      </c>
      <c r="V305" s="22" t="str">
        <f t="shared" si="74"/>
        <v/>
      </c>
      <c r="W305" s="23" t="str">
        <f>IF([2]AIX!I307=0,"",[2]AIX!I307)</f>
        <v/>
      </c>
      <c r="X305" s="17" t="str">
        <f t="shared" si="68"/>
        <v/>
      </c>
      <c r="AJ305" s="39"/>
      <c r="AL305" s="5">
        <v>46324</v>
      </c>
      <c r="AM305" s="23">
        <f>IF([1]AIX!J306=0,"",[1]AIX!J306)</f>
        <v>762</v>
      </c>
      <c r="AN305" s="22" t="str">
        <f t="shared" si="75"/>
        <v/>
      </c>
      <c r="AO305" s="23" t="str">
        <f>IF([2]AIX!J307=0,"",[2]AIX!J307)</f>
        <v/>
      </c>
      <c r="AP305" s="17" t="str">
        <f t="shared" si="69"/>
        <v/>
      </c>
      <c r="BB305" s="39"/>
      <c r="BD305" s="5">
        <v>46324</v>
      </c>
      <c r="BE305" s="42">
        <f t="shared" si="71"/>
        <v>18.44194225721785</v>
      </c>
      <c r="BF305" s="22" t="str">
        <f t="shared" si="76"/>
        <v/>
      </c>
      <c r="BG305" s="42" t="str">
        <f t="shared" si="72"/>
        <v/>
      </c>
      <c r="BH305" s="17" t="str">
        <f t="shared" si="70"/>
        <v/>
      </c>
      <c r="BT305" s="39"/>
    </row>
    <row r="306" spans="2:72">
      <c r="B306" s="5">
        <v>46325</v>
      </c>
      <c r="C306" s="23">
        <f>IF([1]AIX!H307=0,"",[1]AIX!H307)</f>
        <v>13376.23</v>
      </c>
      <c r="D306" s="22" t="str">
        <f t="shared" si="73"/>
        <v/>
      </c>
      <c r="E306" s="23" t="str">
        <f>IF([2]AIX!H308=0,"",[2]AIX!H308)</f>
        <v/>
      </c>
      <c r="F306" s="17" t="str">
        <f t="shared" si="67"/>
        <v/>
      </c>
      <c r="R306" s="39"/>
      <c r="T306" s="5">
        <v>46325</v>
      </c>
      <c r="U306" s="23">
        <f>IF([1]AIX!I307=0,"",[1]AIX!I307)</f>
        <v>13125.4</v>
      </c>
      <c r="V306" s="22" t="str">
        <f t="shared" si="74"/>
        <v/>
      </c>
      <c r="W306" s="23" t="str">
        <f>IF([2]AIX!I308=0,"",[2]AIX!I308)</f>
        <v/>
      </c>
      <c r="X306" s="17" t="str">
        <f t="shared" si="68"/>
        <v/>
      </c>
      <c r="AJ306" s="39"/>
      <c r="AL306" s="5">
        <v>46325</v>
      </c>
      <c r="AM306" s="23">
        <f>IF([1]AIX!J307=0,"",[1]AIX!J307)</f>
        <v>772</v>
      </c>
      <c r="AN306" s="22" t="str">
        <f t="shared" si="75"/>
        <v/>
      </c>
      <c r="AO306" s="23" t="str">
        <f>IF([2]AIX!J308=0,"",[2]AIX!J308)</f>
        <v/>
      </c>
      <c r="AP306" s="17" t="str">
        <f t="shared" si="69"/>
        <v/>
      </c>
      <c r="BB306" s="39"/>
      <c r="BD306" s="5">
        <v>46325</v>
      </c>
      <c r="BE306" s="42">
        <f t="shared" si="71"/>
        <v>17.326722797927459</v>
      </c>
      <c r="BF306" s="22" t="str">
        <f t="shared" si="76"/>
        <v/>
      </c>
      <c r="BG306" s="42" t="str">
        <f t="shared" si="72"/>
        <v/>
      </c>
      <c r="BH306" s="17" t="str">
        <f t="shared" si="70"/>
        <v/>
      </c>
      <c r="BT306" s="39"/>
    </row>
    <row r="307" spans="2:72">
      <c r="B307" s="5">
        <v>46326</v>
      </c>
      <c r="C307" s="23">
        <f>IF([1]AIX!H308=0,"",[1]AIX!H308)</f>
        <v>14348.63</v>
      </c>
      <c r="D307" s="22" t="str">
        <f t="shared" si="73"/>
        <v/>
      </c>
      <c r="E307" s="23" t="str">
        <f>IF([2]AIX!H309=0,"",[2]AIX!H309)</f>
        <v/>
      </c>
      <c r="F307" s="17" t="str">
        <f t="shared" si="67"/>
        <v/>
      </c>
      <c r="R307" s="39"/>
      <c r="T307" s="5">
        <v>46326</v>
      </c>
      <c r="U307" s="23">
        <f>IF([1]AIX!I308=0,"",[1]AIX!I308)</f>
        <v>14084.28</v>
      </c>
      <c r="V307" s="22" t="str">
        <f t="shared" si="74"/>
        <v/>
      </c>
      <c r="W307" s="23" t="str">
        <f>IF([2]AIX!I309=0,"",[2]AIX!I309)</f>
        <v/>
      </c>
      <c r="X307" s="17" t="str">
        <f t="shared" si="68"/>
        <v/>
      </c>
      <c r="AJ307" s="39"/>
      <c r="AL307" s="5">
        <v>46326</v>
      </c>
      <c r="AM307" s="23">
        <f>IF([1]AIX!J308=0,"",[1]AIX!J308)</f>
        <v>838</v>
      </c>
      <c r="AN307" s="22" t="str">
        <f t="shared" si="75"/>
        <v/>
      </c>
      <c r="AO307" s="23" t="str">
        <f>IF([2]AIX!J309=0,"",[2]AIX!J309)</f>
        <v/>
      </c>
      <c r="AP307" s="17" t="str">
        <f t="shared" si="69"/>
        <v/>
      </c>
      <c r="BB307" s="39"/>
      <c r="BD307" s="5">
        <v>46326</v>
      </c>
      <c r="BE307" s="42">
        <f t="shared" si="71"/>
        <v>17.122470167064439</v>
      </c>
      <c r="BF307" s="22" t="str">
        <f t="shared" si="76"/>
        <v/>
      </c>
      <c r="BG307" s="42" t="str">
        <f t="shared" si="72"/>
        <v/>
      </c>
      <c r="BH307" s="17" t="str">
        <f t="shared" si="70"/>
        <v/>
      </c>
      <c r="BT307" s="39"/>
    </row>
    <row r="308" spans="2:72">
      <c r="B308" s="5">
        <v>46327</v>
      </c>
      <c r="C308" s="23">
        <f>IF([1]AIX!H309=0,"",[1]AIX!H309)</f>
        <v>14880.22</v>
      </c>
      <c r="D308" s="22" t="str">
        <f t="shared" si="73"/>
        <v/>
      </c>
      <c r="E308" s="24" t="str">
        <f>IF([2]AIX!H310=0,"",[2]AIX!H310)</f>
        <v/>
      </c>
      <c r="F308" s="17" t="str">
        <f t="shared" si="67"/>
        <v/>
      </c>
      <c r="R308" s="39"/>
      <c r="T308" s="5">
        <v>46327</v>
      </c>
      <c r="U308" s="23">
        <f>IF([1]AIX!I309=0,"",[1]AIX!I309)</f>
        <v>14583.01</v>
      </c>
      <c r="V308" s="22" t="str">
        <f t="shared" si="74"/>
        <v/>
      </c>
      <c r="W308" s="24" t="str">
        <f>IF([2]AIX!I310=0,"",[2]AIX!I310)</f>
        <v/>
      </c>
      <c r="X308" s="17" t="str">
        <f t="shared" si="68"/>
        <v/>
      </c>
      <c r="AJ308" s="39"/>
      <c r="AL308" s="5">
        <v>46327</v>
      </c>
      <c r="AM308" s="23">
        <f>IF([1]AIX!J309=0,"",[1]AIX!J309)</f>
        <v>816</v>
      </c>
      <c r="AN308" s="22" t="str">
        <f t="shared" si="75"/>
        <v/>
      </c>
      <c r="AO308" s="24" t="str">
        <f>IF([2]AIX!J310=0,"",[2]AIX!J310)</f>
        <v/>
      </c>
      <c r="AP308" s="17" t="str">
        <f t="shared" si="69"/>
        <v/>
      </c>
      <c r="BB308" s="39"/>
      <c r="BD308" s="5">
        <v>46327</v>
      </c>
      <c r="BE308" s="42">
        <f t="shared" si="71"/>
        <v>18.235563725490195</v>
      </c>
      <c r="BF308" s="22" t="str">
        <f t="shared" si="76"/>
        <v/>
      </c>
      <c r="BG308" s="43" t="str">
        <f t="shared" si="72"/>
        <v/>
      </c>
      <c r="BH308" s="17" t="str">
        <f t="shared" si="70"/>
        <v/>
      </c>
      <c r="BT308" s="39"/>
    </row>
    <row r="309" spans="2:72">
      <c r="B309" s="5">
        <v>46328</v>
      </c>
      <c r="C309" s="24">
        <f>IF([1]AIX!H310=0,"",[1]AIX!H310)</f>
        <v>14145.6</v>
      </c>
      <c r="D309" s="22" t="str">
        <f t="shared" si="73"/>
        <v/>
      </c>
      <c r="E309" s="21" t="str">
        <f>IF([2]AIX!H311=0,"",[2]AIX!H311)</f>
        <v/>
      </c>
      <c r="F309" s="17" t="str">
        <f t="shared" si="67"/>
        <v/>
      </c>
      <c r="R309" s="39"/>
      <c r="T309" s="5">
        <v>46328</v>
      </c>
      <c r="U309" s="24">
        <f>IF([1]AIX!I310=0,"",[1]AIX!I310)</f>
        <v>13808.45</v>
      </c>
      <c r="V309" s="22" t="str">
        <f t="shared" si="74"/>
        <v/>
      </c>
      <c r="W309" s="21" t="str">
        <f>IF([2]AIX!I311=0,"",[2]AIX!I311)</f>
        <v/>
      </c>
      <c r="X309" s="17" t="str">
        <f t="shared" si="68"/>
        <v/>
      </c>
      <c r="AJ309" s="39"/>
      <c r="AL309" s="5">
        <v>46328</v>
      </c>
      <c r="AM309" s="24">
        <f>IF([1]AIX!J310=0,"",[1]AIX!J310)</f>
        <v>684</v>
      </c>
      <c r="AN309" s="22" t="str">
        <f t="shared" si="75"/>
        <v/>
      </c>
      <c r="AO309" s="21" t="str">
        <f>IF([2]AIX!J311=0,"",[2]AIX!J311)</f>
        <v/>
      </c>
      <c r="AP309" s="17" t="str">
        <f t="shared" si="69"/>
        <v/>
      </c>
      <c r="BB309" s="39"/>
      <c r="BD309" s="5">
        <v>46328</v>
      </c>
      <c r="BE309" s="43">
        <f t="shared" si="71"/>
        <v>20.680701754385964</v>
      </c>
      <c r="BF309" s="22" t="str">
        <f t="shared" si="76"/>
        <v/>
      </c>
      <c r="BG309" s="41" t="str">
        <f t="shared" si="72"/>
        <v/>
      </c>
      <c r="BH309" s="17" t="str">
        <f t="shared" si="70"/>
        <v/>
      </c>
      <c r="BT309" s="39"/>
    </row>
    <row r="310" spans="2:72">
      <c r="B310" s="5">
        <v>46329</v>
      </c>
      <c r="C310" s="21">
        <f>IF([1]AIX!H311=0,"",[1]AIX!H311)</f>
        <v>8605.16</v>
      </c>
      <c r="D310" s="22" t="str">
        <f t="shared" si="73"/>
        <v/>
      </c>
      <c r="E310" s="23" t="str">
        <f>IF([2]AIX!H312=0,"",[2]AIX!H312)</f>
        <v/>
      </c>
      <c r="F310" s="17" t="str">
        <f t="shared" si="67"/>
        <v/>
      </c>
      <c r="R310" s="39"/>
      <c r="T310" s="5">
        <v>46329</v>
      </c>
      <c r="U310" s="21">
        <f>IF([1]AIX!I311=0,"",[1]AIX!I311)</f>
        <v>8482</v>
      </c>
      <c r="V310" s="22" t="str">
        <f t="shared" si="74"/>
        <v/>
      </c>
      <c r="W310" s="23" t="str">
        <f>IF([2]AIX!I312=0,"",[2]AIX!I312)</f>
        <v/>
      </c>
      <c r="X310" s="17" t="str">
        <f t="shared" si="68"/>
        <v/>
      </c>
      <c r="AJ310" s="39"/>
      <c r="AL310" s="5">
        <v>46329</v>
      </c>
      <c r="AM310" s="21">
        <f>IF([1]AIX!J311=0,"",[1]AIX!J311)</f>
        <v>511</v>
      </c>
      <c r="AN310" s="22" t="str">
        <f t="shared" si="75"/>
        <v/>
      </c>
      <c r="AO310" s="23" t="str">
        <f>IF([2]AIX!J312=0,"",[2]AIX!J312)</f>
        <v/>
      </c>
      <c r="AP310" s="17" t="str">
        <f t="shared" si="69"/>
        <v/>
      </c>
      <c r="BB310" s="39"/>
      <c r="BD310" s="5">
        <v>46329</v>
      </c>
      <c r="BE310" s="41">
        <f t="shared" si="71"/>
        <v>16.839843444227007</v>
      </c>
      <c r="BF310" s="22" t="str">
        <f t="shared" si="76"/>
        <v/>
      </c>
      <c r="BG310" s="42" t="str">
        <f t="shared" si="72"/>
        <v/>
      </c>
      <c r="BH310" s="17" t="str">
        <f t="shared" si="70"/>
        <v/>
      </c>
      <c r="BT310" s="39"/>
    </row>
    <row r="311" spans="2:72">
      <c r="B311" s="5">
        <v>46330</v>
      </c>
      <c r="C311" s="23">
        <f>IF([1]AIX!H312=0,"",[1]AIX!H312)</f>
        <v>8332.92</v>
      </c>
      <c r="D311" s="22" t="str">
        <f t="shared" si="73"/>
        <v/>
      </c>
      <c r="E311" s="23" t="str">
        <f>IF([2]AIX!H313=0,"",[2]AIX!H313)</f>
        <v/>
      </c>
      <c r="F311" s="17" t="str">
        <f t="shared" si="67"/>
        <v/>
      </c>
      <c r="R311" s="39"/>
      <c r="T311" s="5">
        <v>46330</v>
      </c>
      <c r="U311" s="23">
        <f>IF([1]AIX!I312=0,"",[1]AIX!I312)</f>
        <v>8207.19</v>
      </c>
      <c r="V311" s="22" t="str">
        <f t="shared" si="74"/>
        <v/>
      </c>
      <c r="W311" s="23" t="str">
        <f>IF([2]AIX!I313=0,"",[2]AIX!I313)</f>
        <v/>
      </c>
      <c r="X311" s="17" t="str">
        <f t="shared" si="68"/>
        <v/>
      </c>
      <c r="AJ311" s="39"/>
      <c r="AL311" s="5">
        <v>46330</v>
      </c>
      <c r="AM311" s="23">
        <f>IF([1]AIX!J312=0,"",[1]AIX!J312)</f>
        <v>499</v>
      </c>
      <c r="AN311" s="22" t="str">
        <f t="shared" si="75"/>
        <v/>
      </c>
      <c r="AO311" s="23" t="str">
        <f>IF([2]AIX!J313=0,"",[2]AIX!J313)</f>
        <v/>
      </c>
      <c r="AP311" s="17" t="str">
        <f t="shared" si="69"/>
        <v/>
      </c>
      <c r="BB311" s="39"/>
      <c r="BD311" s="5">
        <v>46330</v>
      </c>
      <c r="BE311" s="42">
        <f t="shared" si="71"/>
        <v>16.699238476953909</v>
      </c>
      <c r="BF311" s="22" t="str">
        <f t="shared" si="76"/>
        <v/>
      </c>
      <c r="BG311" s="42" t="str">
        <f t="shared" si="72"/>
        <v/>
      </c>
      <c r="BH311" s="17" t="str">
        <f t="shared" si="70"/>
        <v/>
      </c>
      <c r="BT311" s="39"/>
    </row>
    <row r="312" spans="2:72">
      <c r="B312" s="5">
        <v>46331</v>
      </c>
      <c r="C312" s="23">
        <f>IF([1]AIX!H313=0,"",[1]AIX!H313)</f>
        <v>10435.64</v>
      </c>
      <c r="D312" s="22" t="str">
        <f t="shared" si="73"/>
        <v/>
      </c>
      <c r="E312" s="23" t="str">
        <f>IF([2]AIX!H314=0,"",[2]AIX!H314)</f>
        <v/>
      </c>
      <c r="F312" s="17" t="str">
        <f t="shared" si="67"/>
        <v/>
      </c>
      <c r="R312" s="39"/>
      <c r="T312" s="5">
        <v>46331</v>
      </c>
      <c r="U312" s="23">
        <f>IF([1]AIX!I313=0,"",[1]AIX!I313)</f>
        <v>10171.44</v>
      </c>
      <c r="V312" s="22" t="str">
        <f t="shared" si="74"/>
        <v/>
      </c>
      <c r="W312" s="23" t="str">
        <f>IF([2]AIX!I314=0,"",[2]AIX!I314)</f>
        <v/>
      </c>
      <c r="X312" s="17" t="str">
        <f t="shared" si="68"/>
        <v/>
      </c>
      <c r="AJ312" s="39"/>
      <c r="AL312" s="5">
        <v>46331</v>
      </c>
      <c r="AM312" s="23">
        <f>IF([1]AIX!J313=0,"",[1]AIX!J313)</f>
        <v>613</v>
      </c>
      <c r="AN312" s="22" t="str">
        <f t="shared" si="75"/>
        <v/>
      </c>
      <c r="AO312" s="23" t="str">
        <f>IF([2]AIX!J314=0,"",[2]AIX!J314)</f>
        <v/>
      </c>
      <c r="AP312" s="17" t="str">
        <f t="shared" si="69"/>
        <v/>
      </c>
      <c r="BB312" s="39"/>
      <c r="BD312" s="5">
        <v>46331</v>
      </c>
      <c r="BE312" s="42">
        <f t="shared" si="71"/>
        <v>17.023882544861337</v>
      </c>
      <c r="BF312" s="22" t="str">
        <f t="shared" si="76"/>
        <v/>
      </c>
      <c r="BG312" s="42" t="str">
        <f t="shared" si="72"/>
        <v/>
      </c>
      <c r="BH312" s="17" t="str">
        <f t="shared" si="70"/>
        <v/>
      </c>
      <c r="BT312" s="39"/>
    </row>
    <row r="313" spans="2:72">
      <c r="B313" s="5">
        <v>46332</v>
      </c>
      <c r="C313" s="23">
        <f>IF([1]AIX!H314=0,"",[1]AIX!H314)</f>
        <v>10061.26</v>
      </c>
      <c r="D313" s="22" t="str">
        <f t="shared" si="73"/>
        <v/>
      </c>
      <c r="E313" s="23" t="str">
        <f>IF([2]AIX!H315=0,"",[2]AIX!H315)</f>
        <v/>
      </c>
      <c r="F313" s="17" t="str">
        <f t="shared" si="67"/>
        <v/>
      </c>
      <c r="R313" s="39"/>
      <c r="T313" s="5">
        <v>46332</v>
      </c>
      <c r="U313" s="23">
        <f>IF([1]AIX!I314=0,"",[1]AIX!I314)</f>
        <v>9903.94</v>
      </c>
      <c r="V313" s="22" t="str">
        <f t="shared" si="74"/>
        <v/>
      </c>
      <c r="W313" s="23" t="str">
        <f>IF([2]AIX!I315=0,"",[2]AIX!I315)</f>
        <v/>
      </c>
      <c r="X313" s="17" t="str">
        <f t="shared" si="68"/>
        <v/>
      </c>
      <c r="AJ313" s="39"/>
      <c r="AL313" s="5">
        <v>46332</v>
      </c>
      <c r="AM313" s="23">
        <f>IF([1]AIX!J314=0,"",[1]AIX!J314)</f>
        <v>600</v>
      </c>
      <c r="AN313" s="22" t="str">
        <f t="shared" si="75"/>
        <v/>
      </c>
      <c r="AO313" s="23" t="str">
        <f>IF([2]AIX!J315=0,"",[2]AIX!J315)</f>
        <v/>
      </c>
      <c r="AP313" s="17" t="str">
        <f t="shared" si="69"/>
        <v/>
      </c>
      <c r="BB313" s="39"/>
      <c r="BD313" s="5">
        <v>46332</v>
      </c>
      <c r="BE313" s="42">
        <f t="shared" si="71"/>
        <v>16.768766666666668</v>
      </c>
      <c r="BF313" s="22" t="str">
        <f t="shared" si="76"/>
        <v/>
      </c>
      <c r="BG313" s="42" t="str">
        <f t="shared" si="72"/>
        <v/>
      </c>
      <c r="BH313" s="17" t="str">
        <f t="shared" si="70"/>
        <v/>
      </c>
      <c r="BT313" s="39"/>
    </row>
    <row r="314" spans="2:72">
      <c r="B314" s="5">
        <v>46333</v>
      </c>
      <c r="C314" s="23">
        <f>IF([1]AIX!H315=0,"",[1]AIX!H315)</f>
        <v>14191.98</v>
      </c>
      <c r="D314" s="22" t="str">
        <f t="shared" si="73"/>
        <v/>
      </c>
      <c r="E314" s="23" t="str">
        <f>IF([2]AIX!H316=0,"",[2]AIX!H316)</f>
        <v/>
      </c>
      <c r="F314" s="17" t="str">
        <f t="shared" si="67"/>
        <v/>
      </c>
      <c r="R314" s="39"/>
      <c r="T314" s="5">
        <v>46333</v>
      </c>
      <c r="U314" s="23">
        <f>IF([1]AIX!I315=0,"",[1]AIX!I315)</f>
        <v>13896.89</v>
      </c>
      <c r="V314" s="22" t="str">
        <f t="shared" si="74"/>
        <v/>
      </c>
      <c r="W314" s="23" t="str">
        <f>IF([2]AIX!I316=0,"",[2]AIX!I316)</f>
        <v/>
      </c>
      <c r="X314" s="17" t="str">
        <f t="shared" si="68"/>
        <v/>
      </c>
      <c r="AJ314" s="39"/>
      <c r="AL314" s="5">
        <v>46333</v>
      </c>
      <c r="AM314" s="23">
        <f>IF([1]AIX!J315=0,"",[1]AIX!J315)</f>
        <v>863</v>
      </c>
      <c r="AN314" s="22" t="str">
        <f t="shared" si="75"/>
        <v/>
      </c>
      <c r="AO314" s="23" t="str">
        <f>IF([2]AIX!J316=0,"",[2]AIX!J316)</f>
        <v/>
      </c>
      <c r="AP314" s="17" t="str">
        <f t="shared" si="69"/>
        <v/>
      </c>
      <c r="BB314" s="39"/>
      <c r="BD314" s="5">
        <v>46333</v>
      </c>
      <c r="BE314" s="42">
        <f t="shared" si="71"/>
        <v>16.444936268829665</v>
      </c>
      <c r="BF314" s="22" t="str">
        <f t="shared" si="76"/>
        <v/>
      </c>
      <c r="BG314" s="42" t="str">
        <f t="shared" si="72"/>
        <v/>
      </c>
      <c r="BH314" s="17" t="str">
        <f t="shared" si="70"/>
        <v/>
      </c>
      <c r="BT314" s="39"/>
    </row>
    <row r="315" spans="2:72">
      <c r="B315" s="5">
        <v>46334</v>
      </c>
      <c r="C315" s="23">
        <f>IF([1]AIX!H316=0,"",[1]AIX!H316)</f>
        <v>16249.92</v>
      </c>
      <c r="D315" s="22" t="str">
        <f t="shared" si="73"/>
        <v/>
      </c>
      <c r="E315" s="24" t="str">
        <f>IF([2]AIX!H317=0,"",[2]AIX!H317)</f>
        <v/>
      </c>
      <c r="F315" s="17" t="str">
        <f t="shared" si="67"/>
        <v/>
      </c>
      <c r="R315" s="39"/>
      <c r="T315" s="5">
        <v>46334</v>
      </c>
      <c r="U315" s="23">
        <f>IF([1]AIX!I316=0,"",[1]AIX!I316)</f>
        <v>15973.86</v>
      </c>
      <c r="V315" s="22" t="str">
        <f t="shared" si="74"/>
        <v/>
      </c>
      <c r="W315" s="24" t="str">
        <f>IF([2]AIX!I317=0,"",[2]AIX!I317)</f>
        <v/>
      </c>
      <c r="X315" s="17" t="str">
        <f t="shared" si="68"/>
        <v/>
      </c>
      <c r="AJ315" s="39"/>
      <c r="AL315" s="5">
        <v>46334</v>
      </c>
      <c r="AM315" s="23">
        <f>IF([1]AIX!J316=0,"",[1]AIX!J316)</f>
        <v>990</v>
      </c>
      <c r="AN315" s="22" t="str">
        <f t="shared" si="75"/>
        <v/>
      </c>
      <c r="AO315" s="24" t="str">
        <f>IF([2]AIX!J317=0,"",[2]AIX!J317)</f>
        <v/>
      </c>
      <c r="AP315" s="17" t="str">
        <f t="shared" si="69"/>
        <v/>
      </c>
      <c r="BB315" s="39"/>
      <c r="BD315" s="5">
        <v>46334</v>
      </c>
      <c r="BE315" s="42">
        <f t="shared" si="71"/>
        <v>16.414060606060605</v>
      </c>
      <c r="BF315" s="22" t="str">
        <f t="shared" si="76"/>
        <v/>
      </c>
      <c r="BG315" s="43" t="str">
        <f t="shared" si="72"/>
        <v/>
      </c>
      <c r="BH315" s="17" t="str">
        <f t="shared" si="70"/>
        <v/>
      </c>
      <c r="BT315" s="39"/>
    </row>
    <row r="316" spans="2:72">
      <c r="B316" s="5">
        <v>46335</v>
      </c>
      <c r="C316" s="24">
        <f>IF([1]AIX!H317=0,"",[1]AIX!H317)</f>
        <v>18169.38</v>
      </c>
      <c r="D316" s="22" t="str">
        <f t="shared" si="73"/>
        <v/>
      </c>
      <c r="E316" s="21" t="str">
        <f>IF([2]AIX!H318=0,"",[2]AIX!H318)</f>
        <v/>
      </c>
      <c r="F316" s="17" t="str">
        <f t="shared" si="67"/>
        <v/>
      </c>
      <c r="R316" s="39"/>
      <c r="T316" s="5">
        <v>46335</v>
      </c>
      <c r="U316" s="24">
        <f>IF([1]AIX!I317=0,"",[1]AIX!I317)</f>
        <v>17845.830000000002</v>
      </c>
      <c r="V316" s="22" t="str">
        <f t="shared" si="74"/>
        <v/>
      </c>
      <c r="W316" s="21" t="str">
        <f>IF([2]AIX!I318=0,"",[2]AIX!I318)</f>
        <v/>
      </c>
      <c r="X316" s="17" t="str">
        <f t="shared" si="68"/>
        <v/>
      </c>
      <c r="AJ316" s="39"/>
      <c r="AL316" s="5">
        <v>46335</v>
      </c>
      <c r="AM316" s="24">
        <f>IF([1]AIX!J317=0,"",[1]AIX!J317)</f>
        <v>931</v>
      </c>
      <c r="AN316" s="22" t="str">
        <f t="shared" si="75"/>
        <v/>
      </c>
      <c r="AO316" s="21" t="str">
        <f>IF([2]AIX!J318=0,"",[2]AIX!J318)</f>
        <v/>
      </c>
      <c r="AP316" s="17" t="str">
        <f t="shared" si="69"/>
        <v/>
      </c>
      <c r="BB316" s="39"/>
      <c r="BD316" s="5">
        <v>46335</v>
      </c>
      <c r="BE316" s="43">
        <f t="shared" si="71"/>
        <v>19.515982814178304</v>
      </c>
      <c r="BF316" s="22" t="str">
        <f t="shared" si="76"/>
        <v/>
      </c>
      <c r="BG316" s="41" t="str">
        <f t="shared" si="72"/>
        <v/>
      </c>
      <c r="BH316" s="17" t="str">
        <f t="shared" si="70"/>
        <v/>
      </c>
      <c r="BT316" s="39"/>
    </row>
    <row r="317" spans="2:72">
      <c r="B317" s="5">
        <v>46336</v>
      </c>
      <c r="C317" s="21">
        <f>IF([1]AIX!H318=0,"",[1]AIX!H318)</f>
        <v>13165.04</v>
      </c>
      <c r="D317" s="22" t="str">
        <f t="shared" si="73"/>
        <v/>
      </c>
      <c r="E317" s="23" t="str">
        <f>IF([2]AIX!H319=0,"",[2]AIX!H319)</f>
        <v/>
      </c>
      <c r="F317" s="17" t="str">
        <f t="shared" si="67"/>
        <v/>
      </c>
      <c r="R317" s="39"/>
      <c r="T317" s="5">
        <v>46336</v>
      </c>
      <c r="U317" s="21">
        <f>IF([1]AIX!I318=0,"",[1]AIX!I318)</f>
        <v>12902.01</v>
      </c>
      <c r="V317" s="22" t="str">
        <f t="shared" si="74"/>
        <v/>
      </c>
      <c r="W317" s="23" t="str">
        <f>IF([2]AIX!I319=0,"",[2]AIX!I319)</f>
        <v/>
      </c>
      <c r="X317" s="17" t="str">
        <f t="shared" si="68"/>
        <v/>
      </c>
      <c r="AJ317" s="39"/>
      <c r="AL317" s="5">
        <v>46336</v>
      </c>
      <c r="AM317" s="21">
        <f>IF([1]AIX!J318=0,"",[1]AIX!J318)</f>
        <v>745</v>
      </c>
      <c r="AN317" s="22" t="str">
        <f t="shared" si="75"/>
        <v/>
      </c>
      <c r="AO317" s="23" t="str">
        <f>IF([2]AIX!J319=0,"",[2]AIX!J319)</f>
        <v/>
      </c>
      <c r="AP317" s="17" t="str">
        <f t="shared" si="69"/>
        <v/>
      </c>
      <c r="BB317" s="39"/>
      <c r="BD317" s="5">
        <v>46336</v>
      </c>
      <c r="BE317" s="41">
        <f t="shared" si="71"/>
        <v>17.671194630872485</v>
      </c>
      <c r="BF317" s="22" t="str">
        <f t="shared" si="76"/>
        <v/>
      </c>
      <c r="BG317" s="42" t="str">
        <f t="shared" si="72"/>
        <v/>
      </c>
      <c r="BH317" s="17" t="str">
        <f t="shared" si="70"/>
        <v/>
      </c>
      <c r="BT317" s="39"/>
    </row>
    <row r="318" spans="2:72">
      <c r="B318" s="5">
        <v>46337</v>
      </c>
      <c r="C318" s="23">
        <f>IF([1]AIX!H319=0,"",[1]AIX!H319)</f>
        <v>15668.44</v>
      </c>
      <c r="D318" s="22" t="str">
        <f t="shared" si="73"/>
        <v/>
      </c>
      <c r="E318" s="23" t="str">
        <f>IF([2]AIX!H320=0,"",[2]AIX!H320)</f>
        <v/>
      </c>
      <c r="F318" s="17" t="str">
        <f t="shared" si="67"/>
        <v/>
      </c>
      <c r="R318" s="39"/>
      <c r="T318" s="5">
        <v>46337</v>
      </c>
      <c r="U318" s="23">
        <f>IF([1]AIX!I319=0,"",[1]AIX!I319)</f>
        <v>15335.48</v>
      </c>
      <c r="V318" s="22" t="str">
        <f t="shared" si="74"/>
        <v/>
      </c>
      <c r="W318" s="23" t="str">
        <f>IF([2]AIX!I320=0,"",[2]AIX!I320)</f>
        <v/>
      </c>
      <c r="X318" s="17" t="str">
        <f t="shared" si="68"/>
        <v/>
      </c>
      <c r="AJ318" s="39"/>
      <c r="AL318" s="5">
        <v>46337</v>
      </c>
      <c r="AM318" s="23">
        <f>IF([1]AIX!J319=0,"",[1]AIX!J319)</f>
        <v>891</v>
      </c>
      <c r="AN318" s="22" t="str">
        <f t="shared" si="75"/>
        <v/>
      </c>
      <c r="AO318" s="23" t="str">
        <f>IF([2]AIX!J320=0,"",[2]AIX!J320)</f>
        <v/>
      </c>
      <c r="AP318" s="17" t="str">
        <f t="shared" si="69"/>
        <v/>
      </c>
      <c r="BB318" s="39"/>
      <c r="BD318" s="5">
        <v>46337</v>
      </c>
      <c r="BE318" s="42">
        <f t="shared" si="71"/>
        <v>17.585230078563413</v>
      </c>
      <c r="BF318" s="22" t="str">
        <f t="shared" si="76"/>
        <v/>
      </c>
      <c r="BG318" s="42" t="str">
        <f t="shared" si="72"/>
        <v/>
      </c>
      <c r="BH318" s="17" t="str">
        <f t="shared" si="70"/>
        <v/>
      </c>
      <c r="BT318" s="39"/>
    </row>
    <row r="319" spans="2:72">
      <c r="B319" s="5">
        <v>46338</v>
      </c>
      <c r="C319" s="23">
        <f>IF([1]AIX!H320=0,"",[1]AIX!H320)</f>
        <v>9543.0499999999993</v>
      </c>
      <c r="D319" s="22" t="str">
        <f t="shared" si="73"/>
        <v/>
      </c>
      <c r="E319" s="23" t="str">
        <f>IF([2]AIX!H321=0,"",[2]AIX!H321)</f>
        <v/>
      </c>
      <c r="F319" s="17" t="str">
        <f t="shared" si="67"/>
        <v/>
      </c>
      <c r="R319" s="39"/>
      <c r="T319" s="5">
        <v>46338</v>
      </c>
      <c r="U319" s="23">
        <f>IF([1]AIX!I320=0,"",[1]AIX!I320)</f>
        <v>9358.6299999999992</v>
      </c>
      <c r="V319" s="22" t="str">
        <f t="shared" si="74"/>
        <v/>
      </c>
      <c r="W319" s="23" t="str">
        <f>IF([2]AIX!I321=0,"",[2]AIX!I321)</f>
        <v/>
      </c>
      <c r="X319" s="17" t="str">
        <f t="shared" si="68"/>
        <v/>
      </c>
      <c r="AJ319" s="39"/>
      <c r="AL319" s="5">
        <v>46338</v>
      </c>
      <c r="AM319" s="23">
        <f>IF([1]AIX!J320=0,"",[1]AIX!J320)</f>
        <v>561</v>
      </c>
      <c r="AN319" s="22" t="str">
        <f t="shared" si="75"/>
        <v/>
      </c>
      <c r="AO319" s="23" t="str">
        <f>IF([2]AIX!J321=0,"",[2]AIX!J321)</f>
        <v/>
      </c>
      <c r="AP319" s="17" t="str">
        <f t="shared" si="69"/>
        <v/>
      </c>
      <c r="BB319" s="39"/>
      <c r="BD319" s="5">
        <v>46338</v>
      </c>
      <c r="BE319" s="42">
        <f t="shared" si="71"/>
        <v>17.010784313725487</v>
      </c>
      <c r="BF319" s="22" t="str">
        <f t="shared" si="76"/>
        <v/>
      </c>
      <c r="BG319" s="42" t="str">
        <f t="shared" si="72"/>
        <v/>
      </c>
      <c r="BH319" s="17" t="str">
        <f t="shared" si="70"/>
        <v/>
      </c>
      <c r="BT319" s="39"/>
    </row>
    <row r="320" spans="2:72">
      <c r="B320" s="5">
        <v>46339</v>
      </c>
      <c r="C320" s="23">
        <f>IF([1]AIX!H321=0,"",[1]AIX!H321)</f>
        <v>8333.43</v>
      </c>
      <c r="D320" s="22" t="str">
        <f t="shared" si="73"/>
        <v/>
      </c>
      <c r="E320" s="23" t="str">
        <f>IF([2]AIX!H322=0,"",[2]AIX!H322)</f>
        <v/>
      </c>
      <c r="F320" s="17" t="str">
        <f t="shared" si="67"/>
        <v/>
      </c>
      <c r="R320" s="39"/>
      <c r="T320" s="5">
        <v>46339</v>
      </c>
      <c r="U320" s="23">
        <f>IF([1]AIX!I321=0,"",[1]AIX!I321)</f>
        <v>8238.67</v>
      </c>
      <c r="V320" s="22" t="str">
        <f t="shared" si="74"/>
        <v/>
      </c>
      <c r="W320" s="23" t="str">
        <f>IF([2]AIX!I322=0,"",[2]AIX!I322)</f>
        <v/>
      </c>
      <c r="X320" s="17" t="str">
        <f t="shared" si="68"/>
        <v/>
      </c>
      <c r="AJ320" s="39"/>
      <c r="AL320" s="5">
        <v>46339</v>
      </c>
      <c r="AM320" s="23">
        <f>IF([1]AIX!J321=0,"",[1]AIX!J321)</f>
        <v>519</v>
      </c>
      <c r="AN320" s="22" t="str">
        <f t="shared" si="75"/>
        <v/>
      </c>
      <c r="AO320" s="23" t="str">
        <f>IF([2]AIX!J322=0,"",[2]AIX!J322)</f>
        <v/>
      </c>
      <c r="AP320" s="17" t="str">
        <f t="shared" si="69"/>
        <v/>
      </c>
      <c r="BB320" s="39"/>
      <c r="BD320" s="5">
        <v>46339</v>
      </c>
      <c r="BE320" s="42">
        <f t="shared" si="71"/>
        <v>16.056705202312138</v>
      </c>
      <c r="BF320" s="22" t="str">
        <f t="shared" si="76"/>
        <v/>
      </c>
      <c r="BG320" s="42" t="str">
        <f t="shared" si="72"/>
        <v/>
      </c>
      <c r="BH320" s="17" t="str">
        <f t="shared" si="70"/>
        <v/>
      </c>
      <c r="BT320" s="39"/>
    </row>
    <row r="321" spans="2:72">
      <c r="B321" s="5">
        <v>46340</v>
      </c>
      <c r="C321" s="23">
        <f>IF([1]AIX!H322=0,"",[1]AIX!H322)</f>
        <v>13090.67</v>
      </c>
      <c r="D321" s="22" t="str">
        <f t="shared" si="73"/>
        <v/>
      </c>
      <c r="E321" s="23" t="str">
        <f>IF([2]AIX!H323=0,"",[2]AIX!H323)</f>
        <v/>
      </c>
      <c r="F321" s="17" t="str">
        <f t="shared" si="67"/>
        <v/>
      </c>
      <c r="R321" s="39"/>
      <c r="T321" s="5">
        <v>46340</v>
      </c>
      <c r="U321" s="23">
        <f>IF([1]AIX!I322=0,"",[1]AIX!I322)</f>
        <v>12894.93</v>
      </c>
      <c r="V321" s="22" t="str">
        <f t="shared" si="74"/>
        <v/>
      </c>
      <c r="W321" s="23" t="str">
        <f>IF([2]AIX!I323=0,"",[2]AIX!I323)</f>
        <v/>
      </c>
      <c r="X321" s="17" t="str">
        <f t="shared" si="68"/>
        <v/>
      </c>
      <c r="AJ321" s="39"/>
      <c r="AL321" s="5">
        <v>46340</v>
      </c>
      <c r="AM321" s="23">
        <f>IF([1]AIX!J322=0,"",[1]AIX!J322)</f>
        <v>789</v>
      </c>
      <c r="AN321" s="22" t="str">
        <f t="shared" si="75"/>
        <v/>
      </c>
      <c r="AO321" s="23" t="str">
        <f>IF([2]AIX!J323=0,"",[2]AIX!J323)</f>
        <v/>
      </c>
      <c r="AP321" s="17" t="str">
        <f t="shared" si="69"/>
        <v/>
      </c>
      <c r="BB321" s="39"/>
      <c r="BD321" s="5">
        <v>46340</v>
      </c>
      <c r="BE321" s="42">
        <f t="shared" si="71"/>
        <v>16.591470215462611</v>
      </c>
      <c r="BF321" s="22" t="str">
        <f t="shared" si="76"/>
        <v/>
      </c>
      <c r="BG321" s="42" t="str">
        <f t="shared" si="72"/>
        <v/>
      </c>
      <c r="BH321" s="17" t="str">
        <f t="shared" si="70"/>
        <v/>
      </c>
      <c r="BT321" s="39"/>
    </row>
    <row r="322" spans="2:72">
      <c r="B322" s="5">
        <v>46341</v>
      </c>
      <c r="C322" s="23">
        <f>IF([1]AIX!H323=0,"",[1]AIX!H323)</f>
        <v>14509.34</v>
      </c>
      <c r="D322" s="22" t="str">
        <f t="shared" si="73"/>
        <v/>
      </c>
      <c r="E322" s="24" t="str">
        <f>IF([2]AIX!H324=0,"",[2]AIX!H324)</f>
        <v/>
      </c>
      <c r="F322" s="17" t="str">
        <f t="shared" si="67"/>
        <v/>
      </c>
      <c r="R322" s="39"/>
      <c r="T322" s="5">
        <v>46341</v>
      </c>
      <c r="U322" s="23">
        <f>IF([1]AIX!I323=0,"",[1]AIX!I323)</f>
        <v>14151.88</v>
      </c>
      <c r="V322" s="22" t="str">
        <f t="shared" si="74"/>
        <v/>
      </c>
      <c r="W322" s="24" t="str">
        <f>IF([2]AIX!I324=0,"",[2]AIX!I324)</f>
        <v/>
      </c>
      <c r="X322" s="17" t="str">
        <f t="shared" si="68"/>
        <v/>
      </c>
      <c r="AJ322" s="39"/>
      <c r="AL322" s="5">
        <v>46341</v>
      </c>
      <c r="AM322" s="23">
        <f>IF([1]AIX!J323=0,"",[1]AIX!J323)</f>
        <v>821</v>
      </c>
      <c r="AN322" s="22" t="str">
        <f t="shared" si="75"/>
        <v/>
      </c>
      <c r="AO322" s="24" t="str">
        <f>IF([2]AIX!J324=0,"",[2]AIX!J324)</f>
        <v/>
      </c>
      <c r="AP322" s="17" t="str">
        <f t="shared" si="69"/>
        <v/>
      </c>
      <c r="BB322" s="39"/>
      <c r="BD322" s="5">
        <v>46341</v>
      </c>
      <c r="BE322" s="42">
        <f t="shared" si="71"/>
        <v>17.672764920828257</v>
      </c>
      <c r="BF322" s="22" t="str">
        <f t="shared" si="76"/>
        <v/>
      </c>
      <c r="BG322" s="43" t="str">
        <f t="shared" si="72"/>
        <v/>
      </c>
      <c r="BH322" s="17" t="str">
        <f t="shared" si="70"/>
        <v/>
      </c>
      <c r="BT322" s="39"/>
    </row>
    <row r="323" spans="2:72">
      <c r="B323" s="5">
        <v>46342</v>
      </c>
      <c r="C323" s="24">
        <f>IF([1]AIX!H324=0,"",[1]AIX!H324)</f>
        <v>14395.2</v>
      </c>
      <c r="D323" s="22" t="str">
        <f t="shared" si="73"/>
        <v/>
      </c>
      <c r="E323" s="21" t="str">
        <f>IF([2]AIX!H325=0,"",[2]AIX!H325)</f>
        <v/>
      </c>
      <c r="F323" s="17" t="str">
        <f t="shared" si="67"/>
        <v/>
      </c>
      <c r="R323" s="39"/>
      <c r="T323" s="5">
        <v>46342</v>
      </c>
      <c r="U323" s="24">
        <f>IF([1]AIX!I324=0,"",[1]AIX!I324)</f>
        <v>14009.62</v>
      </c>
      <c r="V323" s="22" t="str">
        <f t="shared" si="74"/>
        <v/>
      </c>
      <c r="W323" s="21" t="str">
        <f>IF([2]AIX!I325=0,"",[2]AIX!I325)</f>
        <v/>
      </c>
      <c r="X323" s="17" t="str">
        <f t="shared" si="68"/>
        <v/>
      </c>
      <c r="AJ323" s="39"/>
      <c r="AL323" s="5">
        <v>46342</v>
      </c>
      <c r="AM323" s="24">
        <f>IF([1]AIX!J324=0,"",[1]AIX!J324)</f>
        <v>732</v>
      </c>
      <c r="AN323" s="22" t="str">
        <f t="shared" si="75"/>
        <v/>
      </c>
      <c r="AO323" s="21" t="str">
        <f>IF([2]AIX!J325=0,"",[2]AIX!J325)</f>
        <v/>
      </c>
      <c r="AP323" s="17" t="str">
        <f t="shared" si="69"/>
        <v/>
      </c>
      <c r="BB323" s="39"/>
      <c r="BD323" s="5">
        <v>46342</v>
      </c>
      <c r="BE323" s="43">
        <f t="shared" si="71"/>
        <v>19.665573770491804</v>
      </c>
      <c r="BF323" s="22" t="str">
        <f t="shared" si="76"/>
        <v/>
      </c>
      <c r="BG323" s="41" t="str">
        <f t="shared" si="72"/>
        <v/>
      </c>
      <c r="BH323" s="17" t="str">
        <f t="shared" si="70"/>
        <v/>
      </c>
      <c r="BT323" s="39"/>
    </row>
    <row r="324" spans="2:72">
      <c r="B324" s="5">
        <v>46343</v>
      </c>
      <c r="C324" s="21">
        <f>IF([1]AIX!H325=0,"",[1]AIX!H325)</f>
        <v>7677.9</v>
      </c>
      <c r="D324" s="22" t="str">
        <f t="shared" si="73"/>
        <v/>
      </c>
      <c r="E324" s="23" t="str">
        <f>IF([2]AIX!H326=0,"",[2]AIX!H326)</f>
        <v/>
      </c>
      <c r="F324" s="17" t="str">
        <f t="shared" ref="F324:F368" si="77">IF(E324="","",(E324/C325)-1)</f>
        <v/>
      </c>
      <c r="R324" s="39"/>
      <c r="T324" s="5">
        <v>46343</v>
      </c>
      <c r="U324" s="21">
        <f>IF([1]AIX!I325=0,"",[1]AIX!I325)</f>
        <v>7520.73</v>
      </c>
      <c r="V324" s="22" t="str">
        <f t="shared" si="74"/>
        <v/>
      </c>
      <c r="W324" s="23" t="str">
        <f>IF([2]AIX!I326=0,"",[2]AIX!I326)</f>
        <v/>
      </c>
      <c r="X324" s="17" t="str">
        <f t="shared" ref="X324:X368" si="78">IF(W324="","",(W324/U325)-1)</f>
        <v/>
      </c>
      <c r="AJ324" s="39"/>
      <c r="AL324" s="5">
        <v>46343</v>
      </c>
      <c r="AM324" s="21">
        <f>IF([1]AIX!J325=0,"",[1]AIX!J325)</f>
        <v>465</v>
      </c>
      <c r="AN324" s="22" t="str">
        <f t="shared" si="75"/>
        <v/>
      </c>
      <c r="AO324" s="23" t="str">
        <f>IF([2]AIX!J326=0,"",[2]AIX!J326)</f>
        <v/>
      </c>
      <c r="AP324" s="17" t="str">
        <f t="shared" ref="AP324:AP368" si="79">IF(AO324="","",(AO324/AM325)-1)</f>
        <v/>
      </c>
      <c r="BB324" s="39"/>
      <c r="BD324" s="5">
        <v>46343</v>
      </c>
      <c r="BE324" s="41">
        <f t="shared" si="71"/>
        <v>16.511612903225807</v>
      </c>
      <c r="BF324" s="22" t="str">
        <f t="shared" si="76"/>
        <v/>
      </c>
      <c r="BG324" s="42" t="str">
        <f t="shared" si="72"/>
        <v/>
      </c>
      <c r="BH324" s="17" t="str">
        <f t="shared" ref="BH324:BH368" si="80">IF(BG324="","",(BG324/BE325)-1)</f>
        <v/>
      </c>
      <c r="BT324" s="39"/>
    </row>
    <row r="325" spans="2:72">
      <c r="B325" s="5">
        <v>46344</v>
      </c>
      <c r="C325" s="23">
        <f>IF([1]AIX!H326=0,"",[1]AIX!H326)</f>
        <v>8127.44</v>
      </c>
      <c r="D325" s="22" t="str">
        <f t="shared" si="73"/>
        <v/>
      </c>
      <c r="E325" s="23" t="str">
        <f>IF([2]AIX!H327=0,"",[2]AIX!H327)</f>
        <v/>
      </c>
      <c r="F325" s="17" t="str">
        <f t="shared" si="77"/>
        <v/>
      </c>
      <c r="R325" s="39"/>
      <c r="T325" s="5">
        <v>46344</v>
      </c>
      <c r="U325" s="23">
        <f>IF([1]AIX!I326=0,"",[1]AIX!I326)</f>
        <v>8036.11</v>
      </c>
      <c r="V325" s="22" t="str">
        <f t="shared" si="74"/>
        <v/>
      </c>
      <c r="W325" s="23" t="str">
        <f>IF([2]AIX!I327=0,"",[2]AIX!I327)</f>
        <v/>
      </c>
      <c r="X325" s="17" t="str">
        <f t="shared" si="78"/>
        <v/>
      </c>
      <c r="AJ325" s="39"/>
      <c r="AL325" s="5">
        <v>46344</v>
      </c>
      <c r="AM325" s="23">
        <f>IF([1]AIX!J326=0,"",[1]AIX!J326)</f>
        <v>495</v>
      </c>
      <c r="AN325" s="22" t="str">
        <f t="shared" si="75"/>
        <v/>
      </c>
      <c r="AO325" s="23" t="str">
        <f>IF([2]AIX!J327=0,"",[2]AIX!J327)</f>
        <v/>
      </c>
      <c r="AP325" s="17" t="str">
        <f t="shared" si="79"/>
        <v/>
      </c>
      <c r="BB325" s="39"/>
      <c r="BD325" s="5">
        <v>46344</v>
      </c>
      <c r="BE325" s="42">
        <f t="shared" ref="BE325:BE368" si="81">IFERROR(C325/AM325,"")</f>
        <v>16.419070707070706</v>
      </c>
      <c r="BF325" s="22" t="str">
        <f t="shared" si="76"/>
        <v/>
      </c>
      <c r="BG325" s="42" t="str">
        <f t="shared" ref="BG325:BG368" si="82">IFERROR(E325/AO325,"")</f>
        <v/>
      </c>
      <c r="BH325" s="17" t="str">
        <f t="shared" si="80"/>
        <v/>
      </c>
      <c r="BT325" s="39"/>
    </row>
    <row r="326" spans="2:72">
      <c r="B326" s="5">
        <v>46345</v>
      </c>
      <c r="C326" s="23">
        <f>IF([1]AIX!H327=0,"",[1]AIX!H327)</f>
        <v>10501.61</v>
      </c>
      <c r="D326" s="22" t="str">
        <f t="shared" si="73"/>
        <v/>
      </c>
      <c r="E326" s="23" t="str">
        <f>IF([2]AIX!H328=0,"",[2]AIX!H328)</f>
        <v/>
      </c>
      <c r="F326" s="17" t="str">
        <f t="shared" si="77"/>
        <v/>
      </c>
      <c r="R326" s="39"/>
      <c r="T326" s="5">
        <v>46345</v>
      </c>
      <c r="U326" s="23">
        <f>IF([1]AIX!I327=0,"",[1]AIX!I327)</f>
        <v>10290.450000000001</v>
      </c>
      <c r="V326" s="22" t="str">
        <f t="shared" si="74"/>
        <v/>
      </c>
      <c r="W326" s="23" t="str">
        <f>IF([2]AIX!I328=0,"",[2]AIX!I328)</f>
        <v/>
      </c>
      <c r="X326" s="17" t="str">
        <f t="shared" si="78"/>
        <v/>
      </c>
      <c r="AJ326" s="39"/>
      <c r="AL326" s="5">
        <v>46345</v>
      </c>
      <c r="AM326" s="23">
        <f>IF([1]AIX!J327=0,"",[1]AIX!J327)</f>
        <v>599</v>
      </c>
      <c r="AN326" s="22" t="str">
        <f t="shared" si="75"/>
        <v/>
      </c>
      <c r="AO326" s="23" t="str">
        <f>IF([2]AIX!J328=0,"",[2]AIX!J328)</f>
        <v/>
      </c>
      <c r="AP326" s="17" t="str">
        <f t="shared" si="79"/>
        <v/>
      </c>
      <c r="BB326" s="39"/>
      <c r="BD326" s="5">
        <v>46345</v>
      </c>
      <c r="BE326" s="42">
        <f t="shared" si="81"/>
        <v>17.531903171953257</v>
      </c>
      <c r="BF326" s="22" t="str">
        <f t="shared" si="76"/>
        <v/>
      </c>
      <c r="BG326" s="42" t="str">
        <f t="shared" si="82"/>
        <v/>
      </c>
      <c r="BH326" s="17" t="str">
        <f t="shared" si="80"/>
        <v/>
      </c>
      <c r="BT326" s="39"/>
    </row>
    <row r="327" spans="2:72">
      <c r="B327" s="5">
        <v>46346</v>
      </c>
      <c r="C327" s="23">
        <f>IF([1]AIX!H328=0,"",[1]AIX!H328)</f>
        <v>7879.24</v>
      </c>
      <c r="D327" s="22" t="str">
        <f t="shared" si="73"/>
        <v/>
      </c>
      <c r="E327" s="23" t="str">
        <f>IF([2]AIX!H329=0,"",[2]AIX!H329)</f>
        <v/>
      </c>
      <c r="F327" s="17" t="str">
        <f t="shared" si="77"/>
        <v/>
      </c>
      <c r="R327" s="39"/>
      <c r="T327" s="5">
        <v>46346</v>
      </c>
      <c r="U327" s="23">
        <f>IF([1]AIX!I328=0,"",[1]AIX!I328)</f>
        <v>7718.16</v>
      </c>
      <c r="V327" s="22" t="str">
        <f t="shared" si="74"/>
        <v/>
      </c>
      <c r="W327" s="23" t="str">
        <f>IF([2]AIX!I329=0,"",[2]AIX!I329)</f>
        <v/>
      </c>
      <c r="X327" s="17" t="str">
        <f t="shared" si="78"/>
        <v/>
      </c>
      <c r="AJ327" s="39"/>
      <c r="AL327" s="5">
        <v>46346</v>
      </c>
      <c r="AM327" s="23">
        <f>IF([1]AIX!J328=0,"",[1]AIX!J328)</f>
        <v>509</v>
      </c>
      <c r="AN327" s="22" t="str">
        <f t="shared" si="75"/>
        <v/>
      </c>
      <c r="AO327" s="23" t="str">
        <f>IF([2]AIX!J329=0,"",[2]AIX!J329)</f>
        <v/>
      </c>
      <c r="AP327" s="17" t="str">
        <f t="shared" si="79"/>
        <v/>
      </c>
      <c r="BB327" s="39"/>
      <c r="BD327" s="5">
        <v>46346</v>
      </c>
      <c r="BE327" s="42">
        <f t="shared" si="81"/>
        <v>15.47984282907662</v>
      </c>
      <c r="BF327" s="22" t="str">
        <f t="shared" si="76"/>
        <v/>
      </c>
      <c r="BG327" s="42" t="str">
        <f t="shared" si="82"/>
        <v/>
      </c>
      <c r="BH327" s="17" t="str">
        <f t="shared" si="80"/>
        <v/>
      </c>
      <c r="BT327" s="39"/>
    </row>
    <row r="328" spans="2:72">
      <c r="B328" s="5">
        <v>46347</v>
      </c>
      <c r="C328" s="23">
        <f>IF([1]AIX!H329=0,"",[1]AIX!H329)</f>
        <v>12300.54</v>
      </c>
      <c r="D328" s="22" t="str">
        <f t="shared" si="73"/>
        <v/>
      </c>
      <c r="E328" s="23" t="str">
        <f>IF([2]AIX!H330=0,"",[2]AIX!H330)</f>
        <v/>
      </c>
      <c r="F328" s="17" t="str">
        <f t="shared" si="77"/>
        <v/>
      </c>
      <c r="R328" s="39"/>
      <c r="T328" s="5">
        <v>46347</v>
      </c>
      <c r="U328" s="23">
        <f>IF([1]AIX!I329=0,"",[1]AIX!I329)</f>
        <v>12075.37</v>
      </c>
      <c r="V328" s="22" t="str">
        <f t="shared" si="74"/>
        <v/>
      </c>
      <c r="W328" s="23" t="str">
        <f>IF([2]AIX!I330=0,"",[2]AIX!I330)</f>
        <v/>
      </c>
      <c r="X328" s="17" t="str">
        <f t="shared" si="78"/>
        <v/>
      </c>
      <c r="AJ328" s="39"/>
      <c r="AL328" s="5">
        <v>46347</v>
      </c>
      <c r="AM328" s="23">
        <f>IF([1]AIX!J329=0,"",[1]AIX!J329)</f>
        <v>736</v>
      </c>
      <c r="AN328" s="22" t="str">
        <f t="shared" si="75"/>
        <v/>
      </c>
      <c r="AO328" s="23" t="str">
        <f>IF([2]AIX!J330=0,"",[2]AIX!J330)</f>
        <v/>
      </c>
      <c r="AP328" s="17" t="str">
        <f t="shared" si="79"/>
        <v/>
      </c>
      <c r="BB328" s="39"/>
      <c r="BD328" s="5">
        <v>46347</v>
      </c>
      <c r="BE328" s="42">
        <f t="shared" si="81"/>
        <v>16.712690217391305</v>
      </c>
      <c r="BF328" s="22" t="str">
        <f t="shared" si="76"/>
        <v/>
      </c>
      <c r="BG328" s="42" t="str">
        <f t="shared" si="82"/>
        <v/>
      </c>
      <c r="BH328" s="17" t="str">
        <f t="shared" si="80"/>
        <v/>
      </c>
      <c r="BT328" s="39"/>
    </row>
    <row r="329" spans="2:72">
      <c r="B329" s="5">
        <v>46348</v>
      </c>
      <c r="C329" s="23">
        <f>IF([1]AIX!H330=0,"",[1]AIX!H330)</f>
        <v>12935.18</v>
      </c>
      <c r="D329" s="22" t="str">
        <f t="shared" si="73"/>
        <v/>
      </c>
      <c r="E329" s="24" t="str">
        <f>IF([2]AIX!H331=0,"",[2]AIX!H331)</f>
        <v/>
      </c>
      <c r="F329" s="17" t="str">
        <f t="shared" si="77"/>
        <v/>
      </c>
      <c r="R329" s="39"/>
      <c r="T329" s="5">
        <v>46348</v>
      </c>
      <c r="U329" s="23">
        <f>IF([1]AIX!I330=0,"",[1]AIX!I330)</f>
        <v>12755.47</v>
      </c>
      <c r="V329" s="22" t="str">
        <f t="shared" si="74"/>
        <v/>
      </c>
      <c r="W329" s="24" t="str">
        <f>IF([2]AIX!I331=0,"",[2]AIX!I331)</f>
        <v/>
      </c>
      <c r="X329" s="17" t="str">
        <f t="shared" si="78"/>
        <v/>
      </c>
      <c r="AJ329" s="39"/>
      <c r="AL329" s="5">
        <v>46348</v>
      </c>
      <c r="AM329" s="23">
        <f>IF([1]AIX!J330=0,"",[1]AIX!J330)</f>
        <v>718</v>
      </c>
      <c r="AN329" s="22" t="str">
        <f t="shared" si="75"/>
        <v/>
      </c>
      <c r="AO329" s="24" t="str">
        <f>IF([2]AIX!J331=0,"",[2]AIX!J331)</f>
        <v/>
      </c>
      <c r="AP329" s="17" t="str">
        <f t="shared" si="79"/>
        <v/>
      </c>
      <c r="BB329" s="39"/>
      <c r="BD329" s="5">
        <v>46348</v>
      </c>
      <c r="BE329" s="42">
        <f t="shared" si="81"/>
        <v>18.015571030640668</v>
      </c>
      <c r="BF329" s="22" t="str">
        <f t="shared" si="76"/>
        <v/>
      </c>
      <c r="BG329" s="43" t="str">
        <f t="shared" si="82"/>
        <v/>
      </c>
      <c r="BH329" s="17" t="str">
        <f t="shared" si="80"/>
        <v/>
      </c>
      <c r="BT329" s="39"/>
    </row>
    <row r="330" spans="2:72">
      <c r="B330" s="5">
        <v>46349</v>
      </c>
      <c r="C330" s="24">
        <f>IF([1]AIX!H331=0,"",[1]AIX!H331)</f>
        <v>13253.08</v>
      </c>
      <c r="D330" s="22" t="str">
        <f t="shared" si="73"/>
        <v/>
      </c>
      <c r="E330" s="21" t="str">
        <f>IF([2]AIX!H332=0,"",[2]AIX!H332)</f>
        <v/>
      </c>
      <c r="F330" s="17" t="str">
        <f t="shared" si="77"/>
        <v/>
      </c>
      <c r="R330" s="39"/>
      <c r="T330" s="5">
        <v>46349</v>
      </c>
      <c r="U330" s="24">
        <f>IF([1]AIX!I331=0,"",[1]AIX!I331)</f>
        <v>12983.52</v>
      </c>
      <c r="V330" s="22" t="str">
        <f t="shared" si="74"/>
        <v/>
      </c>
      <c r="W330" s="21" t="str">
        <f>IF([2]AIX!I332=0,"",[2]AIX!I332)</f>
        <v/>
      </c>
      <c r="X330" s="17" t="str">
        <f t="shared" si="78"/>
        <v/>
      </c>
      <c r="AJ330" s="39"/>
      <c r="AL330" s="5">
        <v>46349</v>
      </c>
      <c r="AM330" s="24">
        <f>IF([1]AIX!J331=0,"",[1]AIX!J331)</f>
        <v>660</v>
      </c>
      <c r="AN330" s="22" t="str">
        <f t="shared" si="75"/>
        <v/>
      </c>
      <c r="AO330" s="21" t="str">
        <f>IF([2]AIX!J332=0,"",[2]AIX!J332)</f>
        <v/>
      </c>
      <c r="AP330" s="17" t="str">
        <f t="shared" si="79"/>
        <v/>
      </c>
      <c r="BB330" s="39"/>
      <c r="BD330" s="5">
        <v>46349</v>
      </c>
      <c r="BE330" s="43">
        <f t="shared" si="81"/>
        <v>20.080424242424243</v>
      </c>
      <c r="BF330" s="22" t="str">
        <f t="shared" si="76"/>
        <v/>
      </c>
      <c r="BG330" s="41" t="str">
        <f t="shared" si="82"/>
        <v/>
      </c>
      <c r="BH330" s="17" t="str">
        <f t="shared" si="80"/>
        <v/>
      </c>
      <c r="BT330" s="39"/>
    </row>
    <row r="331" spans="2:72">
      <c r="B331" s="5">
        <v>46350</v>
      </c>
      <c r="C331" s="21">
        <f>IF([1]AIX!H332=0,"",[1]AIX!H332)</f>
        <v>8370.4500000000007</v>
      </c>
      <c r="D331" s="22" t="str">
        <f t="shared" si="73"/>
        <v/>
      </c>
      <c r="E331" s="23" t="str">
        <f>IF([2]AIX!H333=0,"",[2]AIX!H333)</f>
        <v/>
      </c>
      <c r="F331" s="17" t="str">
        <f t="shared" si="77"/>
        <v/>
      </c>
      <c r="R331" s="39"/>
      <c r="T331" s="5">
        <v>46350</v>
      </c>
      <c r="U331" s="21">
        <f>IF([1]AIX!I332=0,"",[1]AIX!I332)</f>
        <v>8180.33</v>
      </c>
      <c r="V331" s="22" t="str">
        <f t="shared" si="74"/>
        <v/>
      </c>
      <c r="W331" s="23" t="str">
        <f>IF([2]AIX!I333=0,"",[2]AIX!I333)</f>
        <v/>
      </c>
      <c r="X331" s="17" t="str">
        <f t="shared" si="78"/>
        <v/>
      </c>
      <c r="AJ331" s="39"/>
      <c r="AL331" s="5">
        <v>46350</v>
      </c>
      <c r="AM331" s="21">
        <f>IF([1]AIX!J332=0,"",[1]AIX!J332)</f>
        <v>516</v>
      </c>
      <c r="AN331" s="22" t="str">
        <f t="shared" si="75"/>
        <v/>
      </c>
      <c r="AO331" s="23" t="str">
        <f>IF([2]AIX!J333=0,"",[2]AIX!J333)</f>
        <v/>
      </c>
      <c r="AP331" s="17" t="str">
        <f t="shared" si="79"/>
        <v/>
      </c>
      <c r="BB331" s="39"/>
      <c r="BD331" s="5">
        <v>46350</v>
      </c>
      <c r="BE331" s="41">
        <f t="shared" si="81"/>
        <v>16.221802325581397</v>
      </c>
      <c r="BF331" s="22" t="str">
        <f t="shared" si="76"/>
        <v/>
      </c>
      <c r="BG331" s="42" t="str">
        <f t="shared" si="82"/>
        <v/>
      </c>
      <c r="BH331" s="17" t="str">
        <f t="shared" si="80"/>
        <v/>
      </c>
      <c r="BT331" s="39"/>
    </row>
    <row r="332" spans="2:72">
      <c r="B332" s="5">
        <v>46351</v>
      </c>
      <c r="C332" s="23">
        <f>IF([1]AIX!H333=0,"",[1]AIX!H333)</f>
        <v>7148.87</v>
      </c>
      <c r="D332" s="22" t="str">
        <f t="shared" si="73"/>
        <v/>
      </c>
      <c r="E332" s="23" t="str">
        <f>IF([2]AIX!H334=0,"",[2]AIX!H334)</f>
        <v/>
      </c>
      <c r="F332" s="17" t="str">
        <f t="shared" si="77"/>
        <v/>
      </c>
      <c r="R332" s="39"/>
      <c r="T332" s="5">
        <v>46351</v>
      </c>
      <c r="U332" s="23">
        <f>IF([1]AIX!I333=0,"",[1]AIX!I333)</f>
        <v>7011.79</v>
      </c>
      <c r="V332" s="22" t="str">
        <f t="shared" si="74"/>
        <v/>
      </c>
      <c r="W332" s="23" t="str">
        <f>IF([2]AIX!I334=0,"",[2]AIX!I334)</f>
        <v/>
      </c>
      <c r="X332" s="17" t="str">
        <f t="shared" si="78"/>
        <v/>
      </c>
      <c r="AJ332" s="39"/>
      <c r="AL332" s="5">
        <v>46351</v>
      </c>
      <c r="AM332" s="23">
        <f>IF([1]AIX!J333=0,"",[1]AIX!J333)</f>
        <v>417</v>
      </c>
      <c r="AN332" s="22" t="str">
        <f t="shared" si="75"/>
        <v/>
      </c>
      <c r="AO332" s="23" t="str">
        <f>IF([2]AIX!J334=0,"",[2]AIX!J334)</f>
        <v/>
      </c>
      <c r="AP332" s="17" t="str">
        <f t="shared" si="79"/>
        <v/>
      </c>
      <c r="BB332" s="39"/>
      <c r="BD332" s="5">
        <v>46351</v>
      </c>
      <c r="BE332" s="42">
        <f t="shared" si="81"/>
        <v>17.143573141486812</v>
      </c>
      <c r="BF332" s="22" t="str">
        <f t="shared" si="76"/>
        <v/>
      </c>
      <c r="BG332" s="42" t="str">
        <f t="shared" si="82"/>
        <v/>
      </c>
      <c r="BH332" s="17" t="str">
        <f t="shared" si="80"/>
        <v/>
      </c>
      <c r="BT332" s="39"/>
    </row>
    <row r="333" spans="2:72">
      <c r="B333" s="5">
        <v>46352</v>
      </c>
      <c r="C333" s="23">
        <f>IF([1]AIX!H334=0,"",[1]AIX!H334)</f>
        <v>10657.89</v>
      </c>
      <c r="D333" s="22" t="str">
        <f t="shared" si="73"/>
        <v/>
      </c>
      <c r="E333" s="23" t="str">
        <f>IF([2]AIX!H335=0,"",[2]AIX!H335)</f>
        <v/>
      </c>
      <c r="F333" s="17" t="str">
        <f t="shared" si="77"/>
        <v/>
      </c>
      <c r="R333" s="39"/>
      <c r="T333" s="5">
        <v>46352</v>
      </c>
      <c r="U333" s="23">
        <f>IF([1]AIX!I334=0,"",[1]AIX!I334)</f>
        <v>10428.969999999999</v>
      </c>
      <c r="V333" s="22" t="str">
        <f t="shared" si="74"/>
        <v/>
      </c>
      <c r="W333" s="23" t="str">
        <f>IF([2]AIX!I335=0,"",[2]AIX!I335)</f>
        <v/>
      </c>
      <c r="X333" s="17" t="str">
        <f t="shared" si="78"/>
        <v/>
      </c>
      <c r="AJ333" s="39"/>
      <c r="AL333" s="5">
        <v>46352</v>
      </c>
      <c r="AM333" s="23">
        <f>IF([1]AIX!J334=0,"",[1]AIX!J334)</f>
        <v>589</v>
      </c>
      <c r="AN333" s="22" t="str">
        <f t="shared" si="75"/>
        <v/>
      </c>
      <c r="AO333" s="23" t="str">
        <f>IF([2]AIX!J335=0,"",[2]AIX!J335)</f>
        <v/>
      </c>
      <c r="AP333" s="17" t="str">
        <f t="shared" si="79"/>
        <v/>
      </c>
      <c r="BB333" s="39"/>
      <c r="BD333" s="5">
        <v>46352</v>
      </c>
      <c r="BE333" s="42">
        <f t="shared" si="81"/>
        <v>18.094889643463496</v>
      </c>
      <c r="BF333" s="22" t="str">
        <f t="shared" si="76"/>
        <v/>
      </c>
      <c r="BG333" s="42" t="str">
        <f t="shared" si="82"/>
        <v/>
      </c>
      <c r="BH333" s="17" t="str">
        <f t="shared" si="80"/>
        <v/>
      </c>
      <c r="BT333" s="39"/>
    </row>
    <row r="334" spans="2:72">
      <c r="B334" s="5">
        <v>46353</v>
      </c>
      <c r="C334" s="23">
        <f>IF([1]AIX!H335=0,"",[1]AIX!H335)</f>
        <v>9328.16</v>
      </c>
      <c r="D334" s="22" t="str">
        <f t="shared" si="73"/>
        <v/>
      </c>
      <c r="E334" s="23" t="str">
        <f>IF([2]AIX!H336=0,"",[2]AIX!H336)</f>
        <v/>
      </c>
      <c r="F334" s="17" t="str">
        <f t="shared" si="77"/>
        <v/>
      </c>
      <c r="R334" s="39"/>
      <c r="T334" s="5">
        <v>46353</v>
      </c>
      <c r="U334" s="23">
        <f>IF([1]AIX!I335=0,"",[1]AIX!I335)</f>
        <v>9110.2099999999991</v>
      </c>
      <c r="V334" s="22" t="str">
        <f t="shared" si="74"/>
        <v/>
      </c>
      <c r="W334" s="23" t="str">
        <f>IF([2]AIX!I336=0,"",[2]AIX!I336)</f>
        <v/>
      </c>
      <c r="X334" s="17" t="str">
        <f t="shared" si="78"/>
        <v/>
      </c>
      <c r="AJ334" s="39"/>
      <c r="AL334" s="5">
        <v>46353</v>
      </c>
      <c r="AM334" s="23">
        <f>IF([1]AIX!J335=0,"",[1]AIX!J335)</f>
        <v>543</v>
      </c>
      <c r="AN334" s="22" t="str">
        <f t="shared" si="75"/>
        <v/>
      </c>
      <c r="AO334" s="23" t="str">
        <f>IF([2]AIX!J336=0,"",[2]AIX!J336)</f>
        <v/>
      </c>
      <c r="AP334" s="17" t="str">
        <f t="shared" si="79"/>
        <v/>
      </c>
      <c r="BB334" s="39"/>
      <c r="BD334" s="5">
        <v>46353</v>
      </c>
      <c r="BE334" s="42">
        <f t="shared" si="81"/>
        <v>17.178931860036833</v>
      </c>
      <c r="BF334" s="22" t="str">
        <f t="shared" si="76"/>
        <v/>
      </c>
      <c r="BG334" s="42" t="str">
        <f t="shared" si="82"/>
        <v/>
      </c>
      <c r="BH334" s="17" t="str">
        <f t="shared" si="80"/>
        <v/>
      </c>
      <c r="BT334" s="39"/>
    </row>
    <row r="335" spans="2:72">
      <c r="B335" s="5">
        <v>46354</v>
      </c>
      <c r="C335" s="23">
        <f>IF([1]AIX!H336=0,"",[1]AIX!H336)</f>
        <v>12667.25</v>
      </c>
      <c r="D335" s="22" t="str">
        <f t="shared" si="73"/>
        <v/>
      </c>
      <c r="E335" s="23" t="str">
        <f>IF([2]AIX!H337=0,"",[2]AIX!H337)</f>
        <v/>
      </c>
      <c r="F335" s="17" t="str">
        <f t="shared" si="77"/>
        <v/>
      </c>
      <c r="R335" s="39"/>
      <c r="T335" s="5">
        <v>46354</v>
      </c>
      <c r="U335" s="23">
        <f>IF([1]AIX!I336=0,"",[1]AIX!I336)</f>
        <v>12344.44</v>
      </c>
      <c r="V335" s="22" t="str">
        <f t="shared" si="74"/>
        <v/>
      </c>
      <c r="W335" s="23" t="str">
        <f>IF([2]AIX!I337=0,"",[2]AIX!I337)</f>
        <v/>
      </c>
      <c r="X335" s="17" t="str">
        <f t="shared" si="78"/>
        <v/>
      </c>
      <c r="AJ335" s="39"/>
      <c r="AL335" s="5">
        <v>46354</v>
      </c>
      <c r="AM335" s="23">
        <f>IF([1]AIX!J336=0,"",[1]AIX!J336)</f>
        <v>747</v>
      </c>
      <c r="AN335" s="22" t="str">
        <f t="shared" si="75"/>
        <v/>
      </c>
      <c r="AO335" s="23" t="str">
        <f>IF([2]AIX!J337=0,"",[2]AIX!J337)</f>
        <v/>
      </c>
      <c r="AP335" s="17" t="str">
        <f t="shared" si="79"/>
        <v/>
      </c>
      <c r="BB335" s="39"/>
      <c r="BD335" s="5">
        <v>46354</v>
      </c>
      <c r="BE335" s="42">
        <f t="shared" si="81"/>
        <v>16.957496653279787</v>
      </c>
      <c r="BF335" s="22" t="str">
        <f t="shared" si="76"/>
        <v/>
      </c>
      <c r="BG335" s="42" t="str">
        <f t="shared" si="82"/>
        <v/>
      </c>
      <c r="BH335" s="17" t="str">
        <f t="shared" si="80"/>
        <v/>
      </c>
      <c r="BT335" s="39"/>
    </row>
    <row r="336" spans="2:72">
      <c r="B336" s="5">
        <v>46355</v>
      </c>
      <c r="C336" s="23">
        <f>IF([1]AIX!H337=0,"",[1]AIX!H337)</f>
        <v>13771.53</v>
      </c>
      <c r="D336" s="22" t="str">
        <f t="shared" si="73"/>
        <v/>
      </c>
      <c r="E336" s="24" t="str">
        <f>IF([2]AIX!H338=0,"",[2]AIX!H338)</f>
        <v/>
      </c>
      <c r="F336" s="17" t="str">
        <f t="shared" si="77"/>
        <v/>
      </c>
      <c r="R336" s="39"/>
      <c r="T336" s="5">
        <v>46355</v>
      </c>
      <c r="U336" s="23">
        <f>IF([1]AIX!I337=0,"",[1]AIX!I337)</f>
        <v>13431.89</v>
      </c>
      <c r="V336" s="22" t="str">
        <f t="shared" si="74"/>
        <v/>
      </c>
      <c r="W336" s="24" t="str">
        <f>IF([2]AIX!I338=0,"",[2]AIX!I338)</f>
        <v/>
      </c>
      <c r="X336" s="17" t="str">
        <f t="shared" si="78"/>
        <v/>
      </c>
      <c r="AJ336" s="39"/>
      <c r="AL336" s="5">
        <v>46355</v>
      </c>
      <c r="AM336" s="23">
        <f>IF([1]AIX!J337=0,"",[1]AIX!J337)</f>
        <v>758</v>
      </c>
      <c r="AN336" s="22" t="str">
        <f t="shared" si="75"/>
        <v/>
      </c>
      <c r="AO336" s="24" t="str">
        <f>IF([2]AIX!J338=0,"",[2]AIX!J338)</f>
        <v/>
      </c>
      <c r="AP336" s="17" t="str">
        <f t="shared" si="79"/>
        <v/>
      </c>
      <c r="BB336" s="39"/>
      <c r="BD336" s="5">
        <v>46355</v>
      </c>
      <c r="BE336" s="42">
        <f t="shared" si="81"/>
        <v>18.168245382585752</v>
      </c>
      <c r="BF336" s="22" t="str">
        <f t="shared" si="76"/>
        <v/>
      </c>
      <c r="BG336" s="43" t="str">
        <f t="shared" si="82"/>
        <v/>
      </c>
      <c r="BH336" s="17" t="str">
        <f t="shared" si="80"/>
        <v/>
      </c>
      <c r="BT336" s="39"/>
    </row>
    <row r="337" spans="2:72">
      <c r="B337" s="5">
        <v>46356</v>
      </c>
      <c r="C337" s="24">
        <f>IF([1]AIX!H338=0,"",[1]AIX!H338)</f>
        <v>14813.95</v>
      </c>
      <c r="D337" s="22" t="str">
        <f t="shared" si="73"/>
        <v/>
      </c>
      <c r="E337" s="21" t="str">
        <f>IF([2]AIX!H339=0,"",[2]AIX!H339)</f>
        <v/>
      </c>
      <c r="F337" s="17" t="str">
        <f t="shared" si="77"/>
        <v/>
      </c>
      <c r="R337" s="39"/>
      <c r="T337" s="5">
        <v>46356</v>
      </c>
      <c r="U337" s="24">
        <f>IF([1]AIX!I338=0,"",[1]AIX!I338)</f>
        <v>14408.3</v>
      </c>
      <c r="V337" s="22" t="str">
        <f t="shared" si="74"/>
        <v/>
      </c>
      <c r="W337" s="21" t="str">
        <f>IF([2]AIX!I339=0,"",[2]AIX!I339)</f>
        <v/>
      </c>
      <c r="X337" s="17" t="str">
        <f t="shared" si="78"/>
        <v/>
      </c>
      <c r="AJ337" s="39"/>
      <c r="AL337" s="5">
        <v>46356</v>
      </c>
      <c r="AM337" s="24">
        <f>IF([1]AIX!J338=0,"",[1]AIX!J338)</f>
        <v>714</v>
      </c>
      <c r="AN337" s="22" t="str">
        <f t="shared" si="75"/>
        <v/>
      </c>
      <c r="AO337" s="21" t="str">
        <f>IF([2]AIX!J339=0,"",[2]AIX!J339)</f>
        <v/>
      </c>
      <c r="AP337" s="17" t="str">
        <f t="shared" si="79"/>
        <v/>
      </c>
      <c r="BB337" s="39"/>
      <c r="BD337" s="5">
        <v>46356</v>
      </c>
      <c r="BE337" s="43">
        <f t="shared" si="81"/>
        <v>20.747829131652662</v>
      </c>
      <c r="BF337" s="22" t="str">
        <f t="shared" si="76"/>
        <v/>
      </c>
      <c r="BG337" s="41" t="str">
        <f t="shared" si="82"/>
        <v/>
      </c>
      <c r="BH337" s="17" t="str">
        <f t="shared" si="80"/>
        <v/>
      </c>
      <c r="BT337" s="39"/>
    </row>
    <row r="338" spans="2:72">
      <c r="B338" s="5">
        <v>46357</v>
      </c>
      <c r="C338" s="21">
        <f>IF([1]AIX!H339=0,"",[1]AIX!H339)</f>
        <v>6976.1</v>
      </c>
      <c r="D338" s="22" t="str">
        <f t="shared" si="73"/>
        <v/>
      </c>
      <c r="E338" s="23" t="str">
        <f>IF([2]AIX!H340=0,"",[2]AIX!H340)</f>
        <v/>
      </c>
      <c r="F338" s="17" t="str">
        <f t="shared" si="77"/>
        <v/>
      </c>
      <c r="R338" s="39"/>
      <c r="T338" s="5">
        <v>46357</v>
      </c>
      <c r="U338" s="21">
        <f>IF([1]AIX!I339=0,"",[1]AIX!I339)</f>
        <v>6798.58</v>
      </c>
      <c r="V338" s="22" t="str">
        <f t="shared" si="74"/>
        <v/>
      </c>
      <c r="W338" s="23" t="str">
        <f>IF([2]AIX!I340=0,"",[2]AIX!I340)</f>
        <v/>
      </c>
      <c r="X338" s="17" t="str">
        <f t="shared" si="78"/>
        <v/>
      </c>
      <c r="AJ338" s="39"/>
      <c r="AL338" s="5">
        <v>46357</v>
      </c>
      <c r="AM338" s="21">
        <f>IF([1]AIX!J339=0,"",[1]AIX!J339)</f>
        <v>429</v>
      </c>
      <c r="AN338" s="22" t="str">
        <f t="shared" si="75"/>
        <v/>
      </c>
      <c r="AO338" s="23" t="str">
        <f>IF([2]AIX!J340=0,"",[2]AIX!J340)</f>
        <v/>
      </c>
      <c r="AP338" s="17" t="str">
        <f t="shared" si="79"/>
        <v/>
      </c>
      <c r="BB338" s="39"/>
      <c r="BD338" s="5">
        <v>46357</v>
      </c>
      <c r="BE338" s="41">
        <f t="shared" si="81"/>
        <v>16.261305361305361</v>
      </c>
      <c r="BF338" s="22" t="str">
        <f t="shared" si="76"/>
        <v/>
      </c>
      <c r="BG338" s="42" t="str">
        <f t="shared" si="82"/>
        <v/>
      </c>
      <c r="BH338" s="17" t="str">
        <f t="shared" si="80"/>
        <v/>
      </c>
      <c r="BT338" s="39"/>
    </row>
    <row r="339" spans="2:72">
      <c r="B339" s="5">
        <v>46358</v>
      </c>
      <c r="C339" s="23">
        <f>IF([1]AIX!H340=0,"",[1]AIX!H340)</f>
        <v>8422.91</v>
      </c>
      <c r="D339" s="22" t="str">
        <f t="shared" si="73"/>
        <v/>
      </c>
      <c r="E339" s="23" t="str">
        <f>IF([2]AIX!H341=0,"",[2]AIX!H341)</f>
        <v/>
      </c>
      <c r="F339" s="17" t="str">
        <f t="shared" si="77"/>
        <v/>
      </c>
      <c r="R339" s="39"/>
      <c r="T339" s="5">
        <v>46358</v>
      </c>
      <c r="U339" s="23">
        <f>IF([1]AIX!I340=0,"",[1]AIX!I340)</f>
        <v>8150.74</v>
      </c>
      <c r="V339" s="22" t="str">
        <f t="shared" si="74"/>
        <v/>
      </c>
      <c r="W339" s="23" t="str">
        <f>IF([2]AIX!I341=0,"",[2]AIX!I341)</f>
        <v/>
      </c>
      <c r="X339" s="17" t="str">
        <f t="shared" si="78"/>
        <v/>
      </c>
      <c r="AJ339" s="39"/>
      <c r="AL339" s="5">
        <v>46358</v>
      </c>
      <c r="AM339" s="23">
        <f>IF([1]AIX!J340=0,"",[1]AIX!J340)</f>
        <v>453</v>
      </c>
      <c r="AN339" s="22" t="str">
        <f t="shared" si="75"/>
        <v/>
      </c>
      <c r="AO339" s="23" t="str">
        <f>IF([2]AIX!J341=0,"",[2]AIX!J341)</f>
        <v/>
      </c>
      <c r="AP339" s="17" t="str">
        <f t="shared" si="79"/>
        <v/>
      </c>
      <c r="BB339" s="39"/>
      <c r="BD339" s="5">
        <v>46358</v>
      </c>
      <c r="BE339" s="42">
        <f t="shared" si="81"/>
        <v>18.593620309050774</v>
      </c>
      <c r="BF339" s="22" t="str">
        <f t="shared" si="76"/>
        <v/>
      </c>
      <c r="BG339" s="42" t="str">
        <f t="shared" si="82"/>
        <v/>
      </c>
      <c r="BH339" s="17" t="str">
        <f t="shared" si="80"/>
        <v/>
      </c>
      <c r="BT339" s="39"/>
    </row>
    <row r="340" spans="2:72">
      <c r="B340" s="5">
        <v>46359</v>
      </c>
      <c r="C340" s="23">
        <f>IF([1]AIX!H341=0,"",[1]AIX!H341)</f>
        <v>11535.12</v>
      </c>
      <c r="D340" s="22" t="str">
        <f t="shared" si="73"/>
        <v/>
      </c>
      <c r="E340" s="23" t="str">
        <f>IF([2]AIX!H342=0,"",[2]AIX!H342)</f>
        <v/>
      </c>
      <c r="F340" s="17" t="str">
        <f t="shared" si="77"/>
        <v/>
      </c>
      <c r="R340" s="39"/>
      <c r="T340" s="5">
        <v>46359</v>
      </c>
      <c r="U340" s="23">
        <f>IF([1]AIX!I341=0,"",[1]AIX!I341)</f>
        <v>11216.76</v>
      </c>
      <c r="V340" s="22" t="str">
        <f t="shared" si="74"/>
        <v/>
      </c>
      <c r="W340" s="23" t="str">
        <f>IF([2]AIX!I342=0,"",[2]AIX!I342)</f>
        <v/>
      </c>
      <c r="X340" s="17" t="str">
        <f t="shared" si="78"/>
        <v/>
      </c>
      <c r="AJ340" s="39"/>
      <c r="AL340" s="5">
        <v>46359</v>
      </c>
      <c r="AM340" s="23">
        <f>IF([1]AIX!J341=0,"",[1]AIX!J341)</f>
        <v>645</v>
      </c>
      <c r="AN340" s="22" t="str">
        <f t="shared" si="75"/>
        <v/>
      </c>
      <c r="AO340" s="23" t="str">
        <f>IF([2]AIX!J342=0,"",[2]AIX!J342)</f>
        <v/>
      </c>
      <c r="AP340" s="17" t="str">
        <f t="shared" si="79"/>
        <v/>
      </c>
      <c r="BB340" s="39"/>
      <c r="BD340" s="5">
        <v>46359</v>
      </c>
      <c r="BE340" s="42">
        <f t="shared" si="81"/>
        <v>17.883906976744186</v>
      </c>
      <c r="BF340" s="22" t="str">
        <f t="shared" si="76"/>
        <v/>
      </c>
      <c r="BG340" s="42" t="str">
        <f t="shared" si="82"/>
        <v/>
      </c>
      <c r="BH340" s="17" t="str">
        <f t="shared" si="80"/>
        <v/>
      </c>
      <c r="BT340" s="39"/>
    </row>
    <row r="341" spans="2:72">
      <c r="B341" s="5">
        <v>46360</v>
      </c>
      <c r="C341" s="23">
        <f>IF([1]AIX!H342=0,"",[1]AIX!H342)</f>
        <v>8598.07</v>
      </c>
      <c r="D341" s="22" t="str">
        <f t="shared" si="73"/>
        <v/>
      </c>
      <c r="E341" s="23" t="str">
        <f>IF([2]AIX!H343=0,"",[2]AIX!H343)</f>
        <v/>
      </c>
      <c r="F341" s="17" t="str">
        <f t="shared" si="77"/>
        <v/>
      </c>
      <c r="R341" s="39"/>
      <c r="T341" s="5">
        <v>46360</v>
      </c>
      <c r="U341" s="23">
        <f>IF([1]AIX!I342=0,"",[1]AIX!I342)</f>
        <v>8373.75</v>
      </c>
      <c r="V341" s="22" t="str">
        <f t="shared" si="74"/>
        <v/>
      </c>
      <c r="W341" s="23" t="str">
        <f>IF([2]AIX!I343=0,"",[2]AIX!I343)</f>
        <v/>
      </c>
      <c r="X341" s="17" t="str">
        <f t="shared" si="78"/>
        <v/>
      </c>
      <c r="AJ341" s="39"/>
      <c r="AL341" s="5">
        <v>46360</v>
      </c>
      <c r="AM341" s="23">
        <f>IF([1]AIX!J342=0,"",[1]AIX!J342)</f>
        <v>506</v>
      </c>
      <c r="AN341" s="22" t="str">
        <f t="shared" si="75"/>
        <v/>
      </c>
      <c r="AO341" s="23" t="str">
        <f>IF([2]AIX!J343=0,"",[2]AIX!J343)</f>
        <v/>
      </c>
      <c r="AP341" s="17" t="str">
        <f t="shared" si="79"/>
        <v/>
      </c>
      <c r="BB341" s="39"/>
      <c r="BD341" s="5">
        <v>46360</v>
      </c>
      <c r="BE341" s="42">
        <f t="shared" si="81"/>
        <v>16.992233201581026</v>
      </c>
      <c r="BF341" s="22" t="str">
        <f t="shared" si="76"/>
        <v/>
      </c>
      <c r="BG341" s="42" t="str">
        <f t="shared" si="82"/>
        <v/>
      </c>
      <c r="BH341" s="17" t="str">
        <f t="shared" si="80"/>
        <v/>
      </c>
      <c r="BT341" s="39"/>
    </row>
    <row r="342" spans="2:72">
      <c r="B342" s="5">
        <v>46361</v>
      </c>
      <c r="C342" s="23">
        <f>IF([1]AIX!H343=0,"",[1]AIX!H343)</f>
        <v>13124.15</v>
      </c>
      <c r="D342" s="22" t="str">
        <f t="shared" si="73"/>
        <v/>
      </c>
      <c r="E342" s="23" t="str">
        <f>IF([2]AIX!H344=0,"",[2]AIX!H344)</f>
        <v/>
      </c>
      <c r="F342" s="17" t="str">
        <f t="shared" si="77"/>
        <v/>
      </c>
      <c r="R342" s="39"/>
      <c r="T342" s="5">
        <v>46361</v>
      </c>
      <c r="U342" s="23">
        <f>IF([1]AIX!I343=0,"",[1]AIX!I343)</f>
        <v>12771.7</v>
      </c>
      <c r="V342" s="22" t="str">
        <f t="shared" si="74"/>
        <v/>
      </c>
      <c r="W342" s="23" t="str">
        <f>IF([2]AIX!I344=0,"",[2]AIX!I344)</f>
        <v/>
      </c>
      <c r="X342" s="17" t="str">
        <f t="shared" si="78"/>
        <v/>
      </c>
      <c r="AJ342" s="39"/>
      <c r="AL342" s="5">
        <v>46361</v>
      </c>
      <c r="AM342" s="23">
        <f>IF([1]AIX!J343=0,"",[1]AIX!J343)</f>
        <v>737</v>
      </c>
      <c r="AN342" s="22" t="str">
        <f t="shared" si="75"/>
        <v/>
      </c>
      <c r="AO342" s="23" t="str">
        <f>IF([2]AIX!J344=0,"",[2]AIX!J344)</f>
        <v/>
      </c>
      <c r="AP342" s="17" t="str">
        <f t="shared" si="79"/>
        <v/>
      </c>
      <c r="BB342" s="39"/>
      <c r="BD342" s="5">
        <v>46361</v>
      </c>
      <c r="BE342" s="42">
        <f t="shared" si="81"/>
        <v>17.807530529172318</v>
      </c>
      <c r="BF342" s="22" t="str">
        <f t="shared" si="76"/>
        <v/>
      </c>
      <c r="BG342" s="42" t="str">
        <f t="shared" si="82"/>
        <v/>
      </c>
      <c r="BH342" s="17" t="str">
        <f t="shared" si="80"/>
        <v/>
      </c>
      <c r="BT342" s="39"/>
    </row>
    <row r="343" spans="2:72">
      <c r="B343" s="5">
        <v>46362</v>
      </c>
      <c r="C343" s="23">
        <f>IF([1]AIX!H344=0,"",[1]AIX!H344)</f>
        <v>14721.47</v>
      </c>
      <c r="D343" s="22" t="str">
        <f t="shared" si="73"/>
        <v/>
      </c>
      <c r="E343" s="24" t="str">
        <f>IF([2]AIX!H345=0,"",[2]AIX!H345)</f>
        <v/>
      </c>
      <c r="F343" s="17" t="str">
        <f t="shared" si="77"/>
        <v/>
      </c>
      <c r="R343" s="39"/>
      <c r="T343" s="5">
        <v>46362</v>
      </c>
      <c r="U343" s="23">
        <f>IF([1]AIX!I344=0,"",[1]AIX!I344)</f>
        <v>14246.55</v>
      </c>
      <c r="V343" s="22" t="str">
        <f t="shared" si="74"/>
        <v/>
      </c>
      <c r="W343" s="24" t="str">
        <f>IF([2]AIX!I345=0,"",[2]AIX!I345)</f>
        <v/>
      </c>
      <c r="X343" s="17" t="str">
        <f t="shared" si="78"/>
        <v/>
      </c>
      <c r="AJ343" s="39"/>
      <c r="AL343" s="5">
        <v>46362</v>
      </c>
      <c r="AM343" s="23">
        <f>IF([1]AIX!J344=0,"",[1]AIX!J344)</f>
        <v>809</v>
      </c>
      <c r="AN343" s="22" t="str">
        <f t="shared" si="75"/>
        <v/>
      </c>
      <c r="AO343" s="24" t="str">
        <f>IF([2]AIX!J345=0,"",[2]AIX!J345)</f>
        <v/>
      </c>
      <c r="AP343" s="17" t="str">
        <f t="shared" si="79"/>
        <v/>
      </c>
      <c r="BB343" s="39"/>
      <c r="BD343" s="5">
        <v>46362</v>
      </c>
      <c r="BE343" s="42">
        <f t="shared" si="81"/>
        <v>18.197119901112483</v>
      </c>
      <c r="BF343" s="22" t="str">
        <f t="shared" si="76"/>
        <v/>
      </c>
      <c r="BG343" s="43" t="str">
        <f t="shared" si="82"/>
        <v/>
      </c>
      <c r="BH343" s="17" t="str">
        <f t="shared" si="80"/>
        <v/>
      </c>
      <c r="BT343" s="39"/>
    </row>
    <row r="344" spans="2:72">
      <c r="B344" s="5">
        <v>46363</v>
      </c>
      <c r="C344" s="24">
        <f>IF([1]AIX!H345=0,"",[1]AIX!H345)</f>
        <v>13022.63</v>
      </c>
      <c r="D344" s="22" t="str">
        <f t="shared" si="73"/>
        <v/>
      </c>
      <c r="E344" s="21" t="str">
        <f>IF([2]AIX!H346=0,"",[2]AIX!H346)</f>
        <v/>
      </c>
      <c r="F344" s="17" t="str">
        <f t="shared" si="77"/>
        <v/>
      </c>
      <c r="R344" s="39"/>
      <c r="T344" s="5">
        <v>46363</v>
      </c>
      <c r="U344" s="24">
        <f>IF([1]AIX!I345=0,"",[1]AIX!I345)</f>
        <v>12571.96</v>
      </c>
      <c r="V344" s="22" t="str">
        <f t="shared" si="74"/>
        <v/>
      </c>
      <c r="W344" s="21" t="str">
        <f>IF([2]AIX!I346=0,"",[2]AIX!I346)</f>
        <v/>
      </c>
      <c r="X344" s="17" t="str">
        <f t="shared" si="78"/>
        <v/>
      </c>
      <c r="AJ344" s="39"/>
      <c r="AL344" s="5">
        <v>46363</v>
      </c>
      <c r="AM344" s="24">
        <f>IF([1]AIX!J345=0,"",[1]AIX!J345)</f>
        <v>630</v>
      </c>
      <c r="AN344" s="22" t="str">
        <f t="shared" si="75"/>
        <v/>
      </c>
      <c r="AO344" s="21" t="str">
        <f>IF([2]AIX!J346=0,"",[2]AIX!J346)</f>
        <v/>
      </c>
      <c r="AP344" s="17" t="str">
        <f t="shared" si="79"/>
        <v/>
      </c>
      <c r="BB344" s="39"/>
      <c r="BD344" s="5">
        <v>46363</v>
      </c>
      <c r="BE344" s="43">
        <f t="shared" si="81"/>
        <v>20.670841269841269</v>
      </c>
      <c r="BF344" s="22" t="str">
        <f t="shared" si="76"/>
        <v/>
      </c>
      <c r="BG344" s="41" t="str">
        <f t="shared" si="82"/>
        <v/>
      </c>
      <c r="BH344" s="17" t="str">
        <f t="shared" si="80"/>
        <v/>
      </c>
      <c r="BT344" s="39"/>
    </row>
    <row r="345" spans="2:72">
      <c r="B345" s="5">
        <v>46364</v>
      </c>
      <c r="C345" s="21">
        <f>IF([1]AIX!H346=0,"",[1]AIX!H346)</f>
        <v>7637.59</v>
      </c>
      <c r="D345" s="22" t="str">
        <f t="shared" si="73"/>
        <v/>
      </c>
      <c r="E345" s="23" t="str">
        <f>IF([2]AIX!H347=0,"",[2]AIX!H347)</f>
        <v/>
      </c>
      <c r="F345" s="17" t="str">
        <f t="shared" si="77"/>
        <v/>
      </c>
      <c r="R345" s="39"/>
      <c r="T345" s="5">
        <v>46364</v>
      </c>
      <c r="U345" s="21">
        <f>IF([1]AIX!I346=0,"",[1]AIX!I346)</f>
        <v>7389.93</v>
      </c>
      <c r="V345" s="22" t="str">
        <f t="shared" si="74"/>
        <v/>
      </c>
      <c r="W345" s="23" t="str">
        <f>IF([2]AIX!I347=0,"",[2]AIX!I347)</f>
        <v/>
      </c>
      <c r="X345" s="17" t="str">
        <f t="shared" si="78"/>
        <v/>
      </c>
      <c r="AJ345" s="39"/>
      <c r="AL345" s="5">
        <v>46364</v>
      </c>
      <c r="AM345" s="21">
        <f>IF([1]AIX!J346=0,"",[1]AIX!J346)</f>
        <v>475</v>
      </c>
      <c r="AN345" s="22" t="str">
        <f t="shared" si="75"/>
        <v/>
      </c>
      <c r="AO345" s="23" t="str">
        <f>IF([2]AIX!J347=0,"",[2]AIX!J347)</f>
        <v/>
      </c>
      <c r="AP345" s="17" t="str">
        <f t="shared" si="79"/>
        <v/>
      </c>
      <c r="BB345" s="39"/>
      <c r="BD345" s="5">
        <v>46364</v>
      </c>
      <c r="BE345" s="41">
        <f t="shared" si="81"/>
        <v>16.079136842105264</v>
      </c>
      <c r="BF345" s="22" t="str">
        <f t="shared" si="76"/>
        <v/>
      </c>
      <c r="BG345" s="42" t="str">
        <f t="shared" si="82"/>
        <v/>
      </c>
      <c r="BH345" s="17" t="str">
        <f t="shared" si="80"/>
        <v/>
      </c>
      <c r="BT345" s="39"/>
    </row>
    <row r="346" spans="2:72">
      <c r="B346" s="5">
        <v>46365</v>
      </c>
      <c r="C346" s="23">
        <f>IF([1]AIX!H347=0,"",[1]AIX!H347)</f>
        <v>9744.8700000000008</v>
      </c>
      <c r="D346" s="22" t="str">
        <f t="shared" si="73"/>
        <v/>
      </c>
      <c r="E346" s="23" t="str">
        <f>IF([2]AIX!H348=0,"",[2]AIX!H348)</f>
        <v/>
      </c>
      <c r="F346" s="17" t="str">
        <f t="shared" si="77"/>
        <v/>
      </c>
      <c r="R346" s="39"/>
      <c r="T346" s="5">
        <v>46365</v>
      </c>
      <c r="U346" s="23">
        <f>IF([1]AIX!I347=0,"",[1]AIX!I347)</f>
        <v>9480.23</v>
      </c>
      <c r="V346" s="22" t="str">
        <f t="shared" si="74"/>
        <v/>
      </c>
      <c r="W346" s="23" t="str">
        <f>IF([2]AIX!I348=0,"",[2]AIX!I348)</f>
        <v/>
      </c>
      <c r="X346" s="17" t="str">
        <f t="shared" si="78"/>
        <v/>
      </c>
      <c r="AJ346" s="39"/>
      <c r="AL346" s="5">
        <v>46365</v>
      </c>
      <c r="AM346" s="23">
        <f>IF([1]AIX!J347=0,"",[1]AIX!J347)</f>
        <v>538</v>
      </c>
      <c r="AN346" s="22" t="str">
        <f t="shared" si="75"/>
        <v/>
      </c>
      <c r="AO346" s="23" t="str">
        <f>IF([2]AIX!J348=0,"",[2]AIX!J348)</f>
        <v/>
      </c>
      <c r="AP346" s="17" t="str">
        <f t="shared" si="79"/>
        <v/>
      </c>
      <c r="BB346" s="39"/>
      <c r="BD346" s="5">
        <v>46365</v>
      </c>
      <c r="BE346" s="42">
        <f t="shared" si="81"/>
        <v>18.113141263940523</v>
      </c>
      <c r="BF346" s="22" t="str">
        <f t="shared" si="76"/>
        <v/>
      </c>
      <c r="BG346" s="42" t="str">
        <f t="shared" si="82"/>
        <v/>
      </c>
      <c r="BH346" s="17" t="str">
        <f t="shared" si="80"/>
        <v/>
      </c>
      <c r="BT346" s="39"/>
    </row>
    <row r="347" spans="2:72">
      <c r="B347" s="5">
        <v>46366</v>
      </c>
      <c r="C347" s="23">
        <f>IF([1]AIX!H348=0,"",[1]AIX!H348)</f>
        <v>12668.72</v>
      </c>
      <c r="D347" s="22" t="str">
        <f t="shared" si="73"/>
        <v/>
      </c>
      <c r="E347" s="23" t="str">
        <f>IF([2]AIX!H349=0,"",[2]AIX!H349)</f>
        <v/>
      </c>
      <c r="F347" s="17" t="str">
        <f t="shared" si="77"/>
        <v/>
      </c>
      <c r="R347" s="39"/>
      <c r="T347" s="5">
        <v>46366</v>
      </c>
      <c r="U347" s="23">
        <f>IF([1]AIX!I348=0,"",[1]AIX!I348)</f>
        <v>11981.37</v>
      </c>
      <c r="V347" s="22" t="str">
        <f t="shared" si="74"/>
        <v/>
      </c>
      <c r="W347" s="23" t="str">
        <f>IF([2]AIX!I349=0,"",[2]AIX!I349)</f>
        <v/>
      </c>
      <c r="X347" s="17" t="str">
        <f t="shared" si="78"/>
        <v/>
      </c>
      <c r="AJ347" s="39"/>
      <c r="AL347" s="5">
        <v>46366</v>
      </c>
      <c r="AM347" s="23">
        <f>IF([1]AIX!J348=0,"",[1]AIX!J348)</f>
        <v>670</v>
      </c>
      <c r="AN347" s="22" t="str">
        <f t="shared" si="75"/>
        <v/>
      </c>
      <c r="AO347" s="23" t="str">
        <f>IF([2]AIX!J349=0,"",[2]AIX!J349)</f>
        <v/>
      </c>
      <c r="AP347" s="17" t="str">
        <f t="shared" si="79"/>
        <v/>
      </c>
      <c r="BB347" s="39"/>
      <c r="BD347" s="5">
        <v>46366</v>
      </c>
      <c r="BE347" s="42">
        <f t="shared" si="81"/>
        <v>18.908537313432834</v>
      </c>
      <c r="BF347" s="22" t="str">
        <f t="shared" si="76"/>
        <v/>
      </c>
      <c r="BG347" s="42" t="str">
        <f t="shared" si="82"/>
        <v/>
      </c>
      <c r="BH347" s="17" t="str">
        <f t="shared" si="80"/>
        <v/>
      </c>
      <c r="BT347" s="39"/>
    </row>
    <row r="348" spans="2:72">
      <c r="B348" s="5">
        <v>46367</v>
      </c>
      <c r="C348" s="23">
        <f>IF([1]AIX!H349=0,"",[1]AIX!H349)</f>
        <v>9325.41</v>
      </c>
      <c r="D348" s="22" t="str">
        <f t="shared" si="73"/>
        <v/>
      </c>
      <c r="E348" s="23" t="str">
        <f>IF([2]AIX!H350=0,"",[2]AIX!H350)</f>
        <v/>
      </c>
      <c r="F348" s="17" t="str">
        <f t="shared" si="77"/>
        <v/>
      </c>
      <c r="R348" s="39"/>
      <c r="T348" s="5">
        <v>46367</v>
      </c>
      <c r="U348" s="23">
        <f>IF([1]AIX!I349=0,"",[1]AIX!I349)</f>
        <v>9119.0300000000007</v>
      </c>
      <c r="V348" s="22" t="str">
        <f t="shared" si="74"/>
        <v/>
      </c>
      <c r="W348" s="23" t="str">
        <f>IF([2]AIX!I350=0,"",[2]AIX!I350)</f>
        <v/>
      </c>
      <c r="X348" s="17" t="str">
        <f t="shared" si="78"/>
        <v/>
      </c>
      <c r="AJ348" s="39"/>
      <c r="AL348" s="5">
        <v>46367</v>
      </c>
      <c r="AM348" s="23">
        <f>IF([1]AIX!J349=0,"",[1]AIX!J349)</f>
        <v>558</v>
      </c>
      <c r="AN348" s="22" t="str">
        <f t="shared" si="75"/>
        <v/>
      </c>
      <c r="AO348" s="23" t="str">
        <f>IF([2]AIX!J350=0,"",[2]AIX!J350)</f>
        <v/>
      </c>
      <c r="AP348" s="17" t="str">
        <f t="shared" si="79"/>
        <v/>
      </c>
      <c r="BB348" s="39"/>
      <c r="BD348" s="5">
        <v>46367</v>
      </c>
      <c r="BE348" s="42">
        <f t="shared" si="81"/>
        <v>16.712204301075268</v>
      </c>
      <c r="BF348" s="22" t="str">
        <f t="shared" si="76"/>
        <v/>
      </c>
      <c r="BG348" s="42" t="str">
        <f t="shared" si="82"/>
        <v/>
      </c>
      <c r="BH348" s="17" t="str">
        <f t="shared" si="80"/>
        <v/>
      </c>
      <c r="BT348" s="39"/>
    </row>
    <row r="349" spans="2:72">
      <c r="B349" s="5">
        <v>46368</v>
      </c>
      <c r="C349" s="23">
        <f>IF([1]AIX!H350=0,"",[1]AIX!H350)</f>
        <v>13433.35</v>
      </c>
      <c r="D349" s="22" t="str">
        <f t="shared" si="73"/>
        <v/>
      </c>
      <c r="E349" s="23" t="str">
        <f>IF([2]AIX!H351=0,"",[2]AIX!H351)</f>
        <v/>
      </c>
      <c r="F349" s="17" t="str">
        <f t="shared" si="77"/>
        <v/>
      </c>
      <c r="R349" s="39"/>
      <c r="T349" s="5">
        <v>46368</v>
      </c>
      <c r="U349" s="23">
        <f>IF([1]AIX!I350=0,"",[1]AIX!I350)</f>
        <v>13104.63</v>
      </c>
      <c r="V349" s="22" t="str">
        <f t="shared" si="74"/>
        <v/>
      </c>
      <c r="W349" s="23" t="str">
        <f>IF([2]AIX!I351=0,"",[2]AIX!I351)</f>
        <v/>
      </c>
      <c r="X349" s="17" t="str">
        <f t="shared" si="78"/>
        <v/>
      </c>
      <c r="AJ349" s="39"/>
      <c r="AL349" s="5">
        <v>46368</v>
      </c>
      <c r="AM349" s="23">
        <f>IF([1]AIX!J350=0,"",[1]AIX!J350)</f>
        <v>805</v>
      </c>
      <c r="AN349" s="22" t="str">
        <f t="shared" si="75"/>
        <v/>
      </c>
      <c r="AO349" s="23" t="str">
        <f>IF([2]AIX!J351=0,"",[2]AIX!J351)</f>
        <v/>
      </c>
      <c r="AP349" s="17" t="str">
        <f t="shared" si="79"/>
        <v/>
      </c>
      <c r="BB349" s="39"/>
      <c r="BD349" s="5">
        <v>46368</v>
      </c>
      <c r="BE349" s="42">
        <f t="shared" si="81"/>
        <v>16.687391304347827</v>
      </c>
      <c r="BF349" s="22" t="str">
        <f t="shared" si="76"/>
        <v/>
      </c>
      <c r="BG349" s="42" t="str">
        <f t="shared" si="82"/>
        <v/>
      </c>
      <c r="BH349" s="17" t="str">
        <f t="shared" si="80"/>
        <v/>
      </c>
      <c r="BT349" s="39"/>
    </row>
    <row r="350" spans="2:72">
      <c r="B350" s="5">
        <v>46369</v>
      </c>
      <c r="C350" s="23">
        <f>IF([1]AIX!H351=0,"",[1]AIX!H351)</f>
        <v>16288.17</v>
      </c>
      <c r="D350" s="22" t="str">
        <f t="shared" si="73"/>
        <v/>
      </c>
      <c r="E350" s="24" t="str">
        <f>IF([2]AIX!H352=0,"",[2]AIX!H352)</f>
        <v/>
      </c>
      <c r="F350" s="17" t="str">
        <f t="shared" si="77"/>
        <v/>
      </c>
      <c r="R350" s="39"/>
      <c r="T350" s="5">
        <v>46369</v>
      </c>
      <c r="U350" s="23">
        <f>IF([1]AIX!I351=0,"",[1]AIX!I351)</f>
        <v>15839.13</v>
      </c>
      <c r="V350" s="22" t="str">
        <f t="shared" si="74"/>
        <v/>
      </c>
      <c r="W350" s="24" t="str">
        <f>IF([2]AIX!I352=0,"",[2]AIX!I352)</f>
        <v/>
      </c>
      <c r="X350" s="17" t="str">
        <f t="shared" si="78"/>
        <v/>
      </c>
      <c r="AJ350" s="39"/>
      <c r="AL350" s="5">
        <v>46369</v>
      </c>
      <c r="AM350" s="23">
        <f>IF([1]AIX!J351=0,"",[1]AIX!J351)</f>
        <v>827</v>
      </c>
      <c r="AN350" s="22" t="str">
        <f t="shared" si="75"/>
        <v/>
      </c>
      <c r="AO350" s="24" t="str">
        <f>IF([2]AIX!J352=0,"",[2]AIX!J352)</f>
        <v/>
      </c>
      <c r="AP350" s="17" t="str">
        <f t="shared" si="79"/>
        <v/>
      </c>
      <c r="BB350" s="39"/>
      <c r="BD350" s="5">
        <v>46369</v>
      </c>
      <c r="BE350" s="42">
        <f t="shared" si="81"/>
        <v>19.695489721886336</v>
      </c>
      <c r="BF350" s="22" t="str">
        <f t="shared" si="76"/>
        <v/>
      </c>
      <c r="BG350" s="43" t="str">
        <f t="shared" si="82"/>
        <v/>
      </c>
      <c r="BH350" s="17" t="str">
        <f t="shared" si="80"/>
        <v/>
      </c>
      <c r="BT350" s="39"/>
    </row>
    <row r="351" spans="2:72">
      <c r="B351" s="5">
        <v>46370</v>
      </c>
      <c r="C351" s="24">
        <f>IF([1]AIX!H352=0,"",[1]AIX!H352)</f>
        <v>15987.18</v>
      </c>
      <c r="D351" s="22" t="str">
        <f t="shared" si="73"/>
        <v/>
      </c>
      <c r="E351" s="21" t="str">
        <f>IF([2]AIX!H353=0,"",[2]AIX!H353)</f>
        <v/>
      </c>
      <c r="F351" s="17" t="str">
        <f t="shared" si="77"/>
        <v/>
      </c>
      <c r="R351" s="39"/>
      <c r="T351" s="5">
        <v>46370</v>
      </c>
      <c r="U351" s="24">
        <f>IF([1]AIX!I352=0,"",[1]AIX!I352)</f>
        <v>15510.38</v>
      </c>
      <c r="V351" s="22" t="str">
        <f t="shared" si="74"/>
        <v/>
      </c>
      <c r="W351" s="21" t="str">
        <f>IF([2]AIX!I353=0,"",[2]AIX!I353)</f>
        <v/>
      </c>
      <c r="X351" s="17" t="str">
        <f t="shared" si="78"/>
        <v/>
      </c>
      <c r="AJ351" s="39"/>
      <c r="AL351" s="5">
        <v>46370</v>
      </c>
      <c r="AM351" s="24">
        <f>IF([1]AIX!J352=0,"",[1]AIX!J352)</f>
        <v>770</v>
      </c>
      <c r="AN351" s="22" t="str">
        <f t="shared" si="75"/>
        <v/>
      </c>
      <c r="AO351" s="21" t="str">
        <f>IF([2]AIX!J353=0,"",[2]AIX!J353)</f>
        <v/>
      </c>
      <c r="AP351" s="17" t="str">
        <f t="shared" si="79"/>
        <v/>
      </c>
      <c r="BB351" s="39"/>
      <c r="BD351" s="5">
        <v>46370</v>
      </c>
      <c r="BE351" s="43">
        <f t="shared" si="81"/>
        <v>20.76257142857143</v>
      </c>
      <c r="BF351" s="22" t="str">
        <f t="shared" si="76"/>
        <v/>
      </c>
      <c r="BG351" s="41" t="str">
        <f t="shared" si="82"/>
        <v/>
      </c>
      <c r="BH351" s="17" t="str">
        <f t="shared" si="80"/>
        <v/>
      </c>
      <c r="BT351" s="39"/>
    </row>
    <row r="352" spans="2:72">
      <c r="B352" s="5">
        <v>46371</v>
      </c>
      <c r="C352" s="21">
        <f>IF([1]AIX!H353=0,"",[1]AIX!H353)</f>
        <v>8335.1299999999992</v>
      </c>
      <c r="D352" s="22" t="str">
        <f t="shared" si="73"/>
        <v/>
      </c>
      <c r="E352" s="23" t="str">
        <f>IF([2]AIX!H354=0,"",[2]AIX!H354)</f>
        <v/>
      </c>
      <c r="F352" s="17" t="str">
        <f t="shared" si="77"/>
        <v/>
      </c>
      <c r="R352" s="39"/>
      <c r="T352" s="5">
        <v>46371</v>
      </c>
      <c r="U352" s="21">
        <f>IF([1]AIX!I353=0,"",[1]AIX!I353)</f>
        <v>8120.7</v>
      </c>
      <c r="V352" s="22" t="str">
        <f t="shared" si="74"/>
        <v/>
      </c>
      <c r="W352" s="23" t="str">
        <f>IF([2]AIX!I354=0,"",[2]AIX!I354)</f>
        <v/>
      </c>
      <c r="X352" s="17" t="str">
        <f t="shared" si="78"/>
        <v/>
      </c>
      <c r="AJ352" s="39"/>
      <c r="AL352" s="5">
        <v>46371</v>
      </c>
      <c r="AM352" s="21">
        <f>IF([1]AIX!J353=0,"",[1]AIX!J353)</f>
        <v>474</v>
      </c>
      <c r="AN352" s="22" t="str">
        <f t="shared" si="75"/>
        <v/>
      </c>
      <c r="AO352" s="23" t="str">
        <f>IF([2]AIX!J354=0,"",[2]AIX!J354)</f>
        <v/>
      </c>
      <c r="AP352" s="17" t="str">
        <f t="shared" si="79"/>
        <v/>
      </c>
      <c r="BB352" s="39"/>
      <c r="BD352" s="5">
        <v>46371</v>
      </c>
      <c r="BE352" s="41">
        <f t="shared" si="81"/>
        <v>17.584662447257383</v>
      </c>
      <c r="BF352" s="22" t="str">
        <f t="shared" si="76"/>
        <v/>
      </c>
      <c r="BG352" s="42" t="str">
        <f t="shared" si="82"/>
        <v/>
      </c>
      <c r="BH352" s="17" t="str">
        <f t="shared" si="80"/>
        <v/>
      </c>
      <c r="BT352" s="39"/>
    </row>
    <row r="353" spans="2:72">
      <c r="B353" s="5">
        <v>46372</v>
      </c>
      <c r="C353" s="23">
        <f>IF([1]AIX!H354=0,"",[1]AIX!H354)</f>
        <v>8242.68</v>
      </c>
      <c r="D353" s="22" t="str">
        <f t="shared" si="73"/>
        <v/>
      </c>
      <c r="E353" s="23" t="str">
        <f>IF([2]AIX!H355=0,"",[2]AIX!H355)</f>
        <v/>
      </c>
      <c r="F353" s="17" t="str">
        <f t="shared" si="77"/>
        <v/>
      </c>
      <c r="R353" s="39"/>
      <c r="T353" s="5">
        <v>46372</v>
      </c>
      <c r="U353" s="23">
        <f>IF([1]AIX!I354=0,"",[1]AIX!I354)</f>
        <v>8000.63</v>
      </c>
      <c r="V353" s="22" t="str">
        <f t="shared" si="74"/>
        <v/>
      </c>
      <c r="W353" s="23" t="str">
        <f>IF([2]AIX!I355=0,"",[2]AIX!I355)</f>
        <v/>
      </c>
      <c r="X353" s="17" t="str">
        <f t="shared" si="78"/>
        <v/>
      </c>
      <c r="AJ353" s="39"/>
      <c r="AL353" s="5">
        <v>46372</v>
      </c>
      <c r="AM353" s="23">
        <f>IF([1]AIX!J354=0,"",[1]AIX!J354)</f>
        <v>487</v>
      </c>
      <c r="AN353" s="22" t="str">
        <f t="shared" si="75"/>
        <v/>
      </c>
      <c r="AO353" s="23" t="str">
        <f>IF([2]AIX!J355=0,"",[2]AIX!J355)</f>
        <v/>
      </c>
      <c r="AP353" s="17" t="str">
        <f t="shared" si="79"/>
        <v/>
      </c>
      <c r="BB353" s="39"/>
      <c r="BD353" s="5">
        <v>46372</v>
      </c>
      <c r="BE353" s="42">
        <f t="shared" si="81"/>
        <v>16.925420944558521</v>
      </c>
      <c r="BF353" s="22" t="str">
        <f t="shared" si="76"/>
        <v/>
      </c>
      <c r="BG353" s="42" t="str">
        <f t="shared" si="82"/>
        <v/>
      </c>
      <c r="BH353" s="17" t="str">
        <f t="shared" si="80"/>
        <v/>
      </c>
      <c r="BT353" s="39"/>
    </row>
    <row r="354" spans="2:72">
      <c r="B354" s="5">
        <v>46373</v>
      </c>
      <c r="C354" s="23">
        <f>IF([1]AIX!H355=0,"",[1]AIX!H355)</f>
        <v>12203.32</v>
      </c>
      <c r="D354" s="22" t="str">
        <f t="shared" si="73"/>
        <v/>
      </c>
      <c r="E354" s="23" t="str">
        <f>IF([2]AIX!H356=0,"",[2]AIX!H356)</f>
        <v/>
      </c>
      <c r="F354" s="17" t="str">
        <f t="shared" si="77"/>
        <v/>
      </c>
      <c r="R354" s="39"/>
      <c r="T354" s="5">
        <v>46373</v>
      </c>
      <c r="U354" s="23">
        <f>IF([1]AIX!I355=0,"",[1]AIX!I355)</f>
        <v>11853.67</v>
      </c>
      <c r="V354" s="22" t="str">
        <f t="shared" si="74"/>
        <v/>
      </c>
      <c r="W354" s="23" t="str">
        <f>IF([2]AIX!I356=0,"",[2]AIX!I356)</f>
        <v/>
      </c>
      <c r="X354" s="17" t="str">
        <f t="shared" si="78"/>
        <v/>
      </c>
      <c r="AJ354" s="39"/>
      <c r="AL354" s="5">
        <v>46373</v>
      </c>
      <c r="AM354" s="23">
        <f>IF([1]AIX!J355=0,"",[1]AIX!J355)</f>
        <v>702</v>
      </c>
      <c r="AN354" s="22" t="str">
        <f t="shared" si="75"/>
        <v/>
      </c>
      <c r="AO354" s="23" t="str">
        <f>IF([2]AIX!J356=0,"",[2]AIX!J356)</f>
        <v/>
      </c>
      <c r="AP354" s="17" t="str">
        <f t="shared" si="79"/>
        <v/>
      </c>
      <c r="BB354" s="39"/>
      <c r="BD354" s="5">
        <v>46373</v>
      </c>
      <c r="BE354" s="42">
        <f t="shared" si="81"/>
        <v>17.383646723646724</v>
      </c>
      <c r="BF354" s="22" t="str">
        <f t="shared" si="76"/>
        <v/>
      </c>
      <c r="BG354" s="42" t="str">
        <f t="shared" si="82"/>
        <v/>
      </c>
      <c r="BH354" s="17" t="str">
        <f t="shared" si="80"/>
        <v/>
      </c>
      <c r="BT354" s="39"/>
    </row>
    <row r="355" spans="2:72">
      <c r="B355" s="5">
        <v>46374</v>
      </c>
      <c r="C355" s="23">
        <f>IF([1]AIX!H356=0,"",[1]AIX!H356)</f>
        <v>10759.01</v>
      </c>
      <c r="D355" s="22" t="str">
        <f t="shared" si="73"/>
        <v/>
      </c>
      <c r="E355" s="23" t="str">
        <f>IF([2]AIX!H357=0,"",[2]AIX!H357)</f>
        <v/>
      </c>
      <c r="F355" s="17" t="str">
        <f t="shared" si="77"/>
        <v/>
      </c>
      <c r="R355" s="39"/>
      <c r="T355" s="5">
        <v>46374</v>
      </c>
      <c r="U355" s="23">
        <f>IF([1]AIX!I356=0,"",[1]AIX!I356)</f>
        <v>10603.29</v>
      </c>
      <c r="V355" s="22" t="str">
        <f t="shared" si="74"/>
        <v/>
      </c>
      <c r="W355" s="23" t="str">
        <f>IF([2]AIX!I357=0,"",[2]AIX!I357)</f>
        <v/>
      </c>
      <c r="X355" s="17" t="str">
        <f t="shared" si="78"/>
        <v/>
      </c>
      <c r="AJ355" s="39"/>
      <c r="AL355" s="5">
        <v>46374</v>
      </c>
      <c r="AM355" s="23">
        <f>IF([1]AIX!J356=0,"",[1]AIX!J356)</f>
        <v>624</v>
      </c>
      <c r="AN355" s="22" t="str">
        <f t="shared" si="75"/>
        <v/>
      </c>
      <c r="AO355" s="23" t="str">
        <f>IF([2]AIX!J357=0,"",[2]AIX!J357)</f>
        <v/>
      </c>
      <c r="AP355" s="17" t="str">
        <f t="shared" si="79"/>
        <v/>
      </c>
      <c r="BB355" s="39"/>
      <c r="BD355" s="5">
        <v>46374</v>
      </c>
      <c r="BE355" s="42">
        <f t="shared" si="81"/>
        <v>17.242003205128206</v>
      </c>
      <c r="BF355" s="22" t="str">
        <f t="shared" si="76"/>
        <v/>
      </c>
      <c r="BG355" s="42" t="str">
        <f t="shared" si="82"/>
        <v/>
      </c>
      <c r="BH355" s="17" t="str">
        <f t="shared" si="80"/>
        <v/>
      </c>
      <c r="BT355" s="39"/>
    </row>
    <row r="356" spans="2:72">
      <c r="B356" s="5">
        <v>46375</v>
      </c>
      <c r="C356" s="23">
        <f>IF([1]AIX!H357=0,"",[1]AIX!H357)</f>
        <v>16112.63</v>
      </c>
      <c r="D356" s="22" t="str">
        <f t="shared" si="73"/>
        <v/>
      </c>
      <c r="E356" s="23" t="str">
        <f>IF([2]AIX!H358=0,"",[2]AIX!H358)</f>
        <v/>
      </c>
      <c r="F356" s="17" t="str">
        <f t="shared" si="77"/>
        <v/>
      </c>
      <c r="R356" s="39"/>
      <c r="T356" s="5">
        <v>46375</v>
      </c>
      <c r="U356" s="23">
        <f>IF([1]AIX!I357=0,"",[1]AIX!I357)</f>
        <v>15737.08</v>
      </c>
      <c r="V356" s="22" t="str">
        <f t="shared" si="74"/>
        <v/>
      </c>
      <c r="W356" s="23" t="str">
        <f>IF([2]AIX!I358=0,"",[2]AIX!I358)</f>
        <v/>
      </c>
      <c r="X356" s="17" t="str">
        <f t="shared" si="78"/>
        <v/>
      </c>
      <c r="AJ356" s="39"/>
      <c r="AL356" s="5">
        <v>46375</v>
      </c>
      <c r="AM356" s="23">
        <f>IF([1]AIX!J357=0,"",[1]AIX!J357)</f>
        <v>895</v>
      </c>
      <c r="AN356" s="22" t="str">
        <f t="shared" si="75"/>
        <v/>
      </c>
      <c r="AO356" s="23" t="str">
        <f>IF([2]AIX!J358=0,"",[2]AIX!J358)</f>
        <v/>
      </c>
      <c r="AP356" s="17" t="str">
        <f t="shared" si="79"/>
        <v/>
      </c>
      <c r="BB356" s="39"/>
      <c r="BD356" s="5">
        <v>46375</v>
      </c>
      <c r="BE356" s="42">
        <f t="shared" si="81"/>
        <v>18.002938547486032</v>
      </c>
      <c r="BF356" s="22" t="str">
        <f t="shared" si="76"/>
        <v/>
      </c>
      <c r="BG356" s="42" t="str">
        <f t="shared" si="82"/>
        <v/>
      </c>
      <c r="BH356" s="17" t="str">
        <f t="shared" si="80"/>
        <v/>
      </c>
      <c r="BT356" s="39"/>
    </row>
    <row r="357" spans="2:72">
      <c r="B357" s="5">
        <v>46376</v>
      </c>
      <c r="C357" s="23">
        <f>IF([1]AIX!H358=0,"",[1]AIX!H358)</f>
        <v>15090.96</v>
      </c>
      <c r="D357" s="22" t="str">
        <f t="shared" si="73"/>
        <v/>
      </c>
      <c r="E357" s="24" t="str">
        <f>IF([2]AIX!H359=0,"",[2]AIX!H359)</f>
        <v/>
      </c>
      <c r="F357" s="17" t="str">
        <f t="shared" si="77"/>
        <v/>
      </c>
      <c r="R357" s="39"/>
      <c r="T357" s="5">
        <v>46376</v>
      </c>
      <c r="U357" s="23">
        <f>IF([1]AIX!I358=0,"",[1]AIX!I358)</f>
        <v>14829.83</v>
      </c>
      <c r="V357" s="22" t="str">
        <f t="shared" si="74"/>
        <v/>
      </c>
      <c r="W357" s="24" t="str">
        <f>IF([2]AIX!I359=0,"",[2]AIX!I359)</f>
        <v/>
      </c>
      <c r="X357" s="17" t="str">
        <f t="shared" si="78"/>
        <v/>
      </c>
      <c r="AJ357" s="39"/>
      <c r="AL357" s="5">
        <v>46376</v>
      </c>
      <c r="AM357" s="23">
        <f>IF([1]AIX!J358=0,"",[1]AIX!J358)</f>
        <v>815</v>
      </c>
      <c r="AN357" s="22" t="str">
        <f t="shared" si="75"/>
        <v/>
      </c>
      <c r="AO357" s="24" t="str">
        <f>IF([2]AIX!J359=0,"",[2]AIX!J359)</f>
        <v/>
      </c>
      <c r="AP357" s="17" t="str">
        <f t="shared" si="79"/>
        <v/>
      </c>
      <c r="BB357" s="39"/>
      <c r="BD357" s="5">
        <v>46376</v>
      </c>
      <c r="BE357" s="42">
        <f t="shared" si="81"/>
        <v>18.516515337423311</v>
      </c>
      <c r="BF357" s="22" t="str">
        <f t="shared" si="76"/>
        <v/>
      </c>
      <c r="BG357" s="43" t="str">
        <f t="shared" si="82"/>
        <v/>
      </c>
      <c r="BH357" s="17" t="str">
        <f t="shared" si="80"/>
        <v/>
      </c>
      <c r="BT357" s="39"/>
    </row>
    <row r="358" spans="2:72">
      <c r="B358" s="5">
        <v>46377</v>
      </c>
      <c r="C358" s="24">
        <f>IF([1]AIX!H359=0,"",[1]AIX!H359)</f>
        <v>17415.39</v>
      </c>
      <c r="D358" s="22" t="str">
        <f t="shared" si="73"/>
        <v/>
      </c>
      <c r="E358" s="21" t="str">
        <f>IF([2]AIX!H360=0,"",[2]AIX!H360)</f>
        <v/>
      </c>
      <c r="F358" s="17" t="str">
        <f t="shared" si="77"/>
        <v/>
      </c>
      <c r="R358" s="39"/>
      <c r="T358" s="5">
        <v>46377</v>
      </c>
      <c r="U358" s="24">
        <f>IF([1]AIX!I359=0,"",[1]AIX!I359)</f>
        <v>16891.490000000002</v>
      </c>
      <c r="V358" s="22" t="str">
        <f t="shared" si="74"/>
        <v/>
      </c>
      <c r="W358" s="21" t="str">
        <f>IF([2]AIX!I360=0,"",[2]AIX!I360)</f>
        <v/>
      </c>
      <c r="X358" s="17" t="str">
        <f t="shared" si="78"/>
        <v/>
      </c>
      <c r="AJ358" s="39"/>
      <c r="AL358" s="5">
        <v>46377</v>
      </c>
      <c r="AM358" s="24">
        <f>IF([1]AIX!J359=0,"",[1]AIX!J359)</f>
        <v>860</v>
      </c>
      <c r="AN358" s="22" t="str">
        <f t="shared" si="75"/>
        <v/>
      </c>
      <c r="AO358" s="21" t="str">
        <f>IF([2]AIX!J360=0,"",[2]AIX!J360)</f>
        <v/>
      </c>
      <c r="AP358" s="17" t="str">
        <f t="shared" si="79"/>
        <v/>
      </c>
      <c r="BB358" s="39"/>
      <c r="BD358" s="5">
        <v>46377</v>
      </c>
      <c r="BE358" s="43">
        <f t="shared" si="81"/>
        <v>20.250453488372091</v>
      </c>
      <c r="BF358" s="22" t="str">
        <f t="shared" si="76"/>
        <v/>
      </c>
      <c r="BG358" s="41" t="str">
        <f t="shared" si="82"/>
        <v/>
      </c>
      <c r="BH358" s="17" t="str">
        <f t="shared" si="80"/>
        <v/>
      </c>
      <c r="BT358" s="39"/>
    </row>
    <row r="359" spans="2:72">
      <c r="B359" s="5">
        <v>46378</v>
      </c>
      <c r="C359" s="21">
        <f>IF([1]AIX!H360=0,"",[1]AIX!H360)</f>
        <v>13988.13</v>
      </c>
      <c r="D359" s="22" t="str">
        <f t="shared" si="73"/>
        <v/>
      </c>
      <c r="E359" s="23" t="str">
        <f>IF([2]AIX!H361=0,"",[2]AIX!H361)</f>
        <v/>
      </c>
      <c r="F359" s="17" t="str">
        <f t="shared" si="77"/>
        <v/>
      </c>
      <c r="R359" s="39"/>
      <c r="T359" s="5">
        <v>46378</v>
      </c>
      <c r="U359" s="21">
        <f>IF([1]AIX!I360=0,"",[1]AIX!I360)</f>
        <v>13631.34</v>
      </c>
      <c r="V359" s="22" t="str">
        <f t="shared" si="74"/>
        <v/>
      </c>
      <c r="W359" s="23" t="str">
        <f>IF([2]AIX!I361=0,"",[2]AIX!I361)</f>
        <v/>
      </c>
      <c r="X359" s="17" t="str">
        <f t="shared" si="78"/>
        <v/>
      </c>
      <c r="AJ359" s="39"/>
      <c r="AL359" s="5">
        <v>46378</v>
      </c>
      <c r="AM359" s="21">
        <f>IF([1]AIX!J360=0,"",[1]AIX!J360)</f>
        <v>777</v>
      </c>
      <c r="AN359" s="22" t="str">
        <f t="shared" si="75"/>
        <v/>
      </c>
      <c r="AO359" s="23" t="str">
        <f>IF([2]AIX!J361=0,"",[2]AIX!J361)</f>
        <v/>
      </c>
      <c r="AP359" s="17" t="str">
        <f t="shared" si="79"/>
        <v/>
      </c>
      <c r="BB359" s="39"/>
      <c r="BD359" s="5">
        <v>46378</v>
      </c>
      <c r="BE359" s="41">
        <f t="shared" si="81"/>
        <v>18.002741312741311</v>
      </c>
      <c r="BF359" s="22" t="str">
        <f t="shared" si="76"/>
        <v/>
      </c>
      <c r="BG359" s="42" t="str">
        <f t="shared" si="82"/>
        <v/>
      </c>
      <c r="BH359" s="17" t="str">
        <f t="shared" si="80"/>
        <v/>
      </c>
      <c r="BT359" s="39"/>
    </row>
    <row r="360" spans="2:72">
      <c r="B360" s="5">
        <v>46379</v>
      </c>
      <c r="C360" s="23">
        <f>IF([1]AIX!H361=0,"",[1]AIX!H361)</f>
        <v>13567.54</v>
      </c>
      <c r="D360" s="22" t="str">
        <f t="shared" si="73"/>
        <v/>
      </c>
      <c r="E360" s="23" t="str">
        <f>IF([2]AIX!H362=0,"",[2]AIX!H362)</f>
        <v/>
      </c>
      <c r="F360" s="17" t="str">
        <f t="shared" si="77"/>
        <v/>
      </c>
      <c r="R360" s="39"/>
      <c r="T360" s="5">
        <v>46379</v>
      </c>
      <c r="U360" s="23">
        <f>IF([1]AIX!I361=0,"",[1]AIX!I361)</f>
        <v>13254.93</v>
      </c>
      <c r="V360" s="22" t="str">
        <f t="shared" si="74"/>
        <v/>
      </c>
      <c r="W360" s="23" t="str">
        <f>IF([2]AIX!I362=0,"",[2]AIX!I362)</f>
        <v/>
      </c>
      <c r="X360" s="17" t="str">
        <f t="shared" si="78"/>
        <v/>
      </c>
      <c r="AJ360" s="39"/>
      <c r="AL360" s="5">
        <v>46379</v>
      </c>
      <c r="AM360" s="23">
        <f>IF([1]AIX!J361=0,"",[1]AIX!J361)</f>
        <v>740</v>
      </c>
      <c r="AN360" s="22" t="str">
        <f t="shared" si="75"/>
        <v/>
      </c>
      <c r="AO360" s="23" t="str">
        <f>IF([2]AIX!J362=0,"",[2]AIX!J362)</f>
        <v/>
      </c>
      <c r="AP360" s="17" t="str">
        <f t="shared" si="79"/>
        <v/>
      </c>
      <c r="BB360" s="39"/>
      <c r="BD360" s="5">
        <v>46379</v>
      </c>
      <c r="BE360" s="42">
        <f t="shared" si="81"/>
        <v>18.334513513513514</v>
      </c>
      <c r="BF360" s="22" t="str">
        <f t="shared" si="76"/>
        <v/>
      </c>
      <c r="BG360" s="42" t="str">
        <f t="shared" si="82"/>
        <v/>
      </c>
      <c r="BH360" s="17" t="str">
        <f t="shared" si="80"/>
        <v/>
      </c>
      <c r="BT360" s="39"/>
    </row>
    <row r="361" spans="2:72">
      <c r="B361" s="5">
        <v>46380</v>
      </c>
      <c r="C361" s="23">
        <f>IF([1]AIX!H362=0,"",[1]AIX!H362)</f>
        <v>5035.3100000000004</v>
      </c>
      <c r="D361" s="22" t="str">
        <f t="shared" ref="D361:D368" si="83">IF(E360="","",C361)</f>
        <v/>
      </c>
      <c r="E361" s="23" t="str">
        <f>IF([2]AIX!H363=0,"",[2]AIX!H363)</f>
        <v/>
      </c>
      <c r="F361" s="17" t="str">
        <f t="shared" si="77"/>
        <v/>
      </c>
      <c r="R361" s="39"/>
      <c r="T361" s="5">
        <v>46380</v>
      </c>
      <c r="U361" s="23">
        <f>IF([1]AIX!I362=0,"",[1]AIX!I362)</f>
        <v>4921.42</v>
      </c>
      <c r="V361" s="22" t="str">
        <f t="shared" ref="V361:V368" si="84">IF(W360="","",U361)</f>
        <v/>
      </c>
      <c r="W361" s="23" t="str">
        <f>IF([2]AIX!I363=0,"",[2]AIX!I363)</f>
        <v/>
      </c>
      <c r="X361" s="17" t="str">
        <f t="shared" si="78"/>
        <v/>
      </c>
      <c r="AJ361" s="39"/>
      <c r="AL361" s="5">
        <v>46380</v>
      </c>
      <c r="AM361" s="23">
        <f>IF([1]AIX!J362=0,"",[1]AIX!J362)</f>
        <v>278</v>
      </c>
      <c r="AN361" s="22" t="str">
        <f t="shared" ref="AN361:AN368" si="85">IF(AO360="","",AM361)</f>
        <v/>
      </c>
      <c r="AO361" s="23" t="str">
        <f>IF([2]AIX!J363=0,"",[2]AIX!J363)</f>
        <v/>
      </c>
      <c r="AP361" s="17" t="str">
        <f t="shared" si="79"/>
        <v/>
      </c>
      <c r="BB361" s="39"/>
      <c r="BD361" s="5">
        <v>46380</v>
      </c>
      <c r="BE361" s="42">
        <f t="shared" si="81"/>
        <v>18.112625899280577</v>
      </c>
      <c r="BF361" s="22" t="str">
        <f t="shared" ref="BF361:BF368" si="86">IF(BG360="","",BE361)</f>
        <v/>
      </c>
      <c r="BG361" s="42" t="str">
        <f t="shared" si="82"/>
        <v/>
      </c>
      <c r="BH361" s="17" t="str">
        <f t="shared" si="80"/>
        <v/>
      </c>
      <c r="BT361" s="39"/>
    </row>
    <row r="362" spans="2:72">
      <c r="B362" s="5">
        <v>46381</v>
      </c>
      <c r="C362" s="23">
        <f>IF([1]AIX!H363=0,"",[1]AIX!H363)</f>
        <v>13753.95</v>
      </c>
      <c r="D362" s="22" t="str">
        <f t="shared" si="83"/>
        <v/>
      </c>
      <c r="E362" s="23" t="str">
        <f>IF([2]AIX!H364=0,"",[2]AIX!H364)</f>
        <v/>
      </c>
      <c r="F362" s="17" t="str">
        <f t="shared" si="77"/>
        <v/>
      </c>
      <c r="R362" s="39"/>
      <c r="T362" s="5">
        <v>46381</v>
      </c>
      <c r="U362" s="23">
        <f>IF([1]AIX!I363=0,"",[1]AIX!I363)</f>
        <v>13333.25</v>
      </c>
      <c r="V362" s="22" t="str">
        <f t="shared" si="84"/>
        <v/>
      </c>
      <c r="W362" s="23" t="str">
        <f>IF([2]AIX!I364=0,"",[2]AIX!I364)</f>
        <v/>
      </c>
      <c r="X362" s="17" t="str">
        <f t="shared" si="78"/>
        <v/>
      </c>
      <c r="AJ362" s="39"/>
      <c r="AL362" s="5">
        <v>46381</v>
      </c>
      <c r="AM362" s="23">
        <f>IF([1]AIX!J363=0,"",[1]AIX!J363)</f>
        <v>657</v>
      </c>
      <c r="AN362" s="22" t="str">
        <f t="shared" si="85"/>
        <v/>
      </c>
      <c r="AO362" s="23" t="str">
        <f>IF([2]AIX!J364=0,"",[2]AIX!J364)</f>
        <v/>
      </c>
      <c r="AP362" s="17" t="str">
        <f t="shared" si="79"/>
        <v/>
      </c>
      <c r="BB362" s="39"/>
      <c r="BD362" s="5">
        <v>46381</v>
      </c>
      <c r="BE362" s="42">
        <f t="shared" si="81"/>
        <v>20.93447488584475</v>
      </c>
      <c r="BF362" s="22" t="str">
        <f t="shared" si="86"/>
        <v/>
      </c>
      <c r="BG362" s="42" t="str">
        <f t="shared" si="82"/>
        <v/>
      </c>
      <c r="BH362" s="17" t="str">
        <f t="shared" si="80"/>
        <v/>
      </c>
      <c r="BT362" s="39"/>
    </row>
    <row r="363" spans="2:72">
      <c r="B363" s="5">
        <v>46382</v>
      </c>
      <c r="C363" s="23">
        <f>IF([1]AIX!H364=0,"",[1]AIX!H364)</f>
        <v>16081</v>
      </c>
      <c r="D363" s="22" t="str">
        <f t="shared" si="83"/>
        <v/>
      </c>
      <c r="E363" s="23" t="str">
        <f>IF([2]AIX!H365=0,"",[2]AIX!H365)</f>
        <v/>
      </c>
      <c r="F363" s="17" t="str">
        <f t="shared" si="77"/>
        <v/>
      </c>
      <c r="R363" s="39"/>
      <c r="T363" s="5">
        <v>46382</v>
      </c>
      <c r="U363" s="23">
        <f>IF([1]AIX!I364=0,"",[1]AIX!I364)</f>
        <v>15753.71</v>
      </c>
      <c r="V363" s="22" t="str">
        <f t="shared" si="84"/>
        <v/>
      </c>
      <c r="W363" s="23" t="str">
        <f>IF([2]AIX!I365=0,"",[2]AIX!I365)</f>
        <v/>
      </c>
      <c r="X363" s="17" t="str">
        <f t="shared" si="78"/>
        <v/>
      </c>
      <c r="AJ363" s="39"/>
      <c r="AL363" s="5">
        <v>46382</v>
      </c>
      <c r="AM363" s="23">
        <f>IF([1]AIX!J364=0,"",[1]AIX!J364)</f>
        <v>839</v>
      </c>
      <c r="AN363" s="22" t="str">
        <f t="shared" si="85"/>
        <v/>
      </c>
      <c r="AO363" s="23" t="str">
        <f>IF([2]AIX!J365=0,"",[2]AIX!J365)</f>
        <v/>
      </c>
      <c r="AP363" s="17" t="str">
        <f t="shared" si="79"/>
        <v/>
      </c>
      <c r="BB363" s="39"/>
      <c r="BD363" s="5">
        <v>46382</v>
      </c>
      <c r="BE363" s="42">
        <f t="shared" si="81"/>
        <v>19.166865315852206</v>
      </c>
      <c r="BF363" s="22" t="str">
        <f t="shared" si="86"/>
        <v/>
      </c>
      <c r="BG363" s="42" t="str">
        <f t="shared" si="82"/>
        <v/>
      </c>
      <c r="BH363" s="17" t="str">
        <f t="shared" si="80"/>
        <v/>
      </c>
      <c r="BT363" s="39"/>
    </row>
    <row r="364" spans="2:72">
      <c r="B364" s="5">
        <v>46383</v>
      </c>
      <c r="C364" s="23">
        <f>IF([1]AIX!H365=0,"",[1]AIX!H365)</f>
        <v>16908.580000000002</v>
      </c>
      <c r="D364" s="22" t="str">
        <f t="shared" si="83"/>
        <v/>
      </c>
      <c r="E364" s="24" t="str">
        <f>IF([2]AIX!H366=0,"",[2]AIX!H366)</f>
        <v/>
      </c>
      <c r="F364" s="17" t="str">
        <f t="shared" si="77"/>
        <v/>
      </c>
      <c r="R364" s="39"/>
      <c r="T364" s="5">
        <v>46383</v>
      </c>
      <c r="U364" s="23">
        <f>IF([1]AIX!I365=0,"",[1]AIX!I365)</f>
        <v>16567.13</v>
      </c>
      <c r="V364" s="22" t="str">
        <f t="shared" si="84"/>
        <v/>
      </c>
      <c r="W364" s="24" t="str">
        <f>IF([2]AIX!I366=0,"",[2]AIX!I366)</f>
        <v/>
      </c>
      <c r="X364" s="17" t="str">
        <f t="shared" si="78"/>
        <v/>
      </c>
      <c r="AJ364" s="39"/>
      <c r="AL364" s="5">
        <v>46383</v>
      </c>
      <c r="AM364" s="23">
        <f>IF([1]AIX!J365=0,"",[1]AIX!J365)</f>
        <v>860</v>
      </c>
      <c r="AN364" s="22" t="str">
        <f t="shared" si="85"/>
        <v/>
      </c>
      <c r="AO364" s="24" t="str">
        <f>IF([2]AIX!J366=0,"",[2]AIX!J366)</f>
        <v/>
      </c>
      <c r="AP364" s="17" t="str">
        <f t="shared" si="79"/>
        <v/>
      </c>
      <c r="BB364" s="39"/>
      <c r="BD364" s="5">
        <v>46383</v>
      </c>
      <c r="BE364" s="42">
        <f t="shared" si="81"/>
        <v>19.661139534883723</v>
      </c>
      <c r="BF364" s="22" t="str">
        <f t="shared" si="86"/>
        <v/>
      </c>
      <c r="BG364" s="43" t="str">
        <f t="shared" si="82"/>
        <v/>
      </c>
      <c r="BH364" s="17" t="str">
        <f t="shared" si="80"/>
        <v/>
      </c>
      <c r="BT364" s="39"/>
    </row>
    <row r="365" spans="2:72">
      <c r="B365" s="5">
        <v>46384</v>
      </c>
      <c r="C365" s="24">
        <f>IF([1]AIX!H366=0,"",[1]AIX!H366)</f>
        <v>19832.650000000001</v>
      </c>
      <c r="D365" s="22" t="str">
        <f t="shared" si="83"/>
        <v/>
      </c>
      <c r="E365" s="21" t="str">
        <f>IF([2]AIX!H367=0,"",[2]AIX!H367)</f>
        <v/>
      </c>
      <c r="F365" s="17" t="str">
        <f t="shared" si="77"/>
        <v/>
      </c>
      <c r="R365" s="39"/>
      <c r="T365" s="5">
        <v>46384</v>
      </c>
      <c r="U365" s="24">
        <f>IF([1]AIX!I366=0,"",[1]AIX!I366)</f>
        <v>19273.310000000001</v>
      </c>
      <c r="V365" s="22" t="str">
        <f t="shared" si="84"/>
        <v/>
      </c>
      <c r="W365" s="21" t="str">
        <f>IF([2]AIX!I367=0,"",[2]AIX!I367)</f>
        <v/>
      </c>
      <c r="X365" s="17" t="str">
        <f t="shared" si="78"/>
        <v/>
      </c>
      <c r="AJ365" s="39"/>
      <c r="AL365" s="5">
        <v>46384</v>
      </c>
      <c r="AM365" s="24">
        <f>IF([1]AIX!J366=0,"",[1]AIX!J366)</f>
        <v>940</v>
      </c>
      <c r="AN365" s="22" t="str">
        <f t="shared" si="85"/>
        <v/>
      </c>
      <c r="AO365" s="21" t="str">
        <f>IF([2]AIX!J367=0,"",[2]AIX!J367)</f>
        <v/>
      </c>
      <c r="AP365" s="17" t="str">
        <f t="shared" si="79"/>
        <v/>
      </c>
      <c r="BB365" s="39"/>
      <c r="BD365" s="5">
        <v>46384</v>
      </c>
      <c r="BE365" s="43">
        <f t="shared" si="81"/>
        <v>21.098563829787235</v>
      </c>
      <c r="BF365" s="22" t="str">
        <f t="shared" si="86"/>
        <v/>
      </c>
      <c r="BG365" s="41" t="str">
        <f t="shared" si="82"/>
        <v/>
      </c>
      <c r="BH365" s="17" t="str">
        <f t="shared" si="80"/>
        <v/>
      </c>
      <c r="BT365" s="39"/>
    </row>
    <row r="366" spans="2:72">
      <c r="B366" s="5">
        <v>46385</v>
      </c>
      <c r="C366" s="21">
        <f>IF([1]AIX!H367=0,"",[1]AIX!H367)</f>
        <v>15952.46</v>
      </c>
      <c r="D366" s="22" t="str">
        <f t="shared" si="83"/>
        <v/>
      </c>
      <c r="E366" s="23" t="str">
        <f>IF([2]AIX!H368=0,"",[2]AIX!H368)</f>
        <v/>
      </c>
      <c r="F366" s="17" t="str">
        <f t="shared" si="77"/>
        <v/>
      </c>
      <c r="R366" s="39"/>
      <c r="T366" s="5">
        <v>46385</v>
      </c>
      <c r="U366" s="21">
        <f>IF([1]AIX!I367=0,"",[1]AIX!I367)</f>
        <v>15509.5</v>
      </c>
      <c r="V366" s="22" t="str">
        <f t="shared" si="84"/>
        <v/>
      </c>
      <c r="W366" s="23" t="str">
        <f>IF([2]AIX!I368=0,"",[2]AIX!I368)</f>
        <v/>
      </c>
      <c r="X366" s="17" t="str">
        <f t="shared" si="78"/>
        <v/>
      </c>
      <c r="AJ366" s="39"/>
      <c r="AL366" s="5">
        <v>46385</v>
      </c>
      <c r="AM366" s="21">
        <f>IF([1]AIX!J367=0,"",[1]AIX!J367)</f>
        <v>871</v>
      </c>
      <c r="AN366" s="22" t="str">
        <f t="shared" si="85"/>
        <v/>
      </c>
      <c r="AO366" s="23" t="str">
        <f>IF([2]AIX!J368=0,"",[2]AIX!J368)</f>
        <v/>
      </c>
      <c r="AP366" s="17" t="str">
        <f t="shared" si="79"/>
        <v/>
      </c>
      <c r="BB366" s="39"/>
      <c r="BD366" s="5">
        <v>46385</v>
      </c>
      <c r="BE366" s="41">
        <f t="shared" si="81"/>
        <v>18.315109070034442</v>
      </c>
      <c r="BF366" s="22" t="str">
        <f t="shared" si="86"/>
        <v/>
      </c>
      <c r="BG366" s="42" t="str">
        <f t="shared" si="82"/>
        <v/>
      </c>
      <c r="BH366" s="17" t="str">
        <f t="shared" si="80"/>
        <v/>
      </c>
      <c r="BT366" s="39"/>
    </row>
    <row r="367" spans="2:72">
      <c r="B367" s="5">
        <v>46386</v>
      </c>
      <c r="C367" s="23">
        <f>IF([1]AIX!H368=0,"",[1]AIX!H368)</f>
        <v>15591.18</v>
      </c>
      <c r="D367" s="22" t="str">
        <f t="shared" si="83"/>
        <v/>
      </c>
      <c r="E367" s="23" t="str">
        <f>IF([2]AIX!H369=0,"",[2]AIX!H369)</f>
        <v/>
      </c>
      <c r="F367" s="17" t="str">
        <f t="shared" si="77"/>
        <v/>
      </c>
      <c r="R367" s="39"/>
      <c r="T367" s="5">
        <v>46386</v>
      </c>
      <c r="U367" s="23">
        <f>IF([1]AIX!I368=0,"",[1]AIX!I368)</f>
        <v>15299.84</v>
      </c>
      <c r="V367" s="22" t="str">
        <f t="shared" si="84"/>
        <v/>
      </c>
      <c r="W367" s="23" t="str">
        <f>IF([2]AIX!I369=0,"",[2]AIX!I369)</f>
        <v/>
      </c>
      <c r="X367" s="17" t="str">
        <f t="shared" si="78"/>
        <v/>
      </c>
      <c r="AJ367" s="39"/>
      <c r="AL367" s="5">
        <v>46386</v>
      </c>
      <c r="AM367" s="23">
        <f>IF([1]AIX!J368=0,"",[1]AIX!J368)</f>
        <v>831</v>
      </c>
      <c r="AN367" s="22" t="str">
        <f t="shared" si="85"/>
        <v/>
      </c>
      <c r="AO367" s="23" t="str">
        <f>IF([2]AIX!J369=0,"",[2]AIX!J369)</f>
        <v/>
      </c>
      <c r="AP367" s="17" t="str">
        <f t="shared" si="79"/>
        <v/>
      </c>
      <c r="BB367" s="39"/>
      <c r="BD367" s="5">
        <v>46386</v>
      </c>
      <c r="BE367" s="42">
        <f t="shared" si="81"/>
        <v>18.761949458483755</v>
      </c>
      <c r="BF367" s="22" t="str">
        <f t="shared" si="86"/>
        <v/>
      </c>
      <c r="BG367" s="42" t="str">
        <f t="shared" si="82"/>
        <v/>
      </c>
      <c r="BH367" s="17" t="str">
        <f t="shared" si="80"/>
        <v/>
      </c>
      <c r="BT367" s="39"/>
    </row>
    <row r="368" spans="2:72" ht="18" thickBot="1">
      <c r="B368" s="8">
        <v>46387</v>
      </c>
      <c r="C368" s="25">
        <f>IF([1]AIX!H369=0,"",[1]AIX!H369)</f>
        <v>7044.11</v>
      </c>
      <c r="D368" s="26" t="str">
        <f t="shared" si="83"/>
        <v/>
      </c>
      <c r="E368" s="25" t="str">
        <f>IF([2]AIX!H370=0,"",[2]AIX!H370)</f>
        <v/>
      </c>
      <c r="F368" s="18" t="str">
        <f t="shared" si="77"/>
        <v/>
      </c>
      <c r="G368" s="13"/>
      <c r="H368" s="9"/>
      <c r="I368" s="9"/>
      <c r="J368" s="20"/>
      <c r="K368" s="13"/>
      <c r="L368" s="9"/>
      <c r="M368" s="9"/>
      <c r="N368" s="9"/>
      <c r="O368" s="9"/>
      <c r="P368" s="9"/>
      <c r="Q368" s="9"/>
      <c r="R368" s="40"/>
      <c r="T368" s="8">
        <v>46387</v>
      </c>
      <c r="U368" s="25">
        <f>IF([1]AIX!I369=0,"",[1]AIX!I369)</f>
        <v>6928.44</v>
      </c>
      <c r="V368" s="26" t="str">
        <f t="shared" si="84"/>
        <v/>
      </c>
      <c r="W368" s="25" t="str">
        <f>IF([2]AIX!I370=0,"",[2]AIX!I370)</f>
        <v/>
      </c>
      <c r="X368" s="18" t="str">
        <f t="shared" si="78"/>
        <v/>
      </c>
      <c r="Y368" s="13"/>
      <c r="Z368" s="9"/>
      <c r="AA368" s="9"/>
      <c r="AB368" s="20"/>
      <c r="AC368" s="13"/>
      <c r="AD368" s="9"/>
      <c r="AE368" s="9"/>
      <c r="AF368" s="9"/>
      <c r="AG368" s="9"/>
      <c r="AH368" s="9"/>
      <c r="AI368" s="9"/>
      <c r="AJ368" s="40"/>
      <c r="AL368" s="8">
        <v>46387</v>
      </c>
      <c r="AM368" s="25">
        <f>IF([1]AIX!J369=0,"",[1]AIX!J369)</f>
        <v>387</v>
      </c>
      <c r="AN368" s="26" t="str">
        <f t="shared" si="85"/>
        <v/>
      </c>
      <c r="AO368" s="25" t="str">
        <f>IF([2]AIX!J370=0,"",[2]AIX!J370)</f>
        <v/>
      </c>
      <c r="AP368" s="18" t="str">
        <f t="shared" si="79"/>
        <v/>
      </c>
      <c r="AQ368" s="13"/>
      <c r="AR368" s="9"/>
      <c r="AS368" s="9"/>
      <c r="AT368" s="20"/>
      <c r="AU368" s="13"/>
      <c r="AV368" s="9"/>
      <c r="AW368" s="9"/>
      <c r="AX368" s="9"/>
      <c r="AY368" s="9"/>
      <c r="AZ368" s="9"/>
      <c r="BA368" s="9"/>
      <c r="BB368" s="40"/>
      <c r="BD368" s="8">
        <v>46387</v>
      </c>
      <c r="BE368" s="44">
        <f t="shared" si="81"/>
        <v>18.201834625322995</v>
      </c>
      <c r="BF368" s="26" t="str">
        <f t="shared" si="86"/>
        <v/>
      </c>
      <c r="BG368" s="44" t="str">
        <f t="shared" si="82"/>
        <v/>
      </c>
      <c r="BH368" s="18" t="str">
        <f t="shared" si="80"/>
        <v/>
      </c>
      <c r="BI368" s="13"/>
      <c r="BJ368" s="9"/>
      <c r="BK368" s="9"/>
      <c r="BL368" s="20"/>
      <c r="BM368" s="13"/>
      <c r="BN368" s="9"/>
      <c r="BO368" s="9"/>
      <c r="BP368" s="9"/>
      <c r="BQ368" s="9"/>
      <c r="BR368" s="9"/>
      <c r="BS368" s="9"/>
      <c r="BT368" s="4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A908C-C698-794A-865D-8ED461560E1F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C853E-BACA-5C4E-BCF3-E81ED1A2E1F2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DAA70-E4F1-4F4F-96E7-CE5C8A734A0B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9F633-887B-9147-A4EF-AACAF89F088D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31AF6-BD2D-A140-AB41-1E437DC52928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3E2E-D801-054E-A55C-78B87F16437C}">
  <dimension ref="A1"/>
  <sheetViews>
    <sheetView workbookViewId="0">
      <selection activeCell="N26" sqref="N26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CHAMNORD</vt:lpstr>
      <vt:lpstr>AIX LES BAINS</vt:lpstr>
      <vt:lpstr>BELLEY</vt:lpstr>
      <vt:lpstr>ST ALBAN</vt:lpstr>
      <vt:lpstr>LES ABRETS</vt:lpstr>
      <vt:lpstr>PONT DE BEAUVOISIN</vt:lpstr>
      <vt:lpstr>FRANCIN</vt:lpstr>
      <vt:lpstr>VIVIERS DU LAC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Matthieu JACOB</dc:creator>
  <cp:lastModifiedBy>Matthieu JACOB</cp:lastModifiedBy>
  <dcterms:created xsi:type="dcterms:W3CDTF">2026-06-15T20:23:13Z</dcterms:created>
  <dcterms:modified xsi:type="dcterms:W3CDTF">2026-06-19T09:08:27Z</dcterms:modified>
</cp:coreProperties>
</file>